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Users\kpose\Dropbox\Biz\Magic Formula\"/>
    </mc:Choice>
  </mc:AlternateContent>
  <xr:revisionPtr revIDLastSave="0" documentId="13_ncr:1_{A6F58686-E0AA-498E-AFFE-4045FF95E854}" xr6:coauthVersionLast="47" xr6:coauthVersionMax="47" xr10:uidLastSave="{00000000-0000-0000-0000-000000000000}"/>
  <bookViews>
    <workbookView xWindow="-110" yWindow="-110" windowWidth="19420" windowHeight="11500" tabRatio="888" activeTab="6" xr2:uid="{F2E501E5-4EAA-43EF-8FC3-7780E6947174}"/>
  </bookViews>
  <sheets>
    <sheet name="Start Here" sheetId="8" r:id="rId1"/>
    <sheet name="Candidate shares" sheetId="10" r:id="rId2"/>
    <sheet name="Chosen share" sheetId="24" r:id="rId3"/>
    <sheet name="Summary" sheetId="16" r:id="rId4"/>
    <sheet name="For export" sheetId="23" r:id="rId5"/>
    <sheet name="Forecast mechanics" sheetId="22" r:id="rId6"/>
    <sheet name="Income statement" sheetId="3" r:id="rId7"/>
    <sheet name="Balance sheet" sheetId="6" r:id="rId8"/>
    <sheet name="Cash flow statement" sheetId="7" r:id="rId9"/>
    <sheet name="Valuation" sheetId="21" r:id="rId10"/>
    <sheet name="Chart" sheetId="19" r:id="rId11"/>
    <sheet name="For chart" sheetId="20" r:id="rId12"/>
    <sheet name="Share price history" sheetId="18" r:id="rId13"/>
    <sheet name="Raw daily returns" sheetId="17" r:id="rId14"/>
    <sheet name="Raw financials" sheetId="12" r:id="rId15"/>
    <sheet name="Config" sheetId="15" r:id="rId16"/>
    <sheet name="Line item mapping" sheetId="1" r:id="rId17"/>
  </sheets>
  <definedNames>
    <definedName name="_xleta.ABS" hidden="1" xlm="1">#NAME?</definedName>
    <definedName name="_xleta.AVERAGE" hidden="1" xlm="1">#NAME?</definedName>
    <definedName name="_xleta.COLUMN" hidden="1" xlm="1">#NAME?</definedName>
    <definedName name="_xleta.FORECAST.ETS.STAT" hidden="1" xlm="1">#NAME?</definedName>
    <definedName name="_xleta.ISERR" hidden="1" xlm="1">#NAME?</definedName>
    <definedName name="_xleta.ISERROR" hidden="1" xlm="1">#NAME?</definedName>
    <definedName name="_xleta.MAX" hidden="1" xlm="1">#NAME?</definedName>
    <definedName name="_xleta.MIN" hidden="1" xlm="1">#NAME?</definedName>
    <definedName name="_xleta.PRODUCT" hidden="1" xlm="1">#NAME?</definedName>
    <definedName name="_xleta.SHEET" hidden="1" xlm="1">#NAME?</definedName>
    <definedName name="_xlpm.array" hidden="1" xlm="1">#NAME?</definedName>
    <definedName name="_xlpm.avg_debt" hidden="1" xlm="1">#NAME?</definedName>
    <definedName name="_xlpm.c" hidden="1" xlm="1">#NAME?</definedName>
    <definedName name="_xlpm.ceil" hidden="1" xlm="1">#NAME?</definedName>
    <definedName name="_xlpm.field" hidden="1" xlm="1">#NAME?</definedName>
    <definedName name="_xlpm.floor" hidden="1" xlm="1">#NAME?</definedName>
    <definedName name="_xlpm.line" hidden="1" xlm="1">#NAME?</definedName>
    <definedName name="_xlpm.r" hidden="1" xlm="1">#NAME?</definedName>
    <definedName name="_xlpm.tmp" hidden="1" xlm="1">#NAME?</definedName>
    <definedName name="_xlpm.x" hidden="1" xlm="1">#NAME?</definedName>
    <definedName name="_xlpm.y" hidden="1" xlm="1">#NAME?</definedName>
    <definedName name="ARGMAX">_xlfn.LAMBDA(_xlpm.array, _xlfn.XMATCH(MAX(_xlpm.array),_xlpm.array))</definedName>
    <definedName name="ARGMIN">_xlfn.LAMBDA(_xlpm.array, _xlfn.XMATCH(MIN(_xlpm.array),_xlpm.array))</definedName>
    <definedName name="as_of_date">'Start Here'!$B$5</definedName>
    <definedName name="available_years">Config!$E$30</definedName>
    <definedName name="buffer">_xlfn.ANCHORARRAY(Config!$E$35)</definedName>
    <definedName name="BUFFER_LINE">_xlfn.LAMBDA(_xlpm.line, IF(empty_buffer, _xlpm.line, _xlfn.VSTACK(buffer, _xlpm.line)))</definedName>
    <definedName name="change_monitor_for_solver">'Forecast mechanics'!#REF!</definedName>
    <definedName name="CLIP">_xlfn.LAMBDA(_xlpm.x,_xlpm.floor,_xlpm.ceil, MAX(_xlpm.floor, MIN(_xlpm.ceil, _xlpm.x)))</definedName>
    <definedName name="daily_returns_id">'Start Here'!$E$11</definedName>
    <definedName name="empty_buffer">Config!$E$34</definedName>
    <definedName name="EQUALISH">_xlfn.LAMBDA(_xlpm.x,_xlpm.y, ABS(_xlpm.x/_xlpm.y)-1&lt;TOLERANCE)</definedName>
    <definedName name="exit_price">Valuation!$C$19</definedName>
    <definedName name="ExternalData_1" localSheetId="14" hidden="1">'Raw financials'!$A$1:$BD$12</definedName>
    <definedName name="ExternalData_2" localSheetId="13" hidden="1">'Raw daily returns'!$A$1:$N$2196</definedName>
    <definedName name="ff_id_override">'Start Here'!$D$10</definedName>
    <definedName name="fin_axis_max">'For chart'!$D$16</definedName>
    <definedName name="fin_axis_min">'For chart'!$D$15</definedName>
    <definedName name="financials_currency">'Start Here'!$C$14</definedName>
    <definedName name="fsym_id">'Start Here'!#REF!</definedName>
    <definedName name="GET_FINANCIALS_LINE_ITEM" localSheetId="2">_xlfn.LAMBDA(_xlpm.field,TRANSPOSE([0]!BUFFER_LINE('Chosen share'!GET_RAW_DATA_LINE(_xlpm.field))))</definedName>
    <definedName name="GET_FINANCIALS_LINE_ITEM" localSheetId="4">_xlfn.LAMBDA(_xlpm.field,TRANSPOSE([0]!BUFFER_LINE('For export'!GET_RAW_DATA_LINE(_xlpm.field))))</definedName>
    <definedName name="GET_FINANCIALS_LINE_ITEM" localSheetId="5">_xlfn.LAMBDA(_xlpm.field,TRANSPOSE(BUFFER_LINE('Forecast mechanics'!GET_RAW_DATA_LINE(_xlpm.field))))</definedName>
    <definedName name="GET_FINANCIALS_LINE_ITEM">_xlfn.LAMBDA(_xlpm.field,TRANSPOSE(BUFFER_LINE(GET_RAW_DATA_LINE(_xlpm.field))))</definedName>
    <definedName name="GET_RAW_DATA_LINE" localSheetId="2">_xlfn.LAMBDA(_xlpm.field, _xlfn.TAKE(_xlfn.XLOOKUP(_xlpm.field,Raw_financials[#Headers],Raw_financials[]),-[0]!n_years))</definedName>
    <definedName name="GET_RAW_DATA_LINE" localSheetId="4">_xlfn.LAMBDA(_xlpm.field, _xlfn.TAKE(_xlfn.XLOOKUP(_xlpm.field,Raw_financials[#Headers],Raw_financials[]),-[0]!n_years))</definedName>
    <definedName name="GET_RAW_DATA_LINE" localSheetId="5">_xlfn.LAMBDA(_xlpm.field, _xlfn.TAKE(_xlfn.XLOOKUP(_xlpm.field,Raw_financials[#Headers],Raw_financials[]),-n_years))</definedName>
    <definedName name="GET_RAW_DATA_LINE">_xlfn.LAMBDA(_xlpm.field, _xlfn.TAKE(_xlfn.XLOOKUP(_xlpm.field,Raw_financials[#Headers],Raw_financials[]),-n_years))</definedName>
    <definedName name="id_for_financials">'Start Here'!$E$10</definedName>
    <definedName name="infinity">Config!$B$22</definedName>
    <definedName name="investment_horizon">Config!$B$23</definedName>
    <definedName name="matching_names" localSheetId="2">Chosen_share[proper_name]</definedName>
    <definedName name="matching_names" localSheetId="4">Candidate_shares[proper_name]</definedName>
    <definedName name="matching_names" localSheetId="5">Candidate_shares[proper_name]</definedName>
    <definedName name="matching_names">Candidate_shares[proper_name]</definedName>
    <definedName name="max_ebit">Config!$C$9</definedName>
    <definedName name="max_growth">Config!$C$6</definedName>
    <definedName name="max_multiple">Config!$C$8</definedName>
    <definedName name="max_payout">Config!$C$10</definedName>
    <definedName name="max_tax">Config!$C$11</definedName>
    <definedName name="max_terminal_growth">Config!$C$7</definedName>
    <definedName name="min_ebit">Config!$B$9</definedName>
    <definedName name="min_growth">Config!$B$6</definedName>
    <definedName name="min_multiple">Config!$B$8</definedName>
    <definedName name="min_payout">Config!$B$10</definedName>
    <definedName name="min_tax">Config!$B$11</definedName>
    <definedName name="min_terminal_growth">Config!$B$7</definedName>
    <definedName name="n_years">Config!$E$31</definedName>
    <definedName name="name">'Start Here'!$E$8</definedName>
    <definedName name="name_override">'Start Here'!$D$8</definedName>
    <definedName name="name_part">'Start Here'!$B$4</definedName>
    <definedName name="p">Config!$B$24</definedName>
    <definedName name="price_axis_max">'For chart'!$C$16</definedName>
    <definedName name="price_axis_min">'For chart'!$C$15</definedName>
    <definedName name="price_financials_currency">'Start Here'!$C$19</definedName>
    <definedName name="rate_spread">Config!$B$21</definedName>
    <definedName name="reported_shares_in_effective_share">'Start Here'!$C$24</definedName>
    <definedName name="select_share_for_model" localSheetId="1" hidden="1">'Candidate shares'!$A$1:$AE$2</definedName>
    <definedName name="select_share_for_model" localSheetId="2" hidden="1">'Chosen share'!$A$1:$AE$2</definedName>
    <definedName name="share_currency">'Start Here'!$C$13</definedName>
    <definedName name="solver_adj" localSheetId="5" hidden="1">'Forecast mechanics'!$C$122</definedName>
    <definedName name="solver_alpha">'Forecast mechanics'!#REF!</definedName>
    <definedName name="solver_b0">'Forecast mechanics'!#REF!</definedName>
    <definedName name="solver_beta">'Forecast mechanics'!#REF!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0">'Forecast mechanics'!#REF!</definedName>
    <definedName name="solver_lhs1" localSheetId="5" hidden="1">'Forecast mechanics'!$C$122</definedName>
    <definedName name="solver_lhs2" localSheetId="5" hidden="1">'Forecast mechanics'!$C$122</definedName>
    <definedName name="solver_lhs3" localSheetId="5" hidden="1">'Forecast mechanics'!#REF!</definedName>
    <definedName name="solver_lhs4" localSheetId="5" hidden="1">'Forecast mechanics'!#REF!</definedName>
    <definedName name="solver_lhs5" localSheetId="5" hidden="1">'Forecast mechanics'!#REF!</definedName>
    <definedName name="solver_lhs6" localSheetId="5" hidden="1">'Forecast mechanics'!#REF!</definedName>
    <definedName name="solver_lhs7" localSheetId="5" hidden="1">'Forecast mechanics'!#REF!</definedName>
    <definedName name="solver_lhs8" localSheetId="5" hidden="1">'Forecast mechanics'!#REF!</definedName>
    <definedName name="solver_lin" localSheetId="5" hidden="1">1</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2</definedName>
    <definedName name="solver_nwt" localSheetId="5" hidden="1">1</definedName>
    <definedName name="solver_opt" localSheetId="5" hidden="1">'Forecast mechanics'!$C$125</definedName>
    <definedName name="solver_phi">'Forecast mechanics'!#REF!</definedName>
    <definedName name="solver_pre" localSheetId="5" hidden="1">0.000001</definedName>
    <definedName name="solver_rbv" localSheetId="5" hidden="1">1</definedName>
    <definedName name="solver_rel1" localSheetId="5" hidden="1">1</definedName>
    <definedName name="solver_rel2" localSheetId="5" hidden="1">3</definedName>
    <definedName name="solver_rel3" localSheetId="5" hidden="1">3</definedName>
    <definedName name="solver_rel4" localSheetId="5" hidden="1">1</definedName>
    <definedName name="solver_rel5" localSheetId="5" hidden="1">3</definedName>
    <definedName name="solver_rel6" localSheetId="5" hidden="1">1</definedName>
    <definedName name="solver_rel7" localSheetId="5" hidden="1">1</definedName>
    <definedName name="solver_rel8" localSheetId="5" hidden="1">3</definedName>
    <definedName name="solver_result">'Forecast mechanics'!#REF!</definedName>
    <definedName name="solver_result_status">'Forecast mechanics'!#REF!</definedName>
    <definedName name="solver_rhs1" localSheetId="5" hidden="1">1</definedName>
    <definedName name="solver_rhs2" localSheetId="5" hidden="1">0</definedName>
    <definedName name="solver_rhs3" localSheetId="5" hidden="1">0</definedName>
    <definedName name="solver_rhs4" localSheetId="5" hidden="1">solver_alpha</definedName>
    <definedName name="solver_rhs5" localSheetId="5" hidden="1">0.8</definedName>
    <definedName name="solver_rhs6" localSheetId="5" hidden="1">0.99</definedName>
    <definedName name="solver_rhs7" localSheetId="5" hidden="1">30%</definedName>
    <definedName name="solver_rhs8" localSheetId="5" hidden="1">-10%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e">'Forecast mechanics'!#REF!</definedName>
    <definedName name="solver_ssz" localSheetId="5" hidden="1">100</definedName>
    <definedName name="solver_tim" localSheetId="5" hidden="1">2147483647</definedName>
    <definedName name="solver_tol" localSheetId="5" hidden="1">0.01</definedName>
    <definedName name="solver_typ" localSheetId="5" hidden="1">2</definedName>
    <definedName name="solver_val" localSheetId="5" hidden="1">0</definedName>
    <definedName name="solver_ver" localSheetId="5" hidden="1">3</definedName>
    <definedName name="TOLERANCE">0.000001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0" i="7" l="1"/>
  <c r="A7" i="6"/>
  <c r="C21" i="8" a="1"/>
  <c r="C21" i="8" s="1"/>
  <c r="C20" i="8" a="1"/>
  <c r="C20" i="8" s="1"/>
  <c r="C18" i="8" a="1"/>
  <c r="C18" i="8" s="1"/>
  <c r="C16" i="8" a="1"/>
  <c r="C16" i="8" s="1"/>
  <c r="C15" i="8" a="1"/>
  <c r="C15" i="8" s="1"/>
  <c r="C14" i="8" a="1"/>
  <c r="C14" i="8" s="1"/>
  <c r="C13" i="8" a="1"/>
  <c r="C13" i="8" s="1"/>
  <c r="C11" i="8" a="1"/>
  <c r="C11" i="8" s="1"/>
  <c r="G5" i="8" a="1"/>
  <c r="G5" i="8" s="1"/>
  <c r="BL7" i="24"/>
  <c r="V22" i="22"/>
  <c r="U22" i="22"/>
  <c r="T22" i="22"/>
  <c r="S22" i="22"/>
  <c r="R22" i="22"/>
  <c r="Q22" i="22"/>
  <c r="P22" i="22"/>
  <c r="O22" i="22"/>
  <c r="N22" i="22"/>
  <c r="M22" i="22"/>
  <c r="L22" i="22"/>
  <c r="K22" i="22"/>
  <c r="J22" i="22"/>
  <c r="I22" i="22"/>
  <c r="H22" i="22"/>
  <c r="G22" i="22"/>
  <c r="F22" i="22"/>
  <c r="E22" i="22"/>
  <c r="D22" i="22"/>
  <c r="V57" i="22"/>
  <c r="U57" i="22"/>
  <c r="T57" i="22"/>
  <c r="S57" i="22"/>
  <c r="R57" i="22"/>
  <c r="Q57" i="22"/>
  <c r="P57" i="22"/>
  <c r="O57" i="22"/>
  <c r="N57" i="22"/>
  <c r="M57" i="22"/>
  <c r="L57" i="22"/>
  <c r="K57" i="22"/>
  <c r="J57" i="22"/>
  <c r="I57" i="22"/>
  <c r="H57" i="22"/>
  <c r="G57" i="22"/>
  <c r="F57" i="22"/>
  <c r="E57" i="22"/>
  <c r="D57" i="22"/>
  <c r="C57" i="22"/>
  <c r="C59" i="22" l="1"/>
  <c r="C60" i="22"/>
  <c r="AB6" i="22"/>
  <c r="AA6" i="22"/>
  <c r="Z6" i="22"/>
  <c r="Y6" i="22"/>
  <c r="X6" i="22"/>
  <c r="W6" i="22"/>
  <c r="V6" i="22"/>
  <c r="U6" i="22"/>
  <c r="T6" i="22"/>
  <c r="S6" i="22"/>
  <c r="R6" i="22"/>
  <c r="Q6" i="22"/>
  <c r="P6" i="22"/>
  <c r="O6" i="22"/>
  <c r="N6" i="22"/>
  <c r="M6" i="22"/>
  <c r="L6" i="22"/>
  <c r="K6" i="22"/>
  <c r="J6" i="22"/>
  <c r="I6" i="22"/>
  <c r="H6" i="22"/>
  <c r="G6" i="22"/>
  <c r="F6" i="22"/>
  <c r="E6" i="22"/>
  <c r="D6" i="22"/>
  <c r="C6" i="22"/>
  <c r="B164" i="22"/>
  <c r="B163" i="22"/>
  <c r="B162" i="22"/>
  <c r="B161" i="22"/>
  <c r="B160" i="22"/>
  <c r="B159" i="22"/>
  <c r="B158" i="22"/>
  <c r="B157" i="22"/>
  <c r="B156" i="22"/>
  <c r="B155" i="22"/>
  <c r="A2" i="23" a="1"/>
  <c r="A2" i="23" s="1"/>
  <c r="A2" i="1" a="1"/>
  <c r="A2" i="1" s="1"/>
  <c r="A2" i="15" a="1"/>
  <c r="A2" i="15" s="1"/>
  <c r="A2" i="18" a="1"/>
  <c r="A2" i="18" s="1"/>
  <c r="B2" i="20" a="1"/>
  <c r="B2" i="20" s="1"/>
  <c r="B2" i="21" a="1"/>
  <c r="B2" i="21" s="1"/>
  <c r="B2" i="7" a="1"/>
  <c r="B2" i="7" s="1"/>
  <c r="B2" i="6" a="1"/>
  <c r="B2" i="6" s="1"/>
  <c r="B2" i="3" a="1"/>
  <c r="B2" i="3" s="1"/>
  <c r="B2" i="22" a="1"/>
  <c r="B2" i="22" s="1"/>
  <c r="A2" i="16" a="1"/>
  <c r="A2" i="16" s="1"/>
  <c r="A2" i="8" a="1"/>
  <c r="A2" i="8" s="1"/>
  <c r="A4" i="23"/>
  <c r="A7" i="23"/>
  <c r="A6" i="23"/>
  <c r="A5" i="23"/>
  <c r="B25" i="15"/>
  <c r="C78" i="22"/>
  <c r="C77" i="22"/>
  <c r="C76" i="22"/>
  <c r="C75" i="22"/>
  <c r="C79" i="22"/>
  <c r="G45" i="21"/>
  <c r="F45" i="21"/>
  <c r="E45" i="21"/>
  <c r="D45" i="21"/>
  <c r="B22" i="15"/>
  <c r="E33" i="15"/>
  <c r="E30" i="15"/>
  <c r="M32" i="22" l="1"/>
  <c r="M33" i="22"/>
  <c r="M29" i="22"/>
  <c r="C123" i="22"/>
  <c r="F123" i="22"/>
  <c r="D123" i="22"/>
  <c r="A6" i="3"/>
  <c r="A11" i="3"/>
  <c r="A9" i="3"/>
  <c r="A7" i="3"/>
  <c r="D46" i="21"/>
  <c r="C8" i="8"/>
  <c r="E8" i="8" s="1" a="1"/>
  <c r="E8" i="8" s="1"/>
  <c r="C9" i="8" s="1"/>
  <c r="C10" i="8" s="1" a="1"/>
  <c r="C10" i="8" s="1"/>
  <c r="C7" i="8"/>
  <c r="A10" i="8"/>
  <c r="C13" i="21"/>
  <c r="C12" i="21"/>
  <c r="C67" i="7" a="1"/>
  <c r="C67" i="7" s="1"/>
  <c r="W62" i="3" a="1"/>
  <c r="W62" i="3" s="1"/>
  <c r="X60" i="3" s="1"/>
  <c r="X62" i="3" s="1" a="1"/>
  <c r="X62" i="3" s="1"/>
  <c r="Y60" i="3" s="1"/>
  <c r="A74" i="3"/>
  <c r="B5" i="18"/>
  <c r="B6" i="18"/>
  <c r="E23" i="21"/>
  <c r="F23" i="21" s="1"/>
  <c r="G23" i="21" s="1"/>
  <c r="C8" i="21"/>
  <c r="H31" i="15"/>
  <c r="H32" i="15" s="1"/>
  <c r="E31" i="15"/>
  <c r="BL7" i="10"/>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A32" i="7"/>
  <c r="A30" i="7"/>
  <c r="A29" i="7"/>
  <c r="A28" i="7"/>
  <c r="A25" i="7"/>
  <c r="A22" i="7"/>
  <c r="A21" i="7"/>
  <c r="A20" i="7"/>
  <c r="A18" i="7"/>
  <c r="A31" i="15" a="1"/>
  <c r="A31" i="15" s="1"/>
  <c r="A83" i="3"/>
  <c r="A35" i="3"/>
  <c r="A32" i="3"/>
  <c r="A27" i="3"/>
  <c r="A26" i="3"/>
  <c r="A23" i="3"/>
  <c r="A22" i="3"/>
  <c r="A20" i="3"/>
  <c r="A15" i="3"/>
  <c r="A18" i="3"/>
  <c r="A17" i="3"/>
  <c r="D6" i="7"/>
  <c r="E6" i="7" s="1"/>
  <c r="F6" i="7" s="1"/>
  <c r="G6" i="7" s="1"/>
  <c r="H6" i="7" s="1"/>
  <c r="I6" i="7" s="1"/>
  <c r="J6" i="7" s="1"/>
  <c r="K6" i="7" s="1"/>
  <c r="L6" i="7" s="1"/>
  <c r="M6" i="7" s="1"/>
  <c r="N6" i="7" s="1"/>
  <c r="O6" i="7" s="1"/>
  <c r="P6" i="7" s="1"/>
  <c r="Q6" i="7" s="1"/>
  <c r="R6" i="7" s="1"/>
  <c r="S6" i="7" s="1"/>
  <c r="T6" i="7" s="1"/>
  <c r="U6" i="7" s="1"/>
  <c r="V6" i="7" s="1"/>
  <c r="E123" i="22" l="1"/>
  <c r="G123" i="22"/>
  <c r="A1" i="23"/>
  <c r="A1" i="1"/>
  <c r="B1" i="6"/>
  <c r="A1" i="18"/>
  <c r="A1" i="15"/>
  <c r="B1" i="3"/>
  <c r="B1" i="22"/>
  <c r="B1" i="7"/>
  <c r="B1" i="20"/>
  <c r="B1" i="21"/>
  <c r="A1" i="8"/>
  <c r="G6" i="16"/>
  <c r="E10" i="8" a="1"/>
  <c r="E10" i="8" s="1"/>
  <c r="H34" i="15"/>
  <c r="H33" i="15"/>
  <c r="B31" i="15"/>
  <c r="B44" i="15"/>
  <c r="B72" i="15"/>
  <c r="B32" i="15"/>
  <c r="B73" i="15"/>
  <c r="B36" i="15"/>
  <c r="B37" i="15"/>
  <c r="B48" i="15"/>
  <c r="B49" i="15"/>
  <c r="B56" i="15"/>
  <c r="B60" i="15"/>
  <c r="B61" i="15"/>
  <c r="B68" i="15"/>
  <c r="B38" i="15"/>
  <c r="B50" i="15"/>
  <c r="B62" i="15"/>
  <c r="B39" i="15"/>
  <c r="B51" i="15"/>
  <c r="B63" i="15"/>
  <c r="B40" i="15"/>
  <c r="B52" i="15"/>
  <c r="B64" i="15"/>
  <c r="B41" i="15"/>
  <c r="B53" i="15"/>
  <c r="B65" i="15"/>
  <c r="B42" i="15"/>
  <c r="B54" i="15"/>
  <c r="B66" i="15"/>
  <c r="B43" i="15"/>
  <c r="B55" i="15"/>
  <c r="B67" i="15"/>
  <c r="B33" i="15"/>
  <c r="B45" i="15"/>
  <c r="B57" i="15"/>
  <c r="B69" i="15"/>
  <c r="B34" i="15"/>
  <c r="B46" i="15"/>
  <c r="B58" i="15"/>
  <c r="B70" i="15"/>
  <c r="B35" i="15"/>
  <c r="B47" i="15"/>
  <c r="B59" i="15"/>
  <c r="B71" i="15"/>
  <c r="H123" i="22" l="1"/>
  <c r="G5" i="16"/>
  <c r="E32" i="15"/>
  <c r="E35" i="15" s="1" a="1"/>
  <c r="E35" i="15" s="1"/>
  <c r="C22" i="8"/>
  <c r="E11" i="8" a="1"/>
  <c r="E11" i="8" s="1"/>
  <c r="Y62" i="3" a="1"/>
  <c r="Y62" i="3" s="1"/>
  <c r="Z60" i="3" s="1"/>
  <c r="B7" i="18"/>
  <c r="D6" i="18" s="1" a="1"/>
  <c r="D6" i="18" s="1"/>
  <c r="E6" i="18" s="1" a="1"/>
  <c r="E6" i="18" s="1"/>
  <c r="F6" i="18" s="1" a="1"/>
  <c r="F6" i="18" s="1"/>
  <c r="A1" i="16"/>
  <c r="I123" i="22" l="1"/>
  <c r="A19" i="8"/>
  <c r="A10" i="16"/>
  <c r="E7" i="16"/>
  <c r="C8" i="16"/>
  <c r="A8" i="16"/>
  <c r="E4" i="16"/>
  <c r="C7" i="16"/>
  <c r="A7" i="16"/>
  <c r="B7" i="16"/>
  <c r="C17" i="8"/>
  <c r="A16" i="8"/>
  <c r="A15" i="8"/>
  <c r="A17" i="8"/>
  <c r="Z62" i="3" a="1"/>
  <c r="Z62" i="3" s="1"/>
  <c r="AA60" i="3" s="1"/>
  <c r="B4" i="16"/>
  <c r="G6" i="18" a="1"/>
  <c r="G6" i="18" s="1"/>
  <c r="E34" i="15" a="1"/>
  <c r="E34" i="15" s="1"/>
  <c r="C10" i="7" l="1" a="1"/>
  <c r="C7" i="6" a="1"/>
  <c r="G4" i="16"/>
  <c r="C19" i="8"/>
  <c r="J123" i="22"/>
  <c r="C74" i="3" a="1"/>
  <c r="C74" i="3" s="1"/>
  <c r="C63" i="7" s="1" a="1"/>
  <c r="C63" i="7" s="1"/>
  <c r="C8" i="20"/>
  <c r="C7" i="20"/>
  <c r="AA62" i="3" a="1"/>
  <c r="AA62" i="3" s="1"/>
  <c r="AB60" i="3" s="1"/>
  <c r="AB62" i="3" s="1" a="1"/>
  <c r="AB62" i="3" s="1"/>
  <c r="C21" i="7" a="1"/>
  <c r="C21" i="7" s="1"/>
  <c r="C28" i="7" a="1"/>
  <c r="C28" i="7" s="1"/>
  <c r="C20" i="7" a="1"/>
  <c r="C20" i="7" s="1"/>
  <c r="C28" i="6" a="1"/>
  <c r="C28" i="6" s="1"/>
  <c r="C13" i="6" a="1"/>
  <c r="C13" i="6" s="1"/>
  <c r="C30" i="7" a="1"/>
  <c r="C30" i="7" s="1"/>
  <c r="C29" i="7" a="1"/>
  <c r="C29" i="7" s="1"/>
  <c r="C21" i="6" a="1"/>
  <c r="C21" i="6" s="1"/>
  <c r="C27" i="3" a="1"/>
  <c r="C49" i="6" a="1"/>
  <c r="C14" i="6" a="1"/>
  <c r="C14" i="6" s="1"/>
  <c r="C16" i="6" a="1"/>
  <c r="C11" i="6" a="1"/>
  <c r="C18" i="7" a="1"/>
  <c r="C48" i="6" a="1"/>
  <c r="C9" i="3" a="1"/>
  <c r="C6" i="3" a="1"/>
  <c r="C41" i="6" a="1"/>
  <c r="C24" i="6" a="1"/>
  <c r="C25" i="6" a="1"/>
  <c r="C32" i="7" a="1"/>
  <c r="C32" i="7" s="1"/>
  <c r="C26" i="6" a="1"/>
  <c r="C26" i="6" s="1"/>
  <c r="C25" i="7" a="1"/>
  <c r="C25" i="7" s="1"/>
  <c r="C17" i="3" a="1"/>
  <c r="C44" i="6" a="1"/>
  <c r="C22" i="3" a="1"/>
  <c r="C35" i="3" a="1"/>
  <c r="C7" i="3" a="1"/>
  <c r="C18" i="3" a="1"/>
  <c r="C18" i="3" s="1"/>
  <c r="C31" i="6" a="1"/>
  <c r="C47" i="6" a="1"/>
  <c r="C22" i="7" a="1"/>
  <c r="C22" i="7" s="1"/>
  <c r="C17" i="6" a="1"/>
  <c r="C17" i="6" s="1"/>
  <c r="C36" i="6" a="1"/>
  <c r="C23" i="3" a="1"/>
  <c r="C83" i="3" a="1"/>
  <c r="C32" i="3" a="1"/>
  <c r="C15" i="3" a="1"/>
  <c r="C35" i="6" a="1"/>
  <c r="C38" i="6" a="1"/>
  <c r="C38" i="6" s="1"/>
  <c r="C20" i="3" a="1"/>
  <c r="C26" i="3" a="1"/>
  <c r="C11" i="3" a="1"/>
  <c r="W7" i="6" l="1"/>
  <c r="AA7" i="6"/>
  <c r="X7" i="6"/>
  <c r="C7" i="6"/>
  <c r="AB7" i="6"/>
  <c r="Y7" i="6"/>
  <c r="Z7" i="6"/>
  <c r="AB10" i="7"/>
  <c r="X10" i="7"/>
  <c r="Z10" i="7"/>
  <c r="C10" i="7"/>
  <c r="W10" i="7"/>
  <c r="Y10" i="7"/>
  <c r="AA10" i="7"/>
  <c r="R77" i="3"/>
  <c r="F77" i="3"/>
  <c r="P77" i="3"/>
  <c r="O77" i="3"/>
  <c r="Q77" i="3"/>
  <c r="N77" i="3"/>
  <c r="L77" i="3"/>
  <c r="K77" i="3"/>
  <c r="V77" i="3"/>
  <c r="J77" i="3"/>
  <c r="I77" i="3"/>
  <c r="T77" i="3"/>
  <c r="M77" i="3"/>
  <c r="U77" i="3"/>
  <c r="H77" i="3"/>
  <c r="G77" i="3"/>
  <c r="E77" i="3"/>
  <c r="S77" i="3"/>
  <c r="F38" i="16"/>
  <c r="B54" i="16"/>
  <c r="E38" i="16"/>
  <c r="D38" i="16"/>
  <c r="C38" i="16"/>
  <c r="B38" i="16"/>
  <c r="E54" i="16"/>
  <c r="C54" i="16"/>
  <c r="D54" i="16"/>
  <c r="K36" i="3"/>
  <c r="K82" i="3" s="1"/>
  <c r="E36" i="3"/>
  <c r="E87" i="3" s="1"/>
  <c r="V36" i="3"/>
  <c r="V82" i="3" s="1"/>
  <c r="J36" i="3"/>
  <c r="J82" i="3" s="1"/>
  <c r="U36" i="3"/>
  <c r="U82" i="3" s="1"/>
  <c r="I36" i="3"/>
  <c r="I82" i="3" s="1"/>
  <c r="N36" i="3"/>
  <c r="N82" i="3" s="1"/>
  <c r="M36" i="3"/>
  <c r="M82" i="3" s="1"/>
  <c r="L36" i="3"/>
  <c r="L87" i="3" s="1"/>
  <c r="T36" i="3"/>
  <c r="T87" i="3" s="1"/>
  <c r="D32" i="16" s="1"/>
  <c r="H36" i="3"/>
  <c r="H87" i="3" s="1"/>
  <c r="R36" i="3"/>
  <c r="R82" i="3" s="1"/>
  <c r="F36" i="3"/>
  <c r="F82" i="3" s="1"/>
  <c r="Q36" i="3"/>
  <c r="Q87" i="3" s="1"/>
  <c r="S36" i="3"/>
  <c r="S82" i="3" s="1"/>
  <c r="G36" i="3"/>
  <c r="G82" i="3" s="1"/>
  <c r="P36" i="3"/>
  <c r="P82" i="3" s="1"/>
  <c r="O36" i="3"/>
  <c r="O82" i="3" s="1"/>
  <c r="K123" i="22"/>
  <c r="W48" i="6"/>
  <c r="X48" i="6" s="1"/>
  <c r="Y48" i="6" s="1"/>
  <c r="Z48" i="6" s="1"/>
  <c r="AA48" i="6" s="1"/>
  <c r="AB48" i="6" s="1"/>
  <c r="A12" i="16"/>
  <c r="C16" i="6"/>
  <c r="C15" i="6" s="1"/>
  <c r="C24" i="6"/>
  <c r="C35" i="3"/>
  <c r="C23" i="8"/>
  <c r="C24" i="8" s="1"/>
  <c r="C24" i="21" s="1"/>
  <c r="B8" i="16"/>
  <c r="W35" i="6"/>
  <c r="W77" i="3"/>
  <c r="W34" i="21"/>
  <c r="D65" i="16"/>
  <c r="W6" i="3"/>
  <c r="AA6" i="3"/>
  <c r="X6" i="3"/>
  <c r="AB6" i="3"/>
  <c r="Z6" i="3"/>
  <c r="Y6" i="3"/>
  <c r="J42" i="21"/>
  <c r="V42" i="21"/>
  <c r="M42" i="21"/>
  <c r="N42" i="21"/>
  <c r="K42" i="21"/>
  <c r="L42" i="21"/>
  <c r="O42" i="21"/>
  <c r="P42" i="21"/>
  <c r="Q42" i="21"/>
  <c r="R42" i="21"/>
  <c r="S42" i="21"/>
  <c r="T42" i="21"/>
  <c r="I42" i="21"/>
  <c r="U42" i="21"/>
  <c r="E43" i="16"/>
  <c r="D43" i="16"/>
  <c r="C43" i="16"/>
  <c r="B43" i="16"/>
  <c r="E44" i="16"/>
  <c r="D44" i="16"/>
  <c r="C44" i="16"/>
  <c r="B44" i="16"/>
  <c r="B48" i="16"/>
  <c r="C48" i="16"/>
  <c r="E48" i="16"/>
  <c r="D48" i="16"/>
  <c r="C27" i="3"/>
  <c r="W27" i="3"/>
  <c r="X27" i="3" s="1"/>
  <c r="Y27" i="3" s="1"/>
  <c r="Z27" i="3" s="1"/>
  <c r="AA27" i="3" s="1"/>
  <c r="AB27" i="3" s="1"/>
  <c r="F66" i="7"/>
  <c r="E66" i="7"/>
  <c r="D66" i="7"/>
  <c r="G66" i="7"/>
  <c r="C26" i="3"/>
  <c r="V42" i="3"/>
  <c r="B65" i="16"/>
  <c r="C65" i="16"/>
  <c r="C49" i="6"/>
  <c r="W49" i="6"/>
  <c r="X49" i="6" s="1"/>
  <c r="Y49" i="6" s="1"/>
  <c r="Z49" i="6" s="1"/>
  <c r="AA49" i="6" s="1"/>
  <c r="AB49" i="6" s="1"/>
  <c r="D12" i="7"/>
  <c r="B22" i="16"/>
  <c r="O93" i="3"/>
  <c r="D93" i="3"/>
  <c r="P93" i="3"/>
  <c r="H93" i="3"/>
  <c r="E93" i="3"/>
  <c r="Q93" i="3"/>
  <c r="T93" i="3"/>
  <c r="I93" i="3"/>
  <c r="U93" i="3"/>
  <c r="N93" i="3"/>
  <c r="F93" i="3"/>
  <c r="R93" i="3"/>
  <c r="G93" i="3"/>
  <c r="S93" i="3"/>
  <c r="J93" i="3"/>
  <c r="V93" i="3"/>
  <c r="K93" i="3"/>
  <c r="M93" i="3"/>
  <c r="L93" i="3"/>
  <c r="D37" i="6"/>
  <c r="U62" i="3"/>
  <c r="H57" i="7"/>
  <c r="G103" i="3"/>
  <c r="E62" i="3"/>
  <c r="J42" i="3"/>
  <c r="C22" i="16"/>
  <c r="W28" i="6"/>
  <c r="X28" i="6" s="1"/>
  <c r="Y28" i="6" s="1"/>
  <c r="Z28" i="6" s="1"/>
  <c r="AA28" i="6" s="1"/>
  <c r="AB28" i="6" s="1"/>
  <c r="D23" i="16"/>
  <c r="F42" i="3"/>
  <c r="Q50" i="7"/>
  <c r="S50" i="7"/>
  <c r="F50" i="7"/>
  <c r="N90" i="3"/>
  <c r="V62" i="3"/>
  <c r="P42" i="3"/>
  <c r="E50" i="7"/>
  <c r="R62" i="3"/>
  <c r="D22" i="16"/>
  <c r="B23" i="16"/>
  <c r="Q59" i="6"/>
  <c r="V50" i="7"/>
  <c r="K50" i="7"/>
  <c r="I62" i="3"/>
  <c r="Q70" i="3"/>
  <c r="M50" i="7"/>
  <c r="G70" i="3"/>
  <c r="L62" i="3"/>
  <c r="P30" i="6"/>
  <c r="P29" i="6" s="1"/>
  <c r="P65" i="6" s="1"/>
  <c r="G42" i="3"/>
  <c r="G50" i="3"/>
  <c r="G75" i="3" s="1"/>
  <c r="P62" i="3"/>
  <c r="Q30" i="6"/>
  <c r="Q29" i="6" s="1"/>
  <c r="Q65" i="6" s="1"/>
  <c r="O62" i="3"/>
  <c r="L42" i="3"/>
  <c r="O42" i="3"/>
  <c r="K62" i="3"/>
  <c r="S43" i="6"/>
  <c r="S42" i="6" s="1"/>
  <c r="E70" i="3"/>
  <c r="L60" i="6"/>
  <c r="L61" i="6" s="1"/>
  <c r="E66" i="3"/>
  <c r="G13" i="16"/>
  <c r="U60" i="6"/>
  <c r="U61" i="6" s="1"/>
  <c r="F15" i="6"/>
  <c r="I50" i="7"/>
  <c r="N62" i="3"/>
  <c r="R15" i="6"/>
  <c r="D15" i="6"/>
  <c r="G62" i="3"/>
  <c r="C11" i="6"/>
  <c r="P12" i="3"/>
  <c r="T60" i="6"/>
  <c r="T61" i="6" s="1"/>
  <c r="L12" i="7"/>
  <c r="G60" i="6"/>
  <c r="G61" i="6" s="1"/>
  <c r="R50" i="7"/>
  <c r="H66" i="3"/>
  <c r="S60" i="6"/>
  <c r="S61" i="6" s="1"/>
  <c r="G12" i="3"/>
  <c r="W35" i="3"/>
  <c r="G38" i="16" s="1"/>
  <c r="C23" i="16"/>
  <c r="T62" i="3"/>
  <c r="F37" i="6"/>
  <c r="H60" i="6"/>
  <c r="H61" i="6" s="1"/>
  <c r="R60" i="6"/>
  <c r="R61" i="6" s="1"/>
  <c r="I60" i="6"/>
  <c r="I61" i="6" s="1"/>
  <c r="O12" i="7"/>
  <c r="J50" i="7"/>
  <c r="I12" i="7"/>
  <c r="G104" i="3"/>
  <c r="S24" i="7"/>
  <c r="H27" i="7"/>
  <c r="H52" i="7" s="1"/>
  <c r="M20" i="6"/>
  <c r="S70" i="3"/>
  <c r="T50" i="7"/>
  <c r="R70" i="3"/>
  <c r="D20" i="6"/>
  <c r="N70" i="3"/>
  <c r="I20" i="6"/>
  <c r="H15" i="6"/>
  <c r="T15" i="6"/>
  <c r="S15" i="6"/>
  <c r="H12" i="3"/>
  <c r="J12" i="3"/>
  <c r="U50" i="7"/>
  <c r="P50" i="7"/>
  <c r="H106" i="3"/>
  <c r="G20" i="6"/>
  <c r="K15" i="6"/>
  <c r="O57" i="6"/>
  <c r="I66" i="3"/>
  <c r="V15" i="6"/>
  <c r="U20" i="6"/>
  <c r="P15" i="6"/>
  <c r="P103" i="3"/>
  <c r="J8" i="3"/>
  <c r="R20" i="6"/>
  <c r="N15" i="6"/>
  <c r="V20" i="6"/>
  <c r="G14" i="16" s="1"/>
  <c r="U15" i="6"/>
  <c r="L15" i="6"/>
  <c r="M12" i="7"/>
  <c r="E20" i="6"/>
  <c r="E90" i="3"/>
  <c r="K20" i="6"/>
  <c r="V66" i="3"/>
  <c r="W64" i="3" s="1"/>
  <c r="I15" i="6"/>
  <c r="M15" i="6"/>
  <c r="L20" i="6"/>
  <c r="M60" i="6"/>
  <c r="M61" i="6" s="1"/>
  <c r="Q15" i="6"/>
  <c r="O15" i="6"/>
  <c r="L50" i="7"/>
  <c r="O50" i="7"/>
  <c r="I30" i="6"/>
  <c r="I29" i="6" s="1"/>
  <c r="I65" i="6" s="1"/>
  <c r="E23" i="16"/>
  <c r="G58" i="7"/>
  <c r="T58" i="7"/>
  <c r="J104" i="3"/>
  <c r="I103" i="3"/>
  <c r="Q8" i="3"/>
  <c r="U103" i="3"/>
  <c r="G8" i="3"/>
  <c r="D8" i="3"/>
  <c r="H103" i="3"/>
  <c r="V103" i="3"/>
  <c r="E103" i="3"/>
  <c r="R8" i="3"/>
  <c r="K103" i="3"/>
  <c r="T103" i="3"/>
  <c r="O103" i="3"/>
  <c r="Q103" i="3"/>
  <c r="F103" i="3"/>
  <c r="S8" i="3"/>
  <c r="H8" i="3"/>
  <c r="P8" i="3"/>
  <c r="F58" i="7"/>
  <c r="J50" i="3"/>
  <c r="J75" i="3" s="1"/>
  <c r="T46" i="3"/>
  <c r="L103" i="3"/>
  <c r="J103" i="3"/>
  <c r="C32" i="3"/>
  <c r="D27" i="7"/>
  <c r="D52" i="7" s="1"/>
  <c r="M27" i="7"/>
  <c r="M52" i="7" s="1"/>
  <c r="K27" i="7"/>
  <c r="K52" i="7" s="1"/>
  <c r="R27" i="7"/>
  <c r="R52" i="7" s="1"/>
  <c r="J27" i="7"/>
  <c r="J52" i="7" s="1"/>
  <c r="T27" i="7"/>
  <c r="T52" i="7" s="1"/>
  <c r="P27" i="7"/>
  <c r="P52" i="7" s="1"/>
  <c r="S27" i="7"/>
  <c r="S52" i="7" s="1"/>
  <c r="N27" i="7"/>
  <c r="N52" i="7" s="1"/>
  <c r="V27" i="7"/>
  <c r="V52" i="7" s="1"/>
  <c r="L27" i="7"/>
  <c r="L52" i="7" s="1"/>
  <c r="C48" i="6"/>
  <c r="C14" i="16"/>
  <c r="T90" i="3"/>
  <c r="V104" i="3"/>
  <c r="U8" i="3"/>
  <c r="G46" i="3"/>
  <c r="C18" i="7"/>
  <c r="C34" i="7" s="1"/>
  <c r="S34" i="7"/>
  <c r="O34" i="7"/>
  <c r="G34" i="7"/>
  <c r="Q34" i="7"/>
  <c r="E34" i="7"/>
  <c r="R34" i="7"/>
  <c r="N34" i="7"/>
  <c r="I58" i="7"/>
  <c r="I34" i="7"/>
  <c r="I27" i="7"/>
  <c r="I52" i="7" s="1"/>
  <c r="U27" i="7"/>
  <c r="U52" i="7" s="1"/>
  <c r="Q104" i="3"/>
  <c r="N24" i="3"/>
  <c r="N54" i="3" s="1"/>
  <c r="S90" i="3"/>
  <c r="D30" i="6"/>
  <c r="D29" i="6" s="1"/>
  <c r="D65" i="6" s="1"/>
  <c r="K104" i="3"/>
  <c r="H30" i="6"/>
  <c r="H29" i="6" s="1"/>
  <c r="H65" i="6" s="1"/>
  <c r="Q27" i="7"/>
  <c r="Q52" i="7" s="1"/>
  <c r="G27" i="7"/>
  <c r="G52" i="7" s="1"/>
  <c r="S103" i="3"/>
  <c r="U90" i="3"/>
  <c r="V34" i="7"/>
  <c r="E27" i="7"/>
  <c r="E52" i="7" s="1"/>
  <c r="N8" i="3"/>
  <c r="O8" i="3"/>
  <c r="F90" i="3"/>
  <c r="D90" i="3"/>
  <c r="V30" i="6"/>
  <c r="V29" i="6" s="1"/>
  <c r="W29" i="6" s="1"/>
  <c r="X29" i="6" s="1"/>
  <c r="Y29" i="6" s="1"/>
  <c r="Z29" i="6" s="1"/>
  <c r="AA29" i="6" s="1"/>
  <c r="AB29" i="6" s="1"/>
  <c r="D34" i="7"/>
  <c r="C15" i="3"/>
  <c r="C114" i="22" s="1" a="1"/>
  <c r="C114" i="22" s="1"/>
  <c r="E104" i="3"/>
  <c r="J46" i="3"/>
  <c r="L104" i="3"/>
  <c r="S104" i="3"/>
  <c r="F104" i="3"/>
  <c r="S46" i="3"/>
  <c r="R46" i="3"/>
  <c r="I104" i="3"/>
  <c r="P104" i="3"/>
  <c r="Q46" i="3"/>
  <c r="K46" i="3"/>
  <c r="F46" i="3"/>
  <c r="M46" i="3"/>
  <c r="U104" i="3"/>
  <c r="U46" i="3"/>
  <c r="O104" i="3"/>
  <c r="N104" i="3"/>
  <c r="H104" i="3"/>
  <c r="O19" i="3"/>
  <c r="R58" i="7"/>
  <c r="E58" i="7"/>
  <c r="G48" i="7"/>
  <c r="U58" i="7"/>
  <c r="D58" i="7"/>
  <c r="L58" i="7"/>
  <c r="M58" i="7"/>
  <c r="H58" i="7"/>
  <c r="S58" i="7"/>
  <c r="O58" i="7"/>
  <c r="Q58" i="7"/>
  <c r="L48" i="7"/>
  <c r="J58" i="7"/>
  <c r="P58" i="7"/>
  <c r="E30" i="6"/>
  <c r="E29" i="6" s="1"/>
  <c r="E65" i="6" s="1"/>
  <c r="G90" i="3"/>
  <c r="V46" i="3"/>
  <c r="C9" i="3"/>
  <c r="K59" i="6"/>
  <c r="F27" i="7"/>
  <c r="F52" i="7" s="1"/>
  <c r="U30" i="6"/>
  <c r="U29" i="6" s="1"/>
  <c r="U65" i="6" s="1"/>
  <c r="V58" i="7"/>
  <c r="R104" i="3"/>
  <c r="C22" i="3"/>
  <c r="F50" i="3"/>
  <c r="F75" i="3" s="1"/>
  <c r="L50" i="3"/>
  <c r="L75" i="3" s="1"/>
  <c r="T50" i="3"/>
  <c r="D50" i="3"/>
  <c r="D75" i="3" s="1"/>
  <c r="P50" i="3"/>
  <c r="P75" i="3" s="1"/>
  <c r="K50" i="3"/>
  <c r="K75" i="3" s="1"/>
  <c r="V50" i="3"/>
  <c r="U50" i="3"/>
  <c r="Q50" i="3"/>
  <c r="Q75" i="3" s="1"/>
  <c r="C31" i="6"/>
  <c r="F30" i="6"/>
  <c r="F29" i="6" s="1"/>
  <c r="F65" i="6" s="1"/>
  <c r="M30" i="6"/>
  <c r="M29" i="6" s="1"/>
  <c r="M65" i="6" s="1"/>
  <c r="L90" i="3"/>
  <c r="M51" i="6"/>
  <c r="O90" i="3"/>
  <c r="T30" i="6"/>
  <c r="T29" i="6" s="1"/>
  <c r="T65" i="6" s="1"/>
  <c r="K30" i="6"/>
  <c r="K29" i="6" s="1"/>
  <c r="K65" i="6" s="1"/>
  <c r="G30" i="6"/>
  <c r="G29" i="6" s="1"/>
  <c r="G65" i="6" s="1"/>
  <c r="O30" i="6"/>
  <c r="O29" i="6" s="1"/>
  <c r="O65" i="6" s="1"/>
  <c r="L30" i="6"/>
  <c r="L29" i="6" s="1"/>
  <c r="L65" i="6" s="1"/>
  <c r="S30" i="6"/>
  <c r="S29" i="6" s="1"/>
  <c r="S65" i="6" s="1"/>
  <c r="P90" i="3"/>
  <c r="J30" i="6"/>
  <c r="J29" i="6" s="1"/>
  <c r="J65" i="6" s="1"/>
  <c r="Q90" i="3"/>
  <c r="K58" i="7"/>
  <c r="R30" i="6"/>
  <c r="R29" i="6" s="1"/>
  <c r="R65" i="6" s="1"/>
  <c r="I50" i="3"/>
  <c r="I75" i="3" s="1"/>
  <c r="J60" i="6"/>
  <c r="J61" i="6" s="1"/>
  <c r="J15" i="6"/>
  <c r="I57" i="6"/>
  <c r="J20" i="6"/>
  <c r="S20" i="6"/>
  <c r="O60" i="6"/>
  <c r="O61" i="6" s="1"/>
  <c r="T24" i="7"/>
  <c r="U70" i="3"/>
  <c r="E15" i="6"/>
  <c r="P70" i="3"/>
  <c r="Q42" i="3"/>
  <c r="N42" i="3"/>
  <c r="F20" i="6"/>
  <c r="H20" i="6"/>
  <c r="P60" i="6"/>
  <c r="P61" i="6" s="1"/>
  <c r="G15" i="6"/>
  <c r="G50" i="7"/>
  <c r="D50" i="7"/>
  <c r="H50" i="7"/>
  <c r="T70" i="3"/>
  <c r="L70" i="3"/>
  <c r="F22" i="16"/>
  <c r="N50" i="7"/>
  <c r="I42" i="3"/>
  <c r="O24" i="7"/>
  <c r="T20" i="6"/>
  <c r="D60" i="6"/>
  <c r="D61" i="6" s="1"/>
  <c r="H37" i="6"/>
  <c r="C44" i="6"/>
  <c r="C43" i="6" s="1"/>
  <c r="P51" i="6"/>
  <c r="E51" i="6"/>
  <c r="D43" i="6"/>
  <c r="D42" i="6" s="1"/>
  <c r="U43" i="6"/>
  <c r="U42" i="6" s="1"/>
  <c r="H43" i="6"/>
  <c r="H42" i="6" s="1"/>
  <c r="K43" i="6"/>
  <c r="K42" i="6" s="1"/>
  <c r="Q43" i="6"/>
  <c r="Q42" i="6" s="1"/>
  <c r="R43" i="6"/>
  <c r="R42" i="6" s="1"/>
  <c r="I43" i="6"/>
  <c r="I42" i="6" s="1"/>
  <c r="M43" i="6"/>
  <c r="M42" i="6" s="1"/>
  <c r="N43" i="6"/>
  <c r="N42" i="6" s="1"/>
  <c r="H51" i="6"/>
  <c r="C36" i="6"/>
  <c r="S37" i="6"/>
  <c r="P24" i="3"/>
  <c r="P54" i="3" s="1"/>
  <c r="G24" i="3"/>
  <c r="G54" i="3" s="1"/>
  <c r="W23" i="3"/>
  <c r="X23" i="3" s="1"/>
  <c r="Y23" i="3" s="1"/>
  <c r="Z23" i="3" s="1"/>
  <c r="AA23" i="3" s="1"/>
  <c r="AB23" i="3" s="1"/>
  <c r="G66" i="3"/>
  <c r="R51" i="6"/>
  <c r="F43" i="6"/>
  <c r="F42" i="6" s="1"/>
  <c r="K57" i="7"/>
  <c r="E48" i="7"/>
  <c r="C25" i="6"/>
  <c r="F59" i="6"/>
  <c r="M59" i="6"/>
  <c r="O59" i="6"/>
  <c r="P59" i="6"/>
  <c r="T59" i="6"/>
  <c r="M24" i="7"/>
  <c r="K12" i="7"/>
  <c r="J12" i="7"/>
  <c r="F24" i="3"/>
  <c r="F54" i="3" s="1"/>
  <c r="P37" i="6"/>
  <c r="C20" i="3"/>
  <c r="U19" i="3"/>
  <c r="I19" i="3"/>
  <c r="P19" i="3"/>
  <c r="N19" i="3"/>
  <c r="M19" i="3"/>
  <c r="H50" i="3"/>
  <c r="H75" i="3" s="1"/>
  <c r="E50" i="3"/>
  <c r="E75" i="3" s="1"/>
  <c r="R19" i="3"/>
  <c r="M50" i="3"/>
  <c r="M75" i="3" s="1"/>
  <c r="L19" i="3"/>
  <c r="Q19" i="3"/>
  <c r="C41" i="6"/>
  <c r="W41" i="6"/>
  <c r="X41" i="6" s="1"/>
  <c r="Y41" i="6" s="1"/>
  <c r="Z41" i="6" s="1"/>
  <c r="V60" i="6"/>
  <c r="V61" i="6" s="1"/>
  <c r="E60" i="6"/>
  <c r="E61" i="6" s="1"/>
  <c r="M24" i="3"/>
  <c r="M54" i="3" s="1"/>
  <c r="N106" i="3"/>
  <c r="Q51" i="6"/>
  <c r="C17" i="3"/>
  <c r="P66" i="3"/>
  <c r="O66" i="3"/>
  <c r="N66" i="3"/>
  <c r="L66" i="3"/>
  <c r="K66" i="3"/>
  <c r="H24" i="3"/>
  <c r="H54" i="3" s="1"/>
  <c r="S106" i="3"/>
  <c r="Q66" i="3"/>
  <c r="Q24" i="3"/>
  <c r="Q54" i="3" s="1"/>
  <c r="I37" i="6"/>
  <c r="N12" i="7"/>
  <c r="U66" i="3"/>
  <c r="T12" i="3"/>
  <c r="E24" i="3"/>
  <c r="E54" i="3" s="1"/>
  <c r="E57" i="6"/>
  <c r="S66" i="3"/>
  <c r="J66" i="3"/>
  <c r="D24" i="7"/>
  <c r="O48" i="7"/>
  <c r="H34" i="7"/>
  <c r="F57" i="6"/>
  <c r="S57" i="6"/>
  <c r="L37" i="6"/>
  <c r="N51" i="6"/>
  <c r="S19" i="3"/>
  <c r="D12" i="3"/>
  <c r="N57" i="6"/>
  <c r="L57" i="6"/>
  <c r="T66" i="3"/>
  <c r="G106" i="3"/>
  <c r="D48" i="7"/>
  <c r="F48" i="7"/>
  <c r="T48" i="7"/>
  <c r="T55" i="7" s="1"/>
  <c r="K12" i="3"/>
  <c r="D59" i="6"/>
  <c r="P106" i="3"/>
  <c r="E43" i="6"/>
  <c r="E42" i="6" s="1"/>
  <c r="M66" i="3"/>
  <c r="K48" i="7"/>
  <c r="I24" i="7"/>
  <c r="J51" i="6"/>
  <c r="M12" i="3"/>
  <c r="O50" i="3"/>
  <c r="O75" i="3" s="1"/>
  <c r="U37" i="6"/>
  <c r="R57" i="6"/>
  <c r="S12" i="7"/>
  <c r="N50" i="3"/>
  <c r="N75" i="3" s="1"/>
  <c r="J43" i="6"/>
  <c r="J42" i="6" s="1"/>
  <c r="J19" i="3"/>
  <c r="V43" i="6"/>
  <c r="V42" i="6" s="1"/>
  <c r="W42" i="6" s="1"/>
  <c r="X42" i="6" s="1"/>
  <c r="Y42" i="6" s="1"/>
  <c r="Z42" i="6" s="1"/>
  <c r="AA42" i="6" s="1"/>
  <c r="AB42" i="6" s="1"/>
  <c r="K24" i="3"/>
  <c r="K54" i="3" s="1"/>
  <c r="U24" i="3"/>
  <c r="U54" i="3" s="1"/>
  <c r="C11" i="3"/>
  <c r="E12" i="3"/>
  <c r="N12" i="3"/>
  <c r="Q12" i="3"/>
  <c r="F12" i="3"/>
  <c r="S12" i="3"/>
  <c r="I12" i="3"/>
  <c r="H48" i="7"/>
  <c r="J37" i="6"/>
  <c r="H12" i="7"/>
  <c r="M106" i="3"/>
  <c r="F51" i="6"/>
  <c r="T51" i="6"/>
  <c r="O12" i="3"/>
  <c r="O37" i="6"/>
  <c r="U106" i="3"/>
  <c r="P57" i="6"/>
  <c r="U12" i="7"/>
  <c r="Q12" i="7"/>
  <c r="I106" i="3"/>
  <c r="T43" i="6"/>
  <c r="T42" i="6" s="1"/>
  <c r="I51" i="6"/>
  <c r="C23" i="3"/>
  <c r="S24" i="3"/>
  <c r="S54" i="3" s="1"/>
  <c r="L24" i="3"/>
  <c r="L54" i="3" s="1"/>
  <c r="V24" i="3"/>
  <c r="V54" i="3" s="1"/>
  <c r="T24" i="3"/>
  <c r="T54" i="3" s="1"/>
  <c r="O24" i="3"/>
  <c r="O54" i="3" s="1"/>
  <c r="J24" i="3"/>
  <c r="J54" i="3" s="1"/>
  <c r="J106" i="3"/>
  <c r="N37" i="6"/>
  <c r="G51" i="6"/>
  <c r="F34" i="7"/>
  <c r="E19" i="3"/>
  <c r="F66" i="3"/>
  <c r="K34" i="7"/>
  <c r="P34" i="7"/>
  <c r="D51" i="6"/>
  <c r="I48" i="7"/>
  <c r="U59" i="6"/>
  <c r="J59" i="6"/>
  <c r="I24" i="3"/>
  <c r="I54" i="3" s="1"/>
  <c r="R12" i="7"/>
  <c r="M57" i="6"/>
  <c r="H59" i="6"/>
  <c r="V12" i="3"/>
  <c r="R12" i="3"/>
  <c r="G43" i="6"/>
  <c r="G42" i="6" s="1"/>
  <c r="V19" i="3"/>
  <c r="K19" i="3"/>
  <c r="C83" i="3"/>
  <c r="D106" i="3" s="1"/>
  <c r="L106" i="3"/>
  <c r="O106" i="3"/>
  <c r="K106" i="3"/>
  <c r="D24" i="3"/>
  <c r="D54" i="3" s="1"/>
  <c r="H19" i="3"/>
  <c r="G57" i="6"/>
  <c r="R37" i="6"/>
  <c r="R66" i="3"/>
  <c r="P24" i="7"/>
  <c r="V24" i="7"/>
  <c r="G24" i="7"/>
  <c r="R48" i="7"/>
  <c r="J48" i="7"/>
  <c r="E106" i="3"/>
  <c r="T37" i="6"/>
  <c r="H57" i="6"/>
  <c r="V12" i="7"/>
  <c r="E12" i="7"/>
  <c r="G59" i="6"/>
  <c r="Q37" i="6"/>
  <c r="L12" i="3"/>
  <c r="J57" i="6"/>
  <c r="P43" i="6"/>
  <c r="P42" i="6" s="1"/>
  <c r="K70" i="3"/>
  <c r="D19" i="3"/>
  <c r="K42" i="3"/>
  <c r="M42" i="3"/>
  <c r="J24" i="7"/>
  <c r="Q57" i="6"/>
  <c r="E46" i="3"/>
  <c r="T8" i="3"/>
  <c r="S42" i="3"/>
  <c r="T42" i="3"/>
  <c r="O20" i="6"/>
  <c r="F60" i="6"/>
  <c r="F61" i="6" s="1"/>
  <c r="R90" i="3"/>
  <c r="Q24" i="7"/>
  <c r="S51" i="6"/>
  <c r="D57" i="6"/>
  <c r="L59" i="6"/>
  <c r="J70" i="3"/>
  <c r="P46" i="3"/>
  <c r="H46" i="3"/>
  <c r="U42" i="3"/>
  <c r="I8" i="3"/>
  <c r="F8" i="3"/>
  <c r="F23" i="16"/>
  <c r="L34" i="7"/>
  <c r="U24" i="7"/>
  <c r="F24" i="7"/>
  <c r="M37" i="6"/>
  <c r="E8" i="3"/>
  <c r="R42" i="3"/>
  <c r="N20" i="6"/>
  <c r="Q60" i="6"/>
  <c r="Q61" i="6" s="1"/>
  <c r="J90" i="3"/>
  <c r="U51" i="6"/>
  <c r="R24" i="7"/>
  <c r="N58" i="7"/>
  <c r="M90" i="3"/>
  <c r="K37" i="6"/>
  <c r="I90" i="3"/>
  <c r="E22" i="16"/>
  <c r="V37" i="6"/>
  <c r="C17" i="16" s="1"/>
  <c r="U57" i="6"/>
  <c r="Q20" i="6"/>
  <c r="P20" i="6"/>
  <c r="N60" i="6"/>
  <c r="N61" i="6" s="1"/>
  <c r="K60" i="6"/>
  <c r="K61" i="6" s="1"/>
  <c r="J34" i="7"/>
  <c r="O51" i="6"/>
  <c r="N30" i="6"/>
  <c r="N29" i="6" s="1"/>
  <c r="N65" i="6" s="1"/>
  <c r="V51" i="6"/>
  <c r="V62" i="6" s="1"/>
  <c r="N59" i="6"/>
  <c r="S59" i="6"/>
  <c r="G37" i="6"/>
  <c r="V59" i="6"/>
  <c r="R59" i="6"/>
  <c r="T57" i="6"/>
  <c r="V90" i="3"/>
  <c r="R50" i="3"/>
  <c r="S50" i="3"/>
  <c r="O46" i="3"/>
  <c r="N46" i="3"/>
  <c r="I46" i="3"/>
  <c r="M103" i="3"/>
  <c r="R103" i="3"/>
  <c r="M8" i="3"/>
  <c r="N103" i="3"/>
  <c r="L57" i="7"/>
  <c r="U57" i="7"/>
  <c r="D57" i="7"/>
  <c r="V48" i="7"/>
  <c r="V55" i="7" s="1"/>
  <c r="F12" i="7"/>
  <c r="G15" i="16"/>
  <c r="V57" i="7"/>
  <c r="H24" i="7"/>
  <c r="N24" i="7"/>
  <c r="L24" i="7"/>
  <c r="E24" i="7"/>
  <c r="V106" i="3"/>
  <c r="S57" i="7"/>
  <c r="Q106" i="3"/>
  <c r="M57" i="7"/>
  <c r="G57" i="7"/>
  <c r="E59" i="6"/>
  <c r="E37" i="6"/>
  <c r="M70" i="3"/>
  <c r="K51" i="6"/>
  <c r="O70" i="3"/>
  <c r="M104" i="3"/>
  <c r="D46" i="3"/>
  <c r="T12" i="7"/>
  <c r="O43" i="6"/>
  <c r="O42" i="6" s="1"/>
  <c r="O27" i="7"/>
  <c r="O52" i="7" s="1"/>
  <c r="U12" i="3"/>
  <c r="L46" i="3"/>
  <c r="T104" i="3"/>
  <c r="E42" i="3"/>
  <c r="L8" i="3"/>
  <c r="V8" i="3"/>
  <c r="K8" i="3"/>
  <c r="S48" i="7"/>
  <c r="O57" i="7"/>
  <c r="I70" i="3"/>
  <c r="J57" i="7"/>
  <c r="Q62" i="3"/>
  <c r="P48" i="7"/>
  <c r="T106" i="3"/>
  <c r="R57" i="7"/>
  <c r="K24" i="7"/>
  <c r="Q57" i="7"/>
  <c r="G19" i="3"/>
  <c r="T19" i="3"/>
  <c r="F62" i="3"/>
  <c r="J62" i="3"/>
  <c r="M48" i="7"/>
  <c r="V57" i="6"/>
  <c r="I57" i="7"/>
  <c r="R106" i="3"/>
  <c r="T34" i="7"/>
  <c r="Q48" i="7"/>
  <c r="M34" i="7"/>
  <c r="U48" i="7"/>
  <c r="U55" i="7" s="1"/>
  <c r="N48" i="7"/>
  <c r="U34" i="7"/>
  <c r="K57" i="6"/>
  <c r="R24" i="3"/>
  <c r="R54" i="3" s="1"/>
  <c r="C16" i="16"/>
  <c r="H90" i="3"/>
  <c r="P12" i="7"/>
  <c r="L51" i="6"/>
  <c r="V70" i="3"/>
  <c r="F106" i="3"/>
  <c r="I59" i="6"/>
  <c r="H70" i="3"/>
  <c r="F70" i="3"/>
  <c r="F57" i="7"/>
  <c r="T57" i="7"/>
  <c r="F19" i="3"/>
  <c r="L43" i="6"/>
  <c r="L42" i="6" s="1"/>
  <c r="P57" i="7"/>
  <c r="N57" i="7"/>
  <c r="G12" i="7"/>
  <c r="E57" i="7"/>
  <c r="S62" i="3"/>
  <c r="K90" i="3"/>
  <c r="M62" i="3"/>
  <c r="H62" i="3"/>
  <c r="C13" i="16"/>
  <c r="C47" i="6"/>
  <c r="H42" i="3"/>
  <c r="C7" i="3"/>
  <c r="C35" i="6"/>
  <c r="C6" i="3"/>
  <c r="D77" i="3" l="1"/>
  <c r="U85" i="3"/>
  <c r="S87" i="3"/>
  <c r="C32" i="16" s="1"/>
  <c r="O87" i="3"/>
  <c r="P87" i="3"/>
  <c r="Q107" i="3" s="1"/>
  <c r="U87" i="3"/>
  <c r="E32" i="16" s="1"/>
  <c r="L82" i="3"/>
  <c r="I87" i="3"/>
  <c r="I107" i="3" s="1"/>
  <c r="J87" i="3"/>
  <c r="F87" i="3"/>
  <c r="F107" i="3" s="1"/>
  <c r="R87" i="3"/>
  <c r="B32" i="16" s="1"/>
  <c r="E82" i="3"/>
  <c r="G87" i="3"/>
  <c r="Q82" i="3"/>
  <c r="T82" i="3"/>
  <c r="V87" i="3"/>
  <c r="F32" i="16" s="1"/>
  <c r="V85" i="3"/>
  <c r="M87" i="3"/>
  <c r="M107" i="3" s="1"/>
  <c r="W36" i="3"/>
  <c r="H82" i="3"/>
  <c r="D62" i="3"/>
  <c r="C10" i="22" a="1"/>
  <c r="C11" i="22" s="1"/>
  <c r="D36" i="3"/>
  <c r="D82" i="3" s="1"/>
  <c r="N87" i="3"/>
  <c r="K87" i="3"/>
  <c r="L107" i="3" s="1"/>
  <c r="T85" i="3"/>
  <c r="D42" i="3"/>
  <c r="C9" i="22" a="1"/>
  <c r="L123" i="22"/>
  <c r="N66" i="6"/>
  <c r="N99" i="3" s="1"/>
  <c r="L66" i="6"/>
  <c r="L99" i="3" s="1"/>
  <c r="G66" i="6"/>
  <c r="G99" i="3" s="1"/>
  <c r="K66" i="6"/>
  <c r="K99" i="3" s="1"/>
  <c r="O66" i="6"/>
  <c r="O99" i="3" s="1"/>
  <c r="E66" i="6"/>
  <c r="E99" i="3" s="1"/>
  <c r="M66" i="6"/>
  <c r="M99" i="3" s="1"/>
  <c r="H66" i="6"/>
  <c r="H99" i="3" s="1"/>
  <c r="I66" i="6"/>
  <c r="I99" i="3" s="1"/>
  <c r="F66" i="6"/>
  <c r="F99" i="3" s="1"/>
  <c r="J66" i="6"/>
  <c r="J99" i="3" s="1"/>
  <c r="T66" i="6"/>
  <c r="T99" i="3" s="1"/>
  <c r="S66" i="6"/>
  <c r="S99" i="3" s="1"/>
  <c r="Q66" i="6"/>
  <c r="Q99" i="3" s="1"/>
  <c r="V65" i="6"/>
  <c r="V66" i="6" s="1"/>
  <c r="V99" i="3" s="1"/>
  <c r="U66" i="6"/>
  <c r="U99" i="3" s="1"/>
  <c r="P66" i="6"/>
  <c r="P99" i="3" s="1"/>
  <c r="R66" i="6"/>
  <c r="R99" i="3" s="1"/>
  <c r="C57" i="6"/>
  <c r="D15" i="7" s="1"/>
  <c r="C59" i="6"/>
  <c r="C24" i="16"/>
  <c r="E25" i="16"/>
  <c r="B34" i="16"/>
  <c r="W48" i="3" a="1"/>
  <c r="W48" i="3" s="1"/>
  <c r="E24" i="16"/>
  <c r="C25" i="16"/>
  <c r="D34" i="16"/>
  <c r="F34" i="16"/>
  <c r="D25" i="16"/>
  <c r="C5" i="22" a="1"/>
  <c r="H42" i="21"/>
  <c r="H46" i="21" s="1"/>
  <c r="V89" i="3"/>
  <c r="C30" i="6"/>
  <c r="C29" i="6" s="1"/>
  <c r="C65" i="6" s="1"/>
  <c r="D66" i="6" s="1"/>
  <c r="D99" i="3" s="1"/>
  <c r="W38" i="6"/>
  <c r="X35" i="3"/>
  <c r="H38" i="16" s="1"/>
  <c r="G8" i="16"/>
  <c r="X35" i="6"/>
  <c r="X77" i="3"/>
  <c r="W52" i="3"/>
  <c r="C33" i="21" a="1"/>
  <c r="C33" i="21" s="1"/>
  <c r="C34" i="21" s="1" a="1"/>
  <c r="C34" i="21" s="1"/>
  <c r="F25" i="16"/>
  <c r="K52" i="6"/>
  <c r="K62" i="6"/>
  <c r="J50" i="6"/>
  <c r="J62" i="6"/>
  <c r="T50" i="6"/>
  <c r="T62" i="6"/>
  <c r="U52" i="6"/>
  <c r="U62" i="6"/>
  <c r="F52" i="6"/>
  <c r="F62" i="6"/>
  <c r="M52" i="6"/>
  <c r="M62" i="6"/>
  <c r="L52" i="6"/>
  <c r="L62" i="6"/>
  <c r="O50" i="6"/>
  <c r="O62" i="6"/>
  <c r="I52" i="6"/>
  <c r="I62" i="6"/>
  <c r="R50" i="6"/>
  <c r="R62" i="6"/>
  <c r="G50" i="6"/>
  <c r="G62" i="6"/>
  <c r="N52" i="6"/>
  <c r="N62" i="6"/>
  <c r="S52" i="6"/>
  <c r="S62" i="6"/>
  <c r="E52" i="6"/>
  <c r="E62" i="6"/>
  <c r="Q52" i="6"/>
  <c r="Q62" i="6"/>
  <c r="P52" i="6"/>
  <c r="P62" i="6"/>
  <c r="H52" i="6"/>
  <c r="H62" i="6"/>
  <c r="D52" i="6"/>
  <c r="D62" i="6"/>
  <c r="B24" i="16"/>
  <c r="C57" i="16"/>
  <c r="E46" i="16"/>
  <c r="F24" i="16"/>
  <c r="E57" i="16"/>
  <c r="D24" i="16"/>
  <c r="D57" i="16"/>
  <c r="B57" i="16"/>
  <c r="E34" i="16"/>
  <c r="E53" i="16"/>
  <c r="B53" i="16"/>
  <c r="C53" i="16"/>
  <c r="C34" i="16"/>
  <c r="D53" i="16"/>
  <c r="M46" i="21"/>
  <c r="F46" i="21"/>
  <c r="K46" i="21"/>
  <c r="G46" i="21"/>
  <c r="P46" i="21"/>
  <c r="J46" i="21"/>
  <c r="U46" i="21"/>
  <c r="T46" i="21"/>
  <c r="O46" i="21"/>
  <c r="E46" i="21"/>
  <c r="S46" i="21"/>
  <c r="I46" i="21"/>
  <c r="N46" i="21"/>
  <c r="L46" i="21"/>
  <c r="R46" i="21"/>
  <c r="Q46" i="21"/>
  <c r="T31" i="7"/>
  <c r="T88" i="3"/>
  <c r="J31" i="7"/>
  <c r="J88" i="3"/>
  <c r="R31" i="7"/>
  <c r="R88" i="3"/>
  <c r="H31" i="7"/>
  <c r="H88" i="3"/>
  <c r="F31" i="7"/>
  <c r="F88" i="3"/>
  <c r="L31" i="7"/>
  <c r="L88" i="3"/>
  <c r="K31" i="7"/>
  <c r="K88" i="3"/>
  <c r="E31" i="7"/>
  <c r="E88" i="3"/>
  <c r="V31" i="7"/>
  <c r="V88" i="3"/>
  <c r="M31" i="7"/>
  <c r="M88" i="3"/>
  <c r="Q31" i="7"/>
  <c r="Q88" i="3"/>
  <c r="U31" i="7"/>
  <c r="U88" i="3"/>
  <c r="N31" i="7"/>
  <c r="N88" i="3"/>
  <c r="D31" i="7"/>
  <c r="G31" i="7"/>
  <c r="G88" i="3"/>
  <c r="P31" i="7"/>
  <c r="P88" i="3"/>
  <c r="O31" i="7"/>
  <c r="O88" i="3"/>
  <c r="I31" i="7"/>
  <c r="I88" i="3"/>
  <c r="S31" i="7"/>
  <c r="S88" i="3"/>
  <c r="H66" i="7"/>
  <c r="D73" i="7" a="1"/>
  <c r="D73" i="7" s="1"/>
  <c r="H73" i="7" s="1" a="1"/>
  <c r="H73" i="7" s="1"/>
  <c r="L73" i="7" s="1" a="1"/>
  <c r="L73" i="7" s="1"/>
  <c r="D74" i="7" a="1"/>
  <c r="D74" i="7" s="1"/>
  <c r="H74" i="7" s="1" a="1"/>
  <c r="H74" i="7" s="1"/>
  <c r="L74" i="7" s="1" a="1"/>
  <c r="L74" i="7" s="1"/>
  <c r="D75" i="7" a="1"/>
  <c r="D75" i="7" s="1"/>
  <c r="H75" i="7" s="1" a="1"/>
  <c r="H75" i="7" s="1"/>
  <c r="L75" i="7" s="1" a="1"/>
  <c r="L75" i="7" s="1"/>
  <c r="N41" i="7"/>
  <c r="D72" i="7" a="1"/>
  <c r="D72" i="7" s="1"/>
  <c r="H72" i="7" s="1" a="1"/>
  <c r="H72" i="7" s="1"/>
  <c r="L72" i="7" s="1" a="1"/>
  <c r="L72" i="7" s="1"/>
  <c r="P55" i="7"/>
  <c r="P85" i="3" s="1"/>
  <c r="D70" i="7" a="1"/>
  <c r="D70" i="7" s="1"/>
  <c r="H70" i="7" s="1" a="1"/>
  <c r="H70" i="7" s="1"/>
  <c r="L70" i="7" s="1" a="1"/>
  <c r="L70" i="7" s="1"/>
  <c r="S41" i="7"/>
  <c r="D67" i="7" a="1"/>
  <c r="D67" i="7" s="1"/>
  <c r="H67" i="7" s="1" a="1"/>
  <c r="D76" i="7" a="1"/>
  <c r="D76" i="7" s="1"/>
  <c r="H76" i="7" s="1" a="1"/>
  <c r="H76" i="7" s="1"/>
  <c r="L76" i="7" s="1" a="1"/>
  <c r="L76" i="7" s="1"/>
  <c r="R41" i="7"/>
  <c r="D68" i="7" a="1"/>
  <c r="D68" i="7" s="1"/>
  <c r="H68" i="7" s="1" a="1"/>
  <c r="H68" i="7" s="1"/>
  <c r="L68" i="7" s="1" a="1"/>
  <c r="L68" i="7" s="1"/>
  <c r="O41" i="7"/>
  <c r="D71" i="7" a="1"/>
  <c r="D71" i="7" s="1"/>
  <c r="H71" i="7" s="1" a="1"/>
  <c r="H71" i="7" s="1"/>
  <c r="L71" i="7" s="1" a="1"/>
  <c r="L71" i="7" s="1"/>
  <c r="Q41" i="7"/>
  <c r="D69" i="7" a="1"/>
  <c r="D69" i="7" s="1"/>
  <c r="H69" i="7" s="1" a="1"/>
  <c r="H69" i="7" s="1"/>
  <c r="L69" i="7" s="1" a="1"/>
  <c r="L69" i="7" s="1"/>
  <c r="M55" i="7"/>
  <c r="M85" i="3" s="1"/>
  <c r="I41" i="7"/>
  <c r="D55" i="7"/>
  <c r="E41" i="7"/>
  <c r="K55" i="7"/>
  <c r="K85" i="3" s="1"/>
  <c r="H55" i="7"/>
  <c r="H85" i="3" s="1"/>
  <c r="G41" i="7"/>
  <c r="J55" i="7"/>
  <c r="J85" i="3" s="1"/>
  <c r="F55" i="7"/>
  <c r="F85" i="3" s="1"/>
  <c r="L41" i="7"/>
  <c r="C20" i="6"/>
  <c r="B25" i="16"/>
  <c r="V75" i="3"/>
  <c r="S75" i="3"/>
  <c r="U75" i="3"/>
  <c r="T75" i="3"/>
  <c r="R75" i="3"/>
  <c r="V50" i="6"/>
  <c r="V63" i="6"/>
  <c r="M70" i="6"/>
  <c r="S70" i="6"/>
  <c r="T13" i="7"/>
  <c r="Q70" i="6"/>
  <c r="G70" i="6"/>
  <c r="Q13" i="7"/>
  <c r="J13" i="7"/>
  <c r="N13" i="7"/>
  <c r="H13" i="7"/>
  <c r="O13" i="7"/>
  <c r="E13" i="7"/>
  <c r="M13" i="7"/>
  <c r="P13" i="7"/>
  <c r="G13" i="7"/>
  <c r="H70" i="6"/>
  <c r="T70" i="6"/>
  <c r="F13" i="7"/>
  <c r="U13" i="7"/>
  <c r="L13" i="7"/>
  <c r="L70" i="6"/>
  <c r="O70" i="6"/>
  <c r="P70" i="6"/>
  <c r="R70" i="6"/>
  <c r="F70" i="6"/>
  <c r="J70" i="6"/>
  <c r="C12" i="7"/>
  <c r="I70" i="6"/>
  <c r="U70" i="6"/>
  <c r="R13" i="7"/>
  <c r="N70" i="6"/>
  <c r="E70" i="6"/>
  <c r="K70" i="6"/>
  <c r="I13" i="7"/>
  <c r="C27" i="7"/>
  <c r="C52" i="7" s="1"/>
  <c r="D70" i="6"/>
  <c r="S13" i="7"/>
  <c r="K13" i="7"/>
  <c r="V13" i="7"/>
  <c r="D14" i="3"/>
  <c r="C50" i="7"/>
  <c r="K58" i="6"/>
  <c r="K71" i="6" s="1"/>
  <c r="I14" i="3"/>
  <c r="C93" i="3"/>
  <c r="D58" i="6"/>
  <c r="D71" i="6" s="1"/>
  <c r="R28" i="3"/>
  <c r="R84" i="3" s="1"/>
  <c r="V28" i="3"/>
  <c r="V84" i="3" s="1"/>
  <c r="H28" i="3"/>
  <c r="H84" i="3" s="1"/>
  <c r="T100" i="3"/>
  <c r="D37" i="16" s="1"/>
  <c r="S100" i="3"/>
  <c r="C37" i="16" s="1"/>
  <c r="U100" i="3"/>
  <c r="E37" i="16" s="1"/>
  <c r="F100" i="3"/>
  <c r="D103" i="3"/>
  <c r="D94" i="3"/>
  <c r="G100" i="3"/>
  <c r="Q94" i="3"/>
  <c r="M100" i="3"/>
  <c r="O94" i="3"/>
  <c r="G14" i="3"/>
  <c r="D27" i="16"/>
  <c r="Q50" i="6"/>
  <c r="R58" i="6"/>
  <c r="R71" i="6" s="1"/>
  <c r="P28" i="3"/>
  <c r="P84" i="3" s="1"/>
  <c r="Q58" i="6"/>
  <c r="Q71" i="6" s="1"/>
  <c r="G7" i="16"/>
  <c r="M58" i="6"/>
  <c r="M71" i="6" s="1"/>
  <c r="I55" i="7"/>
  <c r="I85" i="3" s="1"/>
  <c r="F27" i="16"/>
  <c r="T94" i="3"/>
  <c r="S50" i="6"/>
  <c r="M28" i="3"/>
  <c r="M84" i="3" s="1"/>
  <c r="Q63" i="6"/>
  <c r="N105" i="3"/>
  <c r="L58" i="6"/>
  <c r="L71" i="6" s="1"/>
  <c r="V52" i="6"/>
  <c r="J52" i="6"/>
  <c r="D66" i="3"/>
  <c r="P14" i="3"/>
  <c r="O58" i="6"/>
  <c r="O71" i="6" s="1"/>
  <c r="M63" i="6"/>
  <c r="K94" i="3"/>
  <c r="R15" i="7"/>
  <c r="V15" i="7"/>
  <c r="V56" i="7" s="1"/>
  <c r="V86" i="3" s="1"/>
  <c r="G16" i="16"/>
  <c r="G19" i="16" s="1"/>
  <c r="V14" i="3"/>
  <c r="G58" i="6"/>
  <c r="G71" i="6" s="1"/>
  <c r="I58" i="6"/>
  <c r="I71" i="6" s="1"/>
  <c r="D28" i="3"/>
  <c r="U58" i="6"/>
  <c r="U71" i="6" s="1"/>
  <c r="F58" i="6"/>
  <c r="F71" i="6" s="1"/>
  <c r="L63" i="6"/>
  <c r="V41" i="7"/>
  <c r="V100" i="3"/>
  <c r="F37" i="16" s="1"/>
  <c r="D70" i="3"/>
  <c r="D63" i="6"/>
  <c r="J58" i="6"/>
  <c r="J71" i="6" s="1"/>
  <c r="M105" i="3"/>
  <c r="Q55" i="7"/>
  <c r="Q85" i="3" s="1"/>
  <c r="F50" i="6"/>
  <c r="S94" i="3"/>
  <c r="F41" i="7"/>
  <c r="G55" i="7"/>
  <c r="G85" i="3" s="1"/>
  <c r="V94" i="3"/>
  <c r="T52" i="6"/>
  <c r="H14" i="3"/>
  <c r="U28" i="3"/>
  <c r="U84" i="3" s="1"/>
  <c r="N14" i="3"/>
  <c r="S55" i="7"/>
  <c r="S85" i="3" s="1"/>
  <c r="D50" i="6"/>
  <c r="J14" i="3"/>
  <c r="N58" i="6"/>
  <c r="N71" i="6" s="1"/>
  <c r="C51" i="6"/>
  <c r="T63" i="6"/>
  <c r="E63" i="6"/>
  <c r="O28" i="3"/>
  <c r="O84" i="3" s="1"/>
  <c r="M14" i="3"/>
  <c r="O55" i="7"/>
  <c r="O85" i="3" s="1"/>
  <c r="U94" i="3"/>
  <c r="K50" i="6"/>
  <c r="G28" i="3"/>
  <c r="G84" i="3" s="1"/>
  <c r="P58" i="6"/>
  <c r="P71" i="6" s="1"/>
  <c r="S63" i="6"/>
  <c r="K41" i="7"/>
  <c r="N28" i="3"/>
  <c r="N84" i="3" s="1"/>
  <c r="P50" i="6"/>
  <c r="Q100" i="3"/>
  <c r="D104" i="3"/>
  <c r="J105" i="3"/>
  <c r="T58" i="6"/>
  <c r="T71" i="6" s="1"/>
  <c r="H58" i="6"/>
  <c r="H71" i="6" s="1"/>
  <c r="N100" i="3"/>
  <c r="E14" i="3"/>
  <c r="G15" i="7"/>
  <c r="C50" i="3"/>
  <c r="U63" i="6"/>
  <c r="P63" i="6"/>
  <c r="P94" i="3"/>
  <c r="M94" i="3"/>
  <c r="D41" i="7"/>
  <c r="R14" i="3"/>
  <c r="N94" i="3"/>
  <c r="I63" i="6"/>
  <c r="Q28" i="3"/>
  <c r="Q84" i="3" s="1"/>
  <c r="C90" i="3"/>
  <c r="K28" i="3"/>
  <c r="K84" i="3" s="1"/>
  <c r="C12" i="3"/>
  <c r="P100" i="3"/>
  <c r="T105" i="3"/>
  <c r="L28" i="3"/>
  <c r="L84" i="3" s="1"/>
  <c r="Q105" i="3"/>
  <c r="L94" i="3"/>
  <c r="E50" i="6"/>
  <c r="G94" i="3"/>
  <c r="S58" i="6"/>
  <c r="S71" i="6" s="1"/>
  <c r="I50" i="6"/>
  <c r="R63" i="6"/>
  <c r="P105" i="3"/>
  <c r="M15" i="7"/>
  <c r="R52" i="6"/>
  <c r="S28" i="3"/>
  <c r="S84" i="3" s="1"/>
  <c r="E58" i="6"/>
  <c r="E71" i="6" s="1"/>
  <c r="G22" i="16"/>
  <c r="C18" i="16"/>
  <c r="Y43" i="6"/>
  <c r="L55" i="7"/>
  <c r="L85" i="3" s="1"/>
  <c r="F29" i="16"/>
  <c r="C48" i="7"/>
  <c r="U15" i="7"/>
  <c r="U56" i="7" s="1"/>
  <c r="U86" i="3" s="1"/>
  <c r="C57" i="7"/>
  <c r="J63" i="6"/>
  <c r="O15" i="7"/>
  <c r="U105" i="3"/>
  <c r="L14" i="3"/>
  <c r="L100" i="3"/>
  <c r="H50" i="6"/>
  <c r="R55" i="7"/>
  <c r="R85" i="3" s="1"/>
  <c r="R100" i="3"/>
  <c r="B37" i="16" s="1"/>
  <c r="I15" i="7"/>
  <c r="I105" i="3"/>
  <c r="G105" i="3"/>
  <c r="F63" i="6"/>
  <c r="J41" i="7"/>
  <c r="V70" i="6"/>
  <c r="M50" i="6"/>
  <c r="R94" i="3"/>
  <c r="D100" i="3"/>
  <c r="X43" i="6"/>
  <c r="C24" i="7"/>
  <c r="H94" i="3"/>
  <c r="H105" i="3"/>
  <c r="F28" i="3"/>
  <c r="F84" i="3" s="1"/>
  <c r="O105" i="3"/>
  <c r="K63" i="6"/>
  <c r="U50" i="6"/>
  <c r="U41" i="7"/>
  <c r="Q14" i="3"/>
  <c r="O100" i="3"/>
  <c r="R105" i="3"/>
  <c r="C24" i="3"/>
  <c r="C54" i="3" s="1"/>
  <c r="J15" i="7"/>
  <c r="S14" i="3"/>
  <c r="I100" i="3"/>
  <c r="H15" i="7"/>
  <c r="H100" i="3"/>
  <c r="H41" i="7"/>
  <c r="M41" i="7"/>
  <c r="D13" i="7"/>
  <c r="G63" i="6"/>
  <c r="I28" i="3"/>
  <c r="I84" i="3" s="1"/>
  <c r="E55" i="7"/>
  <c r="E85" i="3" s="1"/>
  <c r="O52" i="6"/>
  <c r="J100" i="3"/>
  <c r="H63" i="6"/>
  <c r="T28" i="3"/>
  <c r="T84" i="3" s="1"/>
  <c r="K100" i="3"/>
  <c r="N55" i="7"/>
  <c r="N85" i="3" s="1"/>
  <c r="P41" i="7"/>
  <c r="O14" i="3"/>
  <c r="J28" i="3"/>
  <c r="J84" i="3" s="1"/>
  <c r="F105" i="3"/>
  <c r="F94" i="3"/>
  <c r="C19" i="3"/>
  <c r="V58" i="6"/>
  <c r="V71" i="6" s="1"/>
  <c r="N50" i="6"/>
  <c r="N63" i="6"/>
  <c r="L105" i="3"/>
  <c r="S15" i="7"/>
  <c r="T41" i="7"/>
  <c r="L15" i="7"/>
  <c r="F14" i="3"/>
  <c r="N15" i="7"/>
  <c r="G52" i="6"/>
  <c r="J94" i="3"/>
  <c r="V105" i="3"/>
  <c r="E105" i="3"/>
  <c r="E27" i="16"/>
  <c r="E28" i="3"/>
  <c r="E84" i="3" s="1"/>
  <c r="T14" i="3"/>
  <c r="E94" i="3"/>
  <c r="S105" i="3"/>
  <c r="I94" i="3"/>
  <c r="F15" i="7"/>
  <c r="W43" i="6"/>
  <c r="P15" i="7"/>
  <c r="E100" i="3"/>
  <c r="Q15" i="7"/>
  <c r="O63" i="6"/>
  <c r="T15" i="7"/>
  <c r="T56" i="7" s="1"/>
  <c r="T86" i="3" s="1"/>
  <c r="K105" i="3"/>
  <c r="E15" i="7"/>
  <c r="K14" i="3"/>
  <c r="C42" i="6"/>
  <c r="L50" i="6"/>
  <c r="K15" i="7"/>
  <c r="U14" i="3"/>
  <c r="C58" i="7"/>
  <c r="C37" i="6"/>
  <c r="C60" i="6"/>
  <c r="C61" i="6" s="1"/>
  <c r="C8" i="3"/>
  <c r="C46" i="3"/>
  <c r="C115" i="22" s="1" a="1"/>
  <c r="C115" i="22" s="1"/>
  <c r="AA41" i="6"/>
  <c r="Z43" i="6"/>
  <c r="K12" i="22" l="1"/>
  <c r="I12" i="22"/>
  <c r="V12" i="22"/>
  <c r="J12" i="22"/>
  <c r="U12" i="22"/>
  <c r="T12" i="22"/>
  <c r="H12" i="22"/>
  <c r="Q12" i="22"/>
  <c r="D12" i="22"/>
  <c r="O12" i="22"/>
  <c r="S12" i="22"/>
  <c r="G12" i="22"/>
  <c r="P12" i="22"/>
  <c r="R12" i="22"/>
  <c r="F12" i="22"/>
  <c r="E12" i="22"/>
  <c r="N12" i="22"/>
  <c r="M12" i="22"/>
  <c r="L12" i="22"/>
  <c r="U107" i="3"/>
  <c r="T107" i="3"/>
  <c r="V107" i="3"/>
  <c r="P107" i="3"/>
  <c r="N107" i="3"/>
  <c r="S107" i="3"/>
  <c r="R107" i="3"/>
  <c r="O107" i="3"/>
  <c r="D85" i="3"/>
  <c r="C51" i="16"/>
  <c r="J107" i="3"/>
  <c r="D88" i="3"/>
  <c r="D51" i="16"/>
  <c r="K107" i="3"/>
  <c r="G107" i="3"/>
  <c r="H107" i="3"/>
  <c r="D84" i="3"/>
  <c r="E51" i="16"/>
  <c r="B51" i="16"/>
  <c r="D87" i="3"/>
  <c r="C10" i="22"/>
  <c r="F11" i="22"/>
  <c r="Y35" i="3"/>
  <c r="X36" i="3"/>
  <c r="C9" i="22"/>
  <c r="M123" i="22"/>
  <c r="P64" i="6"/>
  <c r="P98" i="3" s="1"/>
  <c r="C118" i="22"/>
  <c r="M64" i="6"/>
  <c r="M98" i="3" s="1"/>
  <c r="O64" i="6"/>
  <c r="O98" i="3" s="1"/>
  <c r="I64" i="6"/>
  <c r="I98" i="3" s="1"/>
  <c r="T64" i="6"/>
  <c r="T98" i="3" s="1"/>
  <c r="D36" i="16" s="1"/>
  <c r="L41" i="21"/>
  <c r="L45" i="21" s="1"/>
  <c r="P41" i="21"/>
  <c r="P45" i="21" s="1"/>
  <c r="L64" i="6"/>
  <c r="L98" i="3" s="1"/>
  <c r="K41" i="21"/>
  <c r="K45" i="21" s="1"/>
  <c r="J41" i="21"/>
  <c r="J45" i="21" s="1"/>
  <c r="M41" i="21"/>
  <c r="M45" i="21" s="1"/>
  <c r="E64" i="6"/>
  <c r="E98" i="3" s="1"/>
  <c r="G64" i="6"/>
  <c r="G98" i="3" s="1"/>
  <c r="J64" i="6"/>
  <c r="J98" i="3" s="1"/>
  <c r="K64" i="6"/>
  <c r="K98" i="3" s="1"/>
  <c r="H64" i="6"/>
  <c r="H98" i="3" s="1"/>
  <c r="O41" i="21"/>
  <c r="O45" i="21" s="1"/>
  <c r="N41" i="21"/>
  <c r="N45" i="21" s="1"/>
  <c r="F64" i="6"/>
  <c r="F98" i="3" s="1"/>
  <c r="N64" i="6"/>
  <c r="N98" i="3" s="1"/>
  <c r="R64" i="6"/>
  <c r="R98" i="3" s="1"/>
  <c r="B36" i="16" s="1"/>
  <c r="V41" i="21"/>
  <c r="V45" i="21" s="1"/>
  <c r="V64" i="6"/>
  <c r="V98" i="3" s="1"/>
  <c r="F36" i="16" s="1"/>
  <c r="C15" i="7"/>
  <c r="Q64" i="6"/>
  <c r="Q98" i="3" s="1"/>
  <c r="U41" i="21"/>
  <c r="U45" i="21" s="1"/>
  <c r="Q41" i="21"/>
  <c r="Q45" i="21" s="1"/>
  <c r="C70" i="6"/>
  <c r="U64" i="6"/>
  <c r="U98" i="3" s="1"/>
  <c r="E36" i="16" s="1"/>
  <c r="S41" i="21"/>
  <c r="S45" i="21" s="1"/>
  <c r="R41" i="21"/>
  <c r="R45" i="21" s="1"/>
  <c r="S64" i="6"/>
  <c r="S98" i="3" s="1"/>
  <c r="C36" i="16" s="1"/>
  <c r="T41" i="21"/>
  <c r="T45" i="21" s="1"/>
  <c r="H67" i="7"/>
  <c r="F33" i="16"/>
  <c r="U59" i="7"/>
  <c r="T59" i="7"/>
  <c r="D28" i="16" s="1"/>
  <c r="V59" i="7"/>
  <c r="R56" i="7"/>
  <c r="R86" i="3" s="1"/>
  <c r="O56" i="7"/>
  <c r="O86" i="3" s="1"/>
  <c r="N56" i="7"/>
  <c r="N86" i="3" s="1"/>
  <c r="K56" i="7"/>
  <c r="K86" i="3" s="1"/>
  <c r="E56" i="7"/>
  <c r="E86" i="3" s="1"/>
  <c r="I56" i="7"/>
  <c r="I86" i="3" s="1"/>
  <c r="J56" i="7"/>
  <c r="J86" i="3" s="1"/>
  <c r="H56" i="7"/>
  <c r="H86" i="3" s="1"/>
  <c r="D56" i="7"/>
  <c r="D86" i="3" s="1"/>
  <c r="G56" i="7"/>
  <c r="G86" i="3" s="1"/>
  <c r="F56" i="7"/>
  <c r="F86" i="3" s="1"/>
  <c r="L56" i="7"/>
  <c r="L86" i="3" s="1"/>
  <c r="S56" i="7"/>
  <c r="S86" i="3" s="1"/>
  <c r="Q56" i="7"/>
  <c r="Q86" i="3" s="1"/>
  <c r="P56" i="7"/>
  <c r="P86" i="3" s="1"/>
  <c r="M56" i="7"/>
  <c r="M86" i="3" s="1"/>
  <c r="C5" i="22"/>
  <c r="W44" i="6"/>
  <c r="C55" i="7"/>
  <c r="C182" i="22" a="1"/>
  <c r="C182" i="22" s="1"/>
  <c r="C75" i="3"/>
  <c r="C170" i="22" a="1"/>
  <c r="C170" i="22" s="1"/>
  <c r="E47" i="16"/>
  <c r="P89" i="3"/>
  <c r="Q89" i="3"/>
  <c r="I89" i="3"/>
  <c r="T89" i="3"/>
  <c r="N89" i="3"/>
  <c r="R89" i="3"/>
  <c r="E89" i="3"/>
  <c r="O89" i="3"/>
  <c r="J89" i="3"/>
  <c r="M89" i="3"/>
  <c r="D89" i="3"/>
  <c r="C29" i="16"/>
  <c r="L89" i="3"/>
  <c r="K89" i="3"/>
  <c r="D46" i="16"/>
  <c r="H89" i="3"/>
  <c r="G89" i="3"/>
  <c r="F89" i="3"/>
  <c r="R11" i="7"/>
  <c r="R17" i="7" s="1"/>
  <c r="W56" i="3" a="1"/>
  <c r="W56" i="3" s="1"/>
  <c r="X38" i="6"/>
  <c r="X44" i="6" s="1"/>
  <c r="Y77" i="3"/>
  <c r="Y35" i="6"/>
  <c r="W71" i="6"/>
  <c r="W70" i="6"/>
  <c r="W68" i="3"/>
  <c r="W70" i="3" s="1" a="1"/>
  <c r="W70" i="3" s="1"/>
  <c r="W18" i="3" s="1"/>
  <c r="I41" i="21"/>
  <c r="I45" i="21" s="1"/>
  <c r="H41" i="21"/>
  <c r="H45" i="21" s="1"/>
  <c r="D29" i="16"/>
  <c r="K97" i="3"/>
  <c r="J97" i="3"/>
  <c r="S89" i="3"/>
  <c r="I97" i="3"/>
  <c r="G97" i="3"/>
  <c r="V97" i="3"/>
  <c r="F35" i="16" s="1"/>
  <c r="L97" i="3"/>
  <c r="T97" i="3"/>
  <c r="D35" i="16" s="1"/>
  <c r="N97" i="3"/>
  <c r="O97" i="3"/>
  <c r="H97" i="3"/>
  <c r="E97" i="3"/>
  <c r="U89" i="3"/>
  <c r="Q97" i="3"/>
  <c r="M97" i="3"/>
  <c r="F97" i="3"/>
  <c r="E29" i="16"/>
  <c r="B29" i="16"/>
  <c r="R97" i="3"/>
  <c r="B35" i="16" s="1"/>
  <c r="P97" i="3"/>
  <c r="U97" i="3"/>
  <c r="E35" i="16" s="1"/>
  <c r="S97" i="3"/>
  <c r="C35" i="16" s="1"/>
  <c r="B47" i="16"/>
  <c r="C52" i="6"/>
  <c r="C62" i="6"/>
  <c r="D47" i="16"/>
  <c r="C47" i="16"/>
  <c r="C45" i="16"/>
  <c r="B46" i="16"/>
  <c r="E50" i="16"/>
  <c r="B45" i="16"/>
  <c r="D45" i="16"/>
  <c r="E45" i="16"/>
  <c r="C46" i="16"/>
  <c r="B61" i="16"/>
  <c r="C61" i="16"/>
  <c r="D61" i="16"/>
  <c r="E61" i="16"/>
  <c r="V46" i="21"/>
  <c r="C31" i="7"/>
  <c r="C58" i="6"/>
  <c r="C71" i="6" s="1"/>
  <c r="W54" i="3" a="1"/>
  <c r="W54" i="3" s="1"/>
  <c r="X52" i="3" s="1"/>
  <c r="X54" i="3" s="1" a="1"/>
  <c r="X54" i="3" s="1"/>
  <c r="Y52" i="3" s="1"/>
  <c r="I66" i="7"/>
  <c r="W39" i="7"/>
  <c r="W66" i="3" a="1"/>
  <c r="W66" i="3" s="1"/>
  <c r="W50" i="3" a="1"/>
  <c r="W50" i="3" s="1"/>
  <c r="C15" i="16"/>
  <c r="C19" i="16" s="1"/>
  <c r="W50" i="6"/>
  <c r="X50" i="6" s="1"/>
  <c r="Y50" i="6" s="1"/>
  <c r="Z50" i="6" s="1"/>
  <c r="AA50" i="6" s="1"/>
  <c r="AB50" i="6" s="1"/>
  <c r="C13" i="7"/>
  <c r="M11" i="7"/>
  <c r="M17" i="7" s="1"/>
  <c r="R33" i="3"/>
  <c r="B26" i="16"/>
  <c r="R95" i="3"/>
  <c r="L11" i="7"/>
  <c r="L17" i="7" s="1"/>
  <c r="F95" i="3"/>
  <c r="Q33" i="3"/>
  <c r="O95" i="3"/>
  <c r="D11" i="7"/>
  <c r="M95" i="3"/>
  <c r="D33" i="3"/>
  <c r="F26" i="16"/>
  <c r="V95" i="3"/>
  <c r="H11" i="7"/>
  <c r="H33" i="3"/>
  <c r="H95" i="3"/>
  <c r="C94" i="3"/>
  <c r="V11" i="7"/>
  <c r="V60" i="7" s="1"/>
  <c r="V33" i="3"/>
  <c r="D95" i="3"/>
  <c r="O33" i="3"/>
  <c r="E26" i="16"/>
  <c r="U95" i="3"/>
  <c r="P95" i="3"/>
  <c r="P33" i="3"/>
  <c r="P11" i="7"/>
  <c r="P17" i="7" s="1"/>
  <c r="M33" i="3"/>
  <c r="U11" i="7"/>
  <c r="U60" i="7" s="1"/>
  <c r="G33" i="3"/>
  <c r="N11" i="7"/>
  <c r="N17" i="7" s="1"/>
  <c r="K11" i="7"/>
  <c r="T33" i="3"/>
  <c r="L33" i="3"/>
  <c r="B27" i="16"/>
  <c r="T11" i="7"/>
  <c r="T60" i="7" s="1"/>
  <c r="N95" i="3"/>
  <c r="S33" i="3"/>
  <c r="N33" i="3"/>
  <c r="U33" i="3"/>
  <c r="K33" i="3"/>
  <c r="K95" i="3"/>
  <c r="S95" i="3"/>
  <c r="C26" i="16"/>
  <c r="G95" i="3"/>
  <c r="Q11" i="7"/>
  <c r="J33" i="3"/>
  <c r="C27" i="16"/>
  <c r="G11" i="7"/>
  <c r="Q95" i="3"/>
  <c r="C14" i="3"/>
  <c r="E11" i="7"/>
  <c r="E17" i="7" s="1"/>
  <c r="H22" i="16"/>
  <c r="L95" i="3"/>
  <c r="J11" i="7"/>
  <c r="J17" i="7" s="1"/>
  <c r="T95" i="3"/>
  <c r="O11" i="7"/>
  <c r="C50" i="6"/>
  <c r="E33" i="3"/>
  <c r="D105" i="3"/>
  <c r="E95" i="3"/>
  <c r="D26" i="16"/>
  <c r="S11" i="7"/>
  <c r="C28" i="3"/>
  <c r="F11" i="7"/>
  <c r="I95" i="3"/>
  <c r="C41" i="7"/>
  <c r="C183" i="22" s="1" a="1"/>
  <c r="C183" i="22" s="1"/>
  <c r="F33" i="3"/>
  <c r="J95" i="3"/>
  <c r="I11" i="7"/>
  <c r="I33" i="3"/>
  <c r="C63" i="6"/>
  <c r="D64" i="6" s="1"/>
  <c r="D98" i="3" s="1"/>
  <c r="AB41" i="6"/>
  <c r="AB43" i="6" s="1"/>
  <c r="AA43" i="6"/>
  <c r="C12" i="22" l="1"/>
  <c r="C13" i="22" s="1" a="1"/>
  <c r="C13" i="22" s="1"/>
  <c r="Y36" i="3"/>
  <c r="I38" i="16"/>
  <c r="Z35" i="3"/>
  <c r="D107" i="3"/>
  <c r="E107" i="3"/>
  <c r="N123" i="22"/>
  <c r="N139" i="22" a="1"/>
  <c r="N139" i="22" s="1"/>
  <c r="N140" i="22" s="1" a="1"/>
  <c r="N140" i="22" s="1"/>
  <c r="C134" i="22" a="1"/>
  <c r="E154" i="22"/>
  <c r="F154" i="22" s="1"/>
  <c r="J116" i="22"/>
  <c r="O117" i="22"/>
  <c r="T117" i="22"/>
  <c r="P117" i="22"/>
  <c r="V117" i="22"/>
  <c r="Q117" i="22"/>
  <c r="R117" i="22"/>
  <c r="O116" i="22"/>
  <c r="I116" i="22"/>
  <c r="R116" i="22"/>
  <c r="K116" i="22"/>
  <c r="V116" i="22"/>
  <c r="L116" i="22"/>
  <c r="M116" i="22"/>
  <c r="T116" i="22"/>
  <c r="N116" i="22"/>
  <c r="P116" i="22"/>
  <c r="U116" i="22"/>
  <c r="U117" i="22"/>
  <c r="S116" i="22"/>
  <c r="N117" i="22"/>
  <c r="S117" i="22"/>
  <c r="Q116" i="22"/>
  <c r="U58" i="3"/>
  <c r="U96" i="3" s="1"/>
  <c r="E31" i="16"/>
  <c r="V58" i="3"/>
  <c r="V96" i="3" s="1"/>
  <c r="F31" i="16"/>
  <c r="T58" i="3"/>
  <c r="T96" i="3" s="1"/>
  <c r="D31" i="16"/>
  <c r="L67" i="7" a="1"/>
  <c r="L67" i="7" s="1"/>
  <c r="W43" i="7" s="1" a="1"/>
  <c r="W43" i="7" s="1"/>
  <c r="W45" i="7" s="1" a="1"/>
  <c r="W45" i="7" s="1"/>
  <c r="E33" i="16"/>
  <c r="B33" i="16"/>
  <c r="E28" i="16"/>
  <c r="D33" i="16"/>
  <c r="D58" i="16"/>
  <c r="C33" i="16"/>
  <c r="E58" i="16"/>
  <c r="F28" i="16"/>
  <c r="R60" i="7"/>
  <c r="R59" i="7"/>
  <c r="I58" i="3"/>
  <c r="I96" i="3" s="1"/>
  <c r="I59" i="7"/>
  <c r="I60" i="7"/>
  <c r="C56" i="7"/>
  <c r="E60" i="7"/>
  <c r="E58" i="3"/>
  <c r="E96" i="3" s="1"/>
  <c r="E59" i="7"/>
  <c r="M59" i="7"/>
  <c r="M60" i="7"/>
  <c r="M58" i="3"/>
  <c r="M96" i="3" s="1"/>
  <c r="K58" i="3"/>
  <c r="K96" i="3" s="1"/>
  <c r="K59" i="7"/>
  <c r="K60" i="7"/>
  <c r="H58" i="3"/>
  <c r="H96" i="3" s="1"/>
  <c r="H59" i="7"/>
  <c r="H60" i="7"/>
  <c r="S60" i="7"/>
  <c r="S59" i="7"/>
  <c r="L59" i="7"/>
  <c r="L60" i="7"/>
  <c r="L58" i="3"/>
  <c r="L96" i="3" s="1"/>
  <c r="G60" i="7"/>
  <c r="G59" i="7"/>
  <c r="G58" i="3"/>
  <c r="G96" i="3" s="1"/>
  <c r="P58" i="3"/>
  <c r="P96" i="3" s="1"/>
  <c r="P60" i="7"/>
  <c r="P59" i="7"/>
  <c r="D58" i="3"/>
  <c r="D96" i="3" s="1"/>
  <c r="D60" i="7"/>
  <c r="D59" i="7"/>
  <c r="O59" i="7"/>
  <c r="O60" i="7"/>
  <c r="O58" i="3"/>
  <c r="O96" i="3" s="1"/>
  <c r="F60" i="7"/>
  <c r="F58" i="3"/>
  <c r="F96" i="3" s="1"/>
  <c r="F59" i="7"/>
  <c r="N59" i="7"/>
  <c r="N58" i="3"/>
  <c r="N96" i="3" s="1"/>
  <c r="N60" i="7"/>
  <c r="J58" i="3"/>
  <c r="J96" i="3" s="1"/>
  <c r="J60" i="7"/>
  <c r="J59" i="7"/>
  <c r="Q60" i="7"/>
  <c r="Q59" i="7"/>
  <c r="Q58" i="3"/>
  <c r="Q96" i="3" s="1"/>
  <c r="D97" i="3"/>
  <c r="Z35" i="6"/>
  <c r="Z77" i="3"/>
  <c r="Y38" i="6"/>
  <c r="Y44" i="6" s="1"/>
  <c r="X64" i="3"/>
  <c r="X68" i="3" s="1"/>
  <c r="X70" i="3" s="1" a="1"/>
  <c r="X70" i="3" s="1"/>
  <c r="X18" i="3" s="1"/>
  <c r="B52" i="16"/>
  <c r="D52" i="16"/>
  <c r="C52" i="16"/>
  <c r="E52" i="16"/>
  <c r="E59" i="16"/>
  <c r="C89" i="3"/>
  <c r="C97" i="3"/>
  <c r="B59" i="16"/>
  <c r="D59" i="16"/>
  <c r="C59" i="16"/>
  <c r="B50" i="16"/>
  <c r="D50" i="16"/>
  <c r="C50" i="16"/>
  <c r="E60" i="16"/>
  <c r="D60" i="16"/>
  <c r="C60" i="16"/>
  <c r="B60" i="16"/>
  <c r="G25" i="16"/>
  <c r="X48" i="3"/>
  <c r="X50" i="3" s="1" a="1"/>
  <c r="X50" i="3" s="1"/>
  <c r="W41" i="7" a="1"/>
  <c r="W41" i="7" s="1"/>
  <c r="X39" i="7" s="1"/>
  <c r="X41" i="7" s="1" a="1"/>
  <c r="X41" i="7" s="1"/>
  <c r="J66" i="7"/>
  <c r="Y54" i="3" a="1"/>
  <c r="Y54" i="3" s="1"/>
  <c r="Z52" i="3" s="1"/>
  <c r="X70" i="6"/>
  <c r="Y70" i="6" s="1"/>
  <c r="Z70" i="6" s="1"/>
  <c r="AA70" i="6" s="1"/>
  <c r="AB70" i="6" s="1"/>
  <c r="U17" i="7"/>
  <c r="H17" i="7"/>
  <c r="D17" i="7"/>
  <c r="V17" i="7"/>
  <c r="K17" i="7"/>
  <c r="X71" i="6"/>
  <c r="T17" i="7"/>
  <c r="G17" i="7"/>
  <c r="I17" i="7"/>
  <c r="Q17" i="7"/>
  <c r="S17" i="7"/>
  <c r="F17" i="7"/>
  <c r="I22" i="16"/>
  <c r="O17" i="7"/>
  <c r="C11" i="7"/>
  <c r="C95" i="3"/>
  <c r="C33" i="3"/>
  <c r="W93" i="22" a="1"/>
  <c r="G93" i="22" a="1"/>
  <c r="W92" i="22" a="1"/>
  <c r="E92" i="22" s="1" a="1"/>
  <c r="G92" i="22" a="1"/>
  <c r="V94" i="22" l="1"/>
  <c r="C17" i="22" a="1"/>
  <c r="I30" i="22" s="1" a="1"/>
  <c r="D48" i="22" a="1"/>
  <c r="Z36" i="3"/>
  <c r="J38" i="16"/>
  <c r="F54" i="16"/>
  <c r="G93" i="22"/>
  <c r="W93" i="22"/>
  <c r="G92" i="22"/>
  <c r="E92" i="22"/>
  <c r="W92" i="22"/>
  <c r="C64" i="22" a="1"/>
  <c r="F64" i="22" a="1"/>
  <c r="AA35" i="3"/>
  <c r="O123" i="22"/>
  <c r="C134" i="22"/>
  <c r="H116" i="22"/>
  <c r="M117" i="22"/>
  <c r="R58" i="3"/>
  <c r="R96" i="3" s="1"/>
  <c r="B31" i="16"/>
  <c r="S58" i="3"/>
  <c r="S96" i="3" s="1"/>
  <c r="C31" i="16"/>
  <c r="B28" i="16"/>
  <c r="C28" i="16"/>
  <c r="B58" i="16"/>
  <c r="C59" i="7"/>
  <c r="C58" i="3"/>
  <c r="C96" i="3" s="1"/>
  <c r="C60" i="7"/>
  <c r="C58" i="16"/>
  <c r="X66" i="3" a="1"/>
  <c r="X66" i="3" s="1"/>
  <c r="Y64" i="3" s="1"/>
  <c r="Y68" i="3" s="1"/>
  <c r="Y70" i="3" s="1" a="1"/>
  <c r="Y70" i="3" s="1"/>
  <c r="Y18" i="3" s="1"/>
  <c r="AA77" i="3"/>
  <c r="Z38" i="6"/>
  <c r="Z44" i="6" s="1"/>
  <c r="AA35" i="6"/>
  <c r="W58" i="3" a="1"/>
  <c r="W58" i="3" s="1"/>
  <c r="X56" i="3" s="1"/>
  <c r="H25" i="16"/>
  <c r="Y48" i="3"/>
  <c r="Y50" i="3" s="1" a="1"/>
  <c r="Y50" i="3" s="1"/>
  <c r="Y39" i="7"/>
  <c r="Y41" i="7" s="1" a="1"/>
  <c r="Y41" i="7" s="1"/>
  <c r="V45" i="7"/>
  <c r="X43" i="7"/>
  <c r="X45" i="7" s="1" a="1"/>
  <c r="X45" i="7" s="1"/>
  <c r="K66" i="7"/>
  <c r="Z54" i="3" a="1"/>
  <c r="Z54" i="3" s="1"/>
  <c r="AA52" i="3" s="1"/>
  <c r="Y71" i="6"/>
  <c r="J22" i="16"/>
  <c r="C17" i="7"/>
  <c r="E93" i="22" a="1"/>
  <c r="Y43" i="7" l="1"/>
  <c r="Y45" i="7" s="1" a="1"/>
  <c r="Y45" i="7" s="1"/>
  <c r="E93" i="22"/>
  <c r="I30" i="22"/>
  <c r="I35" i="22" s="1"/>
  <c r="J35" i="22"/>
  <c r="O18" i="22"/>
  <c r="O23" i="22" s="1"/>
  <c r="K18" i="22"/>
  <c r="K23" i="22" s="1"/>
  <c r="M18" i="22"/>
  <c r="M23" i="22" s="1"/>
  <c r="L18" i="22"/>
  <c r="L23" i="22" s="1"/>
  <c r="V18" i="22"/>
  <c r="V23" i="22" s="1"/>
  <c r="J18" i="22"/>
  <c r="J23" i="22" s="1"/>
  <c r="T18" i="22"/>
  <c r="T23" i="22" s="1"/>
  <c r="S18" i="22"/>
  <c r="S23" i="22" s="1"/>
  <c r="F18" i="22"/>
  <c r="F23" i="22" s="1"/>
  <c r="Q18" i="22"/>
  <c r="Q23" i="22" s="1"/>
  <c r="P18" i="22"/>
  <c r="P23" i="22" s="1"/>
  <c r="U18" i="22"/>
  <c r="U23" i="22" s="1"/>
  <c r="I18" i="22"/>
  <c r="I23" i="22" s="1"/>
  <c r="H18" i="22"/>
  <c r="H23" i="22" s="1"/>
  <c r="G18" i="22"/>
  <c r="G23" i="22" s="1"/>
  <c r="R18" i="22"/>
  <c r="R23" i="22" s="1"/>
  <c r="E18" i="22"/>
  <c r="E23" i="22" s="1"/>
  <c r="N18" i="22"/>
  <c r="N23" i="22" s="1"/>
  <c r="D48" i="22"/>
  <c r="C17" i="22"/>
  <c r="D18" i="22" s="1"/>
  <c r="D23" i="22" s="1"/>
  <c r="F64" i="22"/>
  <c r="G69" i="22"/>
  <c r="G70" i="22" s="1"/>
  <c r="G71" i="22" s="1"/>
  <c r="C64" i="22"/>
  <c r="D69" i="22"/>
  <c r="D70" i="22" s="1"/>
  <c r="D71" i="22" s="1"/>
  <c r="AA36" i="3"/>
  <c r="K38" i="16"/>
  <c r="W94" i="22" a="1"/>
  <c r="W94" i="22" s="1"/>
  <c r="W95" i="22" s="1"/>
  <c r="AB35" i="3"/>
  <c r="AB36" i="3" s="1"/>
  <c r="P123" i="22"/>
  <c r="Y66" i="3" a="1"/>
  <c r="Y66" i="3" s="1"/>
  <c r="Z64" i="3" s="1"/>
  <c r="Z66" i="3" s="1" a="1"/>
  <c r="Z66" i="3" s="1"/>
  <c r="AA64" i="3" s="1"/>
  <c r="AB77" i="3"/>
  <c r="AA38" i="6"/>
  <c r="AA44" i="6" s="1"/>
  <c r="AB35" i="6"/>
  <c r="AB38" i="6" s="1"/>
  <c r="AB44" i="6" s="1"/>
  <c r="W96" i="3"/>
  <c r="I25" i="16"/>
  <c r="Z48" i="3"/>
  <c r="Z50" i="3" s="1" a="1"/>
  <c r="Z50" i="3" s="1"/>
  <c r="Z39" i="7"/>
  <c r="Z41" i="7" s="1" a="1"/>
  <c r="Z41" i="7" s="1"/>
  <c r="V49" i="7"/>
  <c r="V51" i="7" s="1"/>
  <c r="U45" i="7"/>
  <c r="AA54" i="3" a="1"/>
  <c r="AA54" i="3" s="1"/>
  <c r="AB52" i="3" s="1"/>
  <c r="AB54" i="3" s="1" a="1"/>
  <c r="AB54" i="3" s="1"/>
  <c r="Z71" i="6"/>
  <c r="C18" i="20" a="1"/>
  <c r="C18" i="20" s="1"/>
  <c r="K22" i="16"/>
  <c r="F65" i="16" s="1"/>
  <c r="Z43" i="7" l="1"/>
  <c r="Z45" i="7" s="1" a="1"/>
  <c r="Z45" i="7" s="1"/>
  <c r="V40" i="22"/>
  <c r="D19" i="22"/>
  <c r="F19" i="22"/>
  <c r="C49" i="22"/>
  <c r="E49" i="22"/>
  <c r="C69" i="22"/>
  <c r="C70" i="22" s="1"/>
  <c r="C71" i="22" s="1"/>
  <c r="C72" i="22" s="1"/>
  <c r="F69" i="22"/>
  <c r="F70" i="22" s="1"/>
  <c r="F71" i="22" s="1"/>
  <c r="F72" i="22" s="1"/>
  <c r="Z95" i="22"/>
  <c r="AA95" i="22"/>
  <c r="Y95" i="22"/>
  <c r="AB95" i="22"/>
  <c r="X95" i="22"/>
  <c r="Q123" i="22"/>
  <c r="Z68" i="3"/>
  <c r="Z70" i="3" s="1" a="1"/>
  <c r="Z70" i="3" s="1"/>
  <c r="Z18" i="3" s="1"/>
  <c r="AA68" i="3"/>
  <c r="AA70" i="3" s="1" a="1"/>
  <c r="AA70" i="3" s="1"/>
  <c r="AA18" i="3" s="1"/>
  <c r="X58" i="3" a="1"/>
  <c r="X58" i="3" s="1"/>
  <c r="J25" i="16"/>
  <c r="AA48" i="3"/>
  <c r="AA50" i="3" s="1" a="1"/>
  <c r="AA50" i="3" s="1"/>
  <c r="AA39" i="7"/>
  <c r="AA41" i="7" s="1" a="1"/>
  <c r="AA41" i="7" s="1"/>
  <c r="U49" i="7"/>
  <c r="U51" i="7" s="1"/>
  <c r="T45" i="7"/>
  <c r="AA66" i="3" a="1"/>
  <c r="AA66" i="3" s="1"/>
  <c r="AB64" i="3" s="1"/>
  <c r="AB68" i="3" s="1"/>
  <c r="AA71" i="6"/>
  <c r="D24" i="22" l="1"/>
  <c r="F24" i="22"/>
  <c r="K49" i="22"/>
  <c r="I49" i="22"/>
  <c r="C80" i="22" a="1"/>
  <c r="C80" i="22" s="1"/>
  <c r="D81" i="22" s="1"/>
  <c r="C96" i="22" a="1"/>
  <c r="C96" i="22" s="1"/>
  <c r="C97" i="22" s="1" a="1"/>
  <c r="C97" i="22" s="1"/>
  <c r="C98" i="22" s="1"/>
  <c r="W99" i="22" s="1"/>
  <c r="R123" i="22"/>
  <c r="AB66" i="3" a="1"/>
  <c r="AB66" i="3" s="1"/>
  <c r="AB70" i="3" a="1"/>
  <c r="AB70" i="3" s="1"/>
  <c r="AB18" i="3" s="1"/>
  <c r="X96" i="3"/>
  <c r="Y56" i="3"/>
  <c r="Y58" i="3" s="1" a="1"/>
  <c r="Y58" i="3" s="1"/>
  <c r="Z56" i="3" s="1"/>
  <c r="Z58" i="3" s="1" a="1"/>
  <c r="Z58" i="3" s="1"/>
  <c r="AA56" i="3" s="1"/>
  <c r="K25" i="16"/>
  <c r="AB48" i="3"/>
  <c r="AB50" i="3" s="1" a="1"/>
  <c r="AB50" i="3" s="1"/>
  <c r="AB39" i="7"/>
  <c r="AB41" i="7" s="1" a="1"/>
  <c r="AB41" i="7" s="1"/>
  <c r="AA43" i="7"/>
  <c r="AA45" i="7" s="1" a="1"/>
  <c r="AA45" i="7" s="1"/>
  <c r="S45" i="7"/>
  <c r="T49" i="7"/>
  <c r="T51" i="7" s="1"/>
  <c r="AB71" i="6"/>
  <c r="AB43" i="7" l="1"/>
  <c r="AB45" i="7" s="1" a="1"/>
  <c r="AB45" i="7" s="1"/>
  <c r="J24" i="22"/>
  <c r="L24" i="22"/>
  <c r="L19" i="22"/>
  <c r="I50" i="22" a="1"/>
  <c r="I50" i="22" s="1"/>
  <c r="S50" i="22" a="1"/>
  <c r="S50" i="22" s="1"/>
  <c r="H50" i="22" a="1"/>
  <c r="H50" i="22" s="1"/>
  <c r="G50" i="22" a="1"/>
  <c r="G50" i="22" s="1"/>
  <c r="P50" i="22" a="1"/>
  <c r="P50" i="22" s="1"/>
  <c r="O50" i="22" a="1"/>
  <c r="O50" i="22" s="1"/>
  <c r="R50" i="22" a="1"/>
  <c r="R50" i="22" s="1"/>
  <c r="N50" i="22" a="1"/>
  <c r="N50" i="22" s="1"/>
  <c r="Q50" i="22" a="1"/>
  <c r="Q50" i="22" s="1"/>
  <c r="F50" i="22" a="1"/>
  <c r="F50" i="22" s="1"/>
  <c r="E50" i="22" a="1"/>
  <c r="E50" i="22" s="1"/>
  <c r="T50" i="22" a="1"/>
  <c r="T50" i="22" s="1"/>
  <c r="V50" i="22" a="1"/>
  <c r="V50" i="22" s="1"/>
  <c r="M50" i="22" a="1"/>
  <c r="M50" i="22" s="1"/>
  <c r="J50" i="22" a="1"/>
  <c r="J50" i="22" s="1"/>
  <c r="U50" i="22" a="1"/>
  <c r="U50" i="22" s="1"/>
  <c r="L50" i="22" a="1"/>
  <c r="L50" i="22" s="1"/>
  <c r="K50" i="22" a="1"/>
  <c r="K50" i="22" s="1"/>
  <c r="D50" i="22" a="1"/>
  <c r="D50" i="22" s="1"/>
  <c r="J19" i="22"/>
  <c r="AA99" i="22"/>
  <c r="X99" i="22"/>
  <c r="Z99" i="22"/>
  <c r="AB99" i="22"/>
  <c r="Y99" i="22"/>
  <c r="C81" i="22"/>
  <c r="C82" i="22" s="1"/>
  <c r="S123" i="22"/>
  <c r="Y96" i="3"/>
  <c r="AA58" i="3" a="1"/>
  <c r="AA58" i="3" s="1"/>
  <c r="Z96" i="3"/>
  <c r="R45" i="7"/>
  <c r="S49" i="7"/>
  <c r="S51" i="7" s="1"/>
  <c r="C27" i="21"/>
  <c r="O25" i="22" l="1" a="1"/>
  <c r="O25" i="22" s="1"/>
  <c r="I25" i="22" a="1"/>
  <c r="I25" i="22" s="1"/>
  <c r="V25" i="22" a="1"/>
  <c r="V25" i="22" s="1"/>
  <c r="H25" i="22" a="1"/>
  <c r="H25" i="22" s="1"/>
  <c r="U25" i="22" a="1"/>
  <c r="U25" i="22" s="1"/>
  <c r="G25" i="22" a="1"/>
  <c r="G25" i="22" s="1"/>
  <c r="T25" i="22" a="1"/>
  <c r="T25" i="22" s="1"/>
  <c r="F25" i="22" a="1"/>
  <c r="F25" i="22" s="1"/>
  <c r="S25" i="22" a="1"/>
  <c r="S25" i="22" s="1"/>
  <c r="R25" i="22" a="1"/>
  <c r="R25" i="22" s="1"/>
  <c r="D25" i="22" a="1"/>
  <c r="D25" i="22" s="1"/>
  <c r="N25" i="22" a="1"/>
  <c r="N25" i="22" s="1"/>
  <c r="J25" i="22" a="1"/>
  <c r="J25" i="22" s="1"/>
  <c r="E25" i="22" a="1"/>
  <c r="E25" i="22" s="1"/>
  <c r="Q25" i="22" a="1"/>
  <c r="Q25" i="22" s="1"/>
  <c r="K25" i="22" a="1"/>
  <c r="K25" i="22" s="1"/>
  <c r="P25" i="22" a="1"/>
  <c r="P25" i="22" s="1"/>
  <c r="L25" i="22" a="1"/>
  <c r="L25" i="22" s="1"/>
  <c r="M25" i="22" a="1"/>
  <c r="M25" i="22" s="1"/>
  <c r="R20" i="22" a="1"/>
  <c r="R20" i="22" s="1"/>
  <c r="D60" i="22"/>
  <c r="D59" i="22"/>
  <c r="T20" i="22" a="1"/>
  <c r="T20" i="22" s="1"/>
  <c r="M20" i="22" a="1"/>
  <c r="M20" i="22" s="1"/>
  <c r="U20" i="22" a="1"/>
  <c r="U20" i="22" s="1"/>
  <c r="E20" i="22" a="1"/>
  <c r="E20" i="22" s="1"/>
  <c r="P20" i="22" a="1"/>
  <c r="P20" i="22" s="1"/>
  <c r="J20" i="22" a="1"/>
  <c r="J20" i="22" s="1"/>
  <c r="D20" i="22" a="1"/>
  <c r="D20" i="22" s="1"/>
  <c r="I20" i="22" a="1"/>
  <c r="I20" i="22" s="1"/>
  <c r="S20" i="22" a="1"/>
  <c r="S20" i="22" s="1"/>
  <c r="F20" i="22" a="1"/>
  <c r="F20" i="22" s="1"/>
  <c r="O20" i="22" a="1"/>
  <c r="O20" i="22" s="1"/>
  <c r="V20" i="22" a="1"/>
  <c r="V20" i="22" s="1"/>
  <c r="Q20" i="22" a="1"/>
  <c r="Q20" i="22" s="1"/>
  <c r="K20" i="22" a="1"/>
  <c r="K20" i="22" s="1"/>
  <c r="G20" i="22" a="1"/>
  <c r="G20" i="22" s="1"/>
  <c r="L20" i="22" a="1"/>
  <c r="L20" i="22" s="1"/>
  <c r="H20" i="22" a="1"/>
  <c r="H20" i="22" s="1"/>
  <c r="N20" i="22" a="1"/>
  <c r="N20" i="22" s="1"/>
  <c r="C85" i="22"/>
  <c r="C83" i="22" a="1"/>
  <c r="C83" i="22" s="1"/>
  <c r="C84" i="22" s="1"/>
  <c r="T123" i="22"/>
  <c r="AB56" i="3"/>
  <c r="AB58" i="3" s="1" a="1"/>
  <c r="AB58" i="3" s="1"/>
  <c r="AB96" i="3" s="1"/>
  <c r="AA96" i="3"/>
  <c r="Q45" i="7"/>
  <c r="R49" i="7"/>
  <c r="R51" i="7" s="1"/>
  <c r="C27" i="22" l="1"/>
  <c r="F26" i="22"/>
  <c r="D26" i="22"/>
  <c r="M30" i="22"/>
  <c r="M31" i="22"/>
  <c r="C30" i="22" a="1"/>
  <c r="C30" i="22" s="1"/>
  <c r="F30" i="22" a="1"/>
  <c r="F30" i="22" s="1"/>
  <c r="W40" i="22" s="1"/>
  <c r="AB100" i="22" a="1"/>
  <c r="AB100" i="22" s="1"/>
  <c r="AA100" i="22" a="1"/>
  <c r="AA100" i="22" s="1"/>
  <c r="X100" i="22" a="1"/>
  <c r="X100" i="22" s="1"/>
  <c r="Y100" i="22" a="1"/>
  <c r="Y100" i="22" s="1"/>
  <c r="W100" i="22" a="1"/>
  <c r="W100" i="22" s="1"/>
  <c r="Z100" i="22" a="1"/>
  <c r="Z100" i="22" s="1"/>
  <c r="W86" i="22"/>
  <c r="AB86" i="22"/>
  <c r="AA86" i="22"/>
  <c r="Z86" i="22"/>
  <c r="Y86" i="22"/>
  <c r="X86" i="22"/>
  <c r="U123" i="22"/>
  <c r="C137" i="22" a="1"/>
  <c r="P45" i="7"/>
  <c r="Q49" i="7"/>
  <c r="Q51" i="7" s="1"/>
  <c r="M34" i="22" l="1"/>
  <c r="M35" i="22" s="1"/>
  <c r="L26" i="22"/>
  <c r="J26" i="22"/>
  <c r="X40" i="22"/>
  <c r="Y40" i="22" s="1"/>
  <c r="Z40" i="22" s="1"/>
  <c r="AA40" i="22" s="1"/>
  <c r="AB40" i="22" s="1"/>
  <c r="I36" i="22"/>
  <c r="I37" i="22" s="1"/>
  <c r="J36" i="22"/>
  <c r="J37" i="22" s="1"/>
  <c r="C35" i="22"/>
  <c r="C36" i="22" s="1"/>
  <c r="C37" i="22" s="1"/>
  <c r="D35" i="22"/>
  <c r="D36" i="22" s="1"/>
  <c r="D37" i="22" s="1"/>
  <c r="F35" i="22"/>
  <c r="F36" i="22" s="1"/>
  <c r="F37" i="22" s="1"/>
  <c r="G35" i="22"/>
  <c r="G36" i="22" s="1"/>
  <c r="G37" i="22" s="1"/>
  <c r="W105" i="22" a="1"/>
  <c r="W105" i="22" s="1"/>
  <c r="W107" i="22" s="1" a="1"/>
  <c r="W107" i="22" s="1"/>
  <c r="C137" i="22"/>
  <c r="D142" i="22"/>
  <c r="D143" i="22" s="1"/>
  <c r="D144" i="22" s="1"/>
  <c r="D145" i="22" s="1"/>
  <c r="V123" i="22"/>
  <c r="C124" i="22" s="1"/>
  <c r="P49" i="7"/>
  <c r="P51" i="7" s="1"/>
  <c r="O45" i="7"/>
  <c r="I38" i="22" l="1"/>
  <c r="V41" i="22" a="1"/>
  <c r="V41" i="22" s="1"/>
  <c r="F38" i="22"/>
  <c r="C38" i="22"/>
  <c r="C125" i="22" a="1"/>
  <c r="C125" i="22" s="1"/>
  <c r="P148" i="22" s="1"/>
  <c r="C128" i="22" s="1"/>
  <c r="F128" i="22" s="1"/>
  <c r="C142" i="22"/>
  <c r="C143" i="22" s="1"/>
  <c r="C144" i="22" s="1"/>
  <c r="C145" i="22" s="1"/>
  <c r="C155" i="22" s="1" a="1"/>
  <c r="C155" i="22" s="1"/>
  <c r="O49" i="7"/>
  <c r="O51" i="7" s="1"/>
  <c r="N45" i="7"/>
  <c r="E128" i="22" l="1"/>
  <c r="V129" i="22" s="1" a="1"/>
  <c r="V129" i="22" s="1"/>
  <c r="M45" i="7"/>
  <c r="N49" i="7"/>
  <c r="N51" i="7" s="1"/>
  <c r="I129" i="22" l="1" a="1"/>
  <c r="I129" i="22" s="1"/>
  <c r="K129" i="22" a="1"/>
  <c r="K129" i="22" s="1"/>
  <c r="O129" i="22" a="1"/>
  <c r="O129" i="22" s="1"/>
  <c r="C129" i="22" a="1"/>
  <c r="C129" i="22" s="1"/>
  <c r="N129" i="22" a="1"/>
  <c r="N129" i="22" s="1"/>
  <c r="T129" i="22" a="1"/>
  <c r="T129" i="22" s="1"/>
  <c r="D129" i="22" a="1"/>
  <c r="D129" i="22" s="1"/>
  <c r="E129" i="22" a="1"/>
  <c r="E129" i="22" s="1"/>
  <c r="G129" i="22" a="1"/>
  <c r="G129" i="22" s="1"/>
  <c r="J129" i="22" a="1"/>
  <c r="J129" i="22" s="1"/>
  <c r="H129" i="22" a="1"/>
  <c r="H129" i="22" s="1"/>
  <c r="P129" i="22" a="1"/>
  <c r="P129" i="22" s="1"/>
  <c r="M129" i="22" a="1"/>
  <c r="M129" i="22" s="1"/>
  <c r="F129" i="22" a="1"/>
  <c r="F129" i="22" s="1"/>
  <c r="L129" i="22" a="1"/>
  <c r="L129" i="22" s="1"/>
  <c r="Q129" i="22" a="1"/>
  <c r="Q129" i="22" s="1"/>
  <c r="S129" i="22" a="1"/>
  <c r="S129" i="22" s="1"/>
  <c r="R129" i="22" a="1"/>
  <c r="R129" i="22" s="1"/>
  <c r="U129" i="22" a="1"/>
  <c r="U129" i="22" s="1"/>
  <c r="M49" i="7"/>
  <c r="M51" i="7" s="1"/>
  <c r="L45" i="7"/>
  <c r="L49" i="7" l="1"/>
  <c r="L51" i="7" s="1"/>
  <c r="K45" i="7"/>
  <c r="K49" i="7" l="1"/>
  <c r="K51" i="7" s="1"/>
  <c r="J45" i="7"/>
  <c r="I45" i="7" l="1"/>
  <c r="J49" i="7"/>
  <c r="J51" i="7" s="1"/>
  <c r="I49" i="7" l="1"/>
  <c r="I51" i="7" s="1"/>
  <c r="H45" i="7"/>
  <c r="H49" i="7" l="1"/>
  <c r="H51" i="7" s="1"/>
  <c r="G45" i="7"/>
  <c r="G49" i="7" l="1"/>
  <c r="G51" i="7" s="1"/>
  <c r="F45" i="7"/>
  <c r="E45" i="7" l="1"/>
  <c r="F49" i="7"/>
  <c r="F51" i="7" s="1"/>
  <c r="E49" i="7" l="1"/>
  <c r="E51" i="7" s="1"/>
  <c r="D45" i="7"/>
  <c r="D49" i="7" l="1"/>
  <c r="D51" i="7" s="1"/>
  <c r="C45" i="7"/>
  <c r="C49" i="7" s="1"/>
  <c r="C51" i="7" s="1"/>
  <c r="G155" i="22" l="1"/>
  <c r="D155" i="22" a="1"/>
  <c r="D155" i="22" l="1"/>
  <c r="E155" i="22" s="1" a="1"/>
  <c r="E155" i="22" l="1"/>
  <c r="H155" i="22" l="1"/>
  <c r="I155" i="22" s="1"/>
  <c r="H149" i="22" a="1"/>
  <c r="H149" i="22" s="1"/>
  <c r="H150" i="22" s="1"/>
  <c r="J155" i="22" l="1"/>
  <c r="K155" i="22" s="1"/>
  <c r="L155" i="22" s="1"/>
  <c r="M155" i="22" s="1"/>
  <c r="N155" i="22" s="1"/>
  <c r="O155" i="22" s="1"/>
  <c r="P155" i="22" s="1"/>
  <c r="Q155" i="22" s="1"/>
  <c r="R155" i="22" s="1"/>
  <c r="F155" i="22" s="1"/>
  <c r="G156" i="22" l="1"/>
  <c r="H156" i="22" s="1"/>
  <c r="I156" i="22" s="1"/>
  <c r="J156" i="22" s="1"/>
  <c r="K156" i="22" s="1"/>
  <c r="L156" i="22" s="1"/>
  <c r="M156" i="22" s="1"/>
  <c r="N156" i="22" s="1"/>
  <c r="O156" i="22" s="1"/>
  <c r="P156" i="22" s="1"/>
  <c r="Q156" i="22" s="1"/>
  <c r="R156" i="22" s="1"/>
  <c r="F156" i="22" s="1"/>
  <c r="G157" i="22" s="1"/>
  <c r="H157" i="22" s="1"/>
  <c r="I157" i="22" s="1"/>
  <c r="J157" i="22" s="1"/>
  <c r="K157" i="22" s="1"/>
  <c r="L157" i="22" s="1"/>
  <c r="M157" i="22" s="1"/>
  <c r="N157" i="22" s="1"/>
  <c r="O157" i="22" s="1"/>
  <c r="P157" i="22" s="1"/>
  <c r="Q157" i="22" s="1"/>
  <c r="R157" i="22" s="1"/>
  <c r="F157" i="22" s="1"/>
  <c r="G158" i="22" s="1"/>
  <c r="H158" i="22" s="1"/>
  <c r="I158" i="22" s="1"/>
  <c r="J158" i="22" s="1"/>
  <c r="K158" i="22" s="1"/>
  <c r="L158" i="22" s="1"/>
  <c r="M158" i="22" s="1"/>
  <c r="N158" i="22" s="1"/>
  <c r="O158" i="22" s="1"/>
  <c r="P158" i="22" s="1"/>
  <c r="Q158" i="22" s="1"/>
  <c r="R158" i="22" s="1"/>
  <c r="F158" i="22" s="1"/>
  <c r="G159" i="22" s="1"/>
  <c r="H159" i="22" s="1"/>
  <c r="I159" i="22" s="1"/>
  <c r="J159" i="22" s="1"/>
  <c r="K159" i="22" s="1"/>
  <c r="L159" i="22" s="1"/>
  <c r="M159" i="22" s="1"/>
  <c r="N159" i="22" s="1"/>
  <c r="O159" i="22" s="1"/>
  <c r="P159" i="22" s="1"/>
  <c r="Q159" i="22" s="1"/>
  <c r="R159" i="22" s="1"/>
  <c r="F159" i="22" s="1"/>
  <c r="G160" i="22" s="1"/>
  <c r="H160" i="22" s="1"/>
  <c r="I160" i="22" s="1"/>
  <c r="J160" i="22" s="1"/>
  <c r="K160" i="22" s="1"/>
  <c r="L160" i="22" s="1"/>
  <c r="M160" i="22" s="1"/>
  <c r="N160" i="22" s="1"/>
  <c r="O160" i="22" s="1"/>
  <c r="P160" i="22" s="1"/>
  <c r="Q160" i="22" s="1"/>
  <c r="R160" i="22" s="1"/>
  <c r="F160" i="22" s="1"/>
  <c r="G161" i="22" s="1"/>
  <c r="H161" i="22" s="1"/>
  <c r="I161" i="22" s="1"/>
  <c r="J161" i="22" s="1"/>
  <c r="K161" i="22" s="1"/>
  <c r="L161" i="22" s="1"/>
  <c r="M161" i="22" s="1"/>
  <c r="N161" i="22" s="1"/>
  <c r="O161" i="22" s="1"/>
  <c r="P161" i="22" s="1"/>
  <c r="Q161" i="22" s="1"/>
  <c r="R161" i="22" s="1"/>
  <c r="F161" i="22" s="1"/>
  <c r="G162" i="22" s="1"/>
  <c r="H162" i="22" s="1"/>
  <c r="I162" i="22" s="1"/>
  <c r="J162" i="22" s="1"/>
  <c r="K162" i="22" s="1"/>
  <c r="L162" i="22" s="1"/>
  <c r="M162" i="22" s="1"/>
  <c r="N162" i="22" s="1"/>
  <c r="O162" i="22" s="1"/>
  <c r="P162" i="22" s="1"/>
  <c r="Q162" i="22" s="1"/>
  <c r="R162" i="22" s="1"/>
  <c r="F162" i="22" s="1"/>
  <c r="G163" i="22" s="1"/>
  <c r="H163" i="22" s="1"/>
  <c r="I163" i="22" s="1"/>
  <c r="J163" i="22" s="1"/>
  <c r="K163" i="22" s="1"/>
  <c r="L163" i="22" s="1"/>
  <c r="M163" i="22" s="1"/>
  <c r="N163" i="22" s="1"/>
  <c r="O163" i="22" s="1"/>
  <c r="P163" i="22" s="1"/>
  <c r="Q163" i="22" s="1"/>
  <c r="R163" i="22" s="1"/>
  <c r="F163" i="22" s="1"/>
  <c r="G164" i="22" s="1"/>
  <c r="H164" i="22" s="1"/>
  <c r="I164" i="22" s="1"/>
  <c r="J164" i="22" s="1"/>
  <c r="K164" i="22" s="1"/>
  <c r="L164" i="22" s="1"/>
  <c r="M164" i="22" s="1"/>
  <c r="N164" i="22" s="1"/>
  <c r="O164" i="22" s="1"/>
  <c r="P164" i="22" s="1"/>
  <c r="Q164" i="22" s="1"/>
  <c r="R164" i="22" s="1"/>
  <c r="F164" i="22" s="1"/>
  <c r="W166" i="22" l="1" a="1"/>
  <c r="W166" i="22" s="1"/>
  <c r="W44" i="3" s="1"/>
  <c r="W46" i="3" s="1" a="1"/>
  <c r="W46" i="3" s="1"/>
  <c r="E49" i="16"/>
  <c r="D30" i="16"/>
  <c r="C49" i="16"/>
  <c r="F30" i="16"/>
  <c r="B49" i="16"/>
  <c r="E30" i="16"/>
  <c r="D49" i="16"/>
  <c r="B30" i="16"/>
  <c r="C30" i="16"/>
  <c r="Y44" i="3" l="1"/>
  <c r="Y46" i="3" s="1" a="1"/>
  <c r="Y46" i="3" s="1"/>
  <c r="I24" i="16" s="1"/>
  <c r="AA44" i="3"/>
  <c r="AA46" i="3" s="1" a="1"/>
  <c r="AA46" i="3" s="1"/>
  <c r="K24" i="16" s="1"/>
  <c r="Z44" i="3"/>
  <c r="Z46" i="3" s="1" a="1"/>
  <c r="Z46" i="3" s="1"/>
  <c r="J24" i="16" s="1"/>
  <c r="X44" i="3"/>
  <c r="X46" i="3" s="1" a="1"/>
  <c r="X46" i="3" s="1"/>
  <c r="H24" i="16" s="1"/>
  <c r="AB44" i="3"/>
  <c r="AB46" i="3" s="1" a="1"/>
  <c r="AB46" i="3" s="1"/>
  <c r="G24" i="16"/>
  <c r="F57" i="16" l="1"/>
  <c r="W87" i="22" a="1"/>
  <c r="W87" i="22" s="1"/>
  <c r="W88" i="22" s="1"/>
  <c r="Z87" i="22" a="1"/>
  <c r="Z87" i="22" s="1"/>
  <c r="Z88" i="22" s="1"/>
  <c r="AB87" i="22" a="1"/>
  <c r="AB87" i="22" s="1"/>
  <c r="AB88" i="22" s="1"/>
  <c r="Y87" i="22" a="1"/>
  <c r="Y87" i="22" s="1"/>
  <c r="Y88" i="22" s="1"/>
  <c r="AA87" i="22" a="1"/>
  <c r="AA87" i="22" s="1"/>
  <c r="AA88" i="22" s="1"/>
  <c r="X87" i="22" a="1"/>
  <c r="X87" i="22" s="1"/>
  <c r="X88" i="22" s="1"/>
  <c r="W104" i="22" l="1" a="1"/>
  <c r="W104" i="22" s="1"/>
  <c r="W106" i="22" s="1" a="1"/>
  <c r="W106" i="22" s="1"/>
  <c r="D108" i="22" s="1" a="1"/>
  <c r="D108" i="22" s="1"/>
  <c r="E108" i="22" s="1"/>
  <c r="W108" i="22" s="1" a="1"/>
  <c r="W108" i="22" s="1"/>
  <c r="W40" i="3" l="1"/>
  <c r="W42" i="3" s="1" a="1"/>
  <c r="W42" i="3" s="1"/>
  <c r="W42" i="21" s="1"/>
  <c r="X40" i="3"/>
  <c r="X42" i="3" s="1" a="1"/>
  <c r="X42" i="3" s="1"/>
  <c r="X42" i="21" s="1"/>
  <c r="W46" i="21" s="1"/>
  <c r="B7" i="23" s="1"/>
  <c r="Y40" i="3"/>
  <c r="Y42" i="3" s="1" a="1"/>
  <c r="Y42" i="3" s="1"/>
  <c r="Y42" i="21" s="1"/>
  <c r="AB40" i="3"/>
  <c r="AB42" i="3" s="1" a="1"/>
  <c r="AB42" i="3" s="1"/>
  <c r="AB42" i="21" s="1"/>
  <c r="AA40" i="3"/>
  <c r="AA42" i="3" s="1" a="1"/>
  <c r="AA42" i="3" s="1"/>
  <c r="AA42" i="21" s="1"/>
  <c r="C17" i="21" s="1" a="1"/>
  <c r="C17" i="21" s="1"/>
  <c r="Z40" i="3"/>
  <c r="Z42" i="3" s="1" a="1"/>
  <c r="Z42" i="3" s="1"/>
  <c r="Z42" i="21" s="1"/>
  <c r="W7" i="3" l="1"/>
  <c r="W82" i="3" s="1"/>
  <c r="W18" i="6" l="1"/>
  <c r="W57" i="6" s="1"/>
  <c r="W15" i="7" s="1"/>
  <c r="G23" i="16"/>
  <c r="W23" i="7"/>
  <c r="W15" i="3"/>
  <c r="W75" i="3" s="1"/>
  <c r="X7" i="3"/>
  <c r="X82" i="3" s="1"/>
  <c r="W19" i="6"/>
  <c r="W58" i="6" s="1"/>
  <c r="W16" i="7" s="1"/>
  <c r="Y7" i="3" l="1"/>
  <c r="Z7" i="3" s="1"/>
  <c r="F43" i="16" s="1"/>
  <c r="X18" i="6"/>
  <c r="X57" i="6" s="1"/>
  <c r="X15" i="7" s="1"/>
  <c r="H23" i="16"/>
  <c r="X23" i="7"/>
  <c r="X48" i="7" s="1"/>
  <c r="X15" i="3"/>
  <c r="X19" i="6"/>
  <c r="X58" i="6" s="1"/>
  <c r="X16" i="7" s="1"/>
  <c r="W104" i="3"/>
  <c r="W76" i="3"/>
  <c r="W17" i="3" s="1"/>
  <c r="W20" i="3" s="1"/>
  <c r="W22" i="3" s="1"/>
  <c r="W24" i="3" s="1"/>
  <c r="W94" i="3" s="1"/>
  <c r="W48" i="7"/>
  <c r="W49" i="7" s="1"/>
  <c r="W14" i="7" s="1"/>
  <c r="W13" i="3" s="1"/>
  <c r="W74" i="3" s="1"/>
  <c r="W25" i="7"/>
  <c r="Z18" i="6" l="1"/>
  <c r="Z57" i="6" s="1"/>
  <c r="Y15" i="3"/>
  <c r="Y104" i="3" s="1"/>
  <c r="I23" i="16"/>
  <c r="Z15" i="3"/>
  <c r="AA7" i="3"/>
  <c r="AA82" i="3" s="1"/>
  <c r="Z19" i="6"/>
  <c r="Z58" i="6" s="1"/>
  <c r="J23" i="16"/>
  <c r="Y82" i="3"/>
  <c r="Z23" i="7"/>
  <c r="Z48" i="7" s="1"/>
  <c r="Z82" i="3"/>
  <c r="Y18" i="6"/>
  <c r="Y57" i="6" s="1"/>
  <c r="Y15" i="7" s="1"/>
  <c r="Y23" i="7"/>
  <c r="Y25" i="7" s="1"/>
  <c r="Y19" i="6"/>
  <c r="Y58" i="6" s="1"/>
  <c r="Y16" i="7" s="1"/>
  <c r="W59" i="6"/>
  <c r="W27" i="6" s="1"/>
  <c r="W30" i="6" s="1"/>
  <c r="X25" i="7"/>
  <c r="W105" i="3"/>
  <c r="W14" i="3"/>
  <c r="W26" i="3"/>
  <c r="W28" i="3" s="1"/>
  <c r="W84" i="3" s="1"/>
  <c r="X75" i="3"/>
  <c r="X104" i="3"/>
  <c r="X49" i="7"/>
  <c r="X14" i="7" s="1"/>
  <c r="X13" i="3" s="1"/>
  <c r="Y75" i="3" l="1"/>
  <c r="Z25" i="7"/>
  <c r="Z104" i="3"/>
  <c r="Z75" i="3"/>
  <c r="K23" i="16"/>
  <c r="AB7" i="3"/>
  <c r="C20" i="20" s="1" a="1"/>
  <c r="C20" i="20" s="1"/>
  <c r="AA19" i="6"/>
  <c r="AA58" i="6" s="1"/>
  <c r="AA16" i="7" s="1"/>
  <c r="AA18" i="6"/>
  <c r="AA57" i="6" s="1"/>
  <c r="AA15" i="7" s="1"/>
  <c r="AA15" i="3"/>
  <c r="AA75" i="3" s="1"/>
  <c r="AA23" i="7"/>
  <c r="AA25" i="7" s="1"/>
  <c r="Y48" i="7"/>
  <c r="Y49" i="7" s="1"/>
  <c r="Y14" i="7" s="1"/>
  <c r="Y13" i="3" s="1"/>
  <c r="Y74" i="3" s="1"/>
  <c r="F44" i="16"/>
  <c r="Z16" i="7"/>
  <c r="Z15" i="7"/>
  <c r="W11" i="7"/>
  <c r="W18" i="7" s="1"/>
  <c r="W55" i="7" s="1"/>
  <c r="G26" i="16"/>
  <c r="W95" i="3"/>
  <c r="X74" i="3"/>
  <c r="X14" i="3"/>
  <c r="X59" i="6"/>
  <c r="X27" i="6" s="1"/>
  <c r="X30" i="6" s="1"/>
  <c r="W106" i="3"/>
  <c r="G30" i="16"/>
  <c r="E66" i="16" s="1"/>
  <c r="AB19" i="6" l="1"/>
  <c r="AB58" i="6" s="1"/>
  <c r="AB16" i="7" s="1"/>
  <c r="AB23" i="7"/>
  <c r="AB25" i="7" s="1"/>
  <c r="AB18" i="6"/>
  <c r="AB57" i="6" s="1"/>
  <c r="AB15" i="7" s="1"/>
  <c r="AB15" i="3"/>
  <c r="AB104" i="3" s="1"/>
  <c r="AB82" i="3"/>
  <c r="AA104" i="3"/>
  <c r="AA48" i="7"/>
  <c r="AA49" i="7" s="1"/>
  <c r="AA14" i="7" s="1"/>
  <c r="AA13" i="3" s="1"/>
  <c r="Z49" i="7"/>
  <c r="Z14" i="7" s="1"/>
  <c r="Z13" i="3" s="1"/>
  <c r="Z74" i="3" s="1"/>
  <c r="Y14" i="3"/>
  <c r="Y59" i="6"/>
  <c r="Y27" i="6" s="1"/>
  <c r="Y30" i="6" s="1"/>
  <c r="W85" i="3"/>
  <c r="W56" i="7"/>
  <c r="W32" i="3"/>
  <c r="G27" i="16"/>
  <c r="AB48" i="7" l="1"/>
  <c r="AB49" i="7" s="1"/>
  <c r="AB14" i="7" s="1"/>
  <c r="AB13" i="3" s="1"/>
  <c r="AB74" i="3" s="1"/>
  <c r="AB75" i="3"/>
  <c r="Z14" i="3"/>
  <c r="Z59" i="6"/>
  <c r="Z27" i="6" s="1"/>
  <c r="Z30" i="6" s="1"/>
  <c r="AA74" i="3"/>
  <c r="AA14" i="3"/>
  <c r="W87" i="3"/>
  <c r="W27" i="7"/>
  <c r="W33" i="3"/>
  <c r="W47" i="6" s="1"/>
  <c r="W60" i="7"/>
  <c r="W86" i="3"/>
  <c r="W59" i="7"/>
  <c r="W32" i="7" l="1"/>
  <c r="W34" i="7" s="1"/>
  <c r="W11" i="6" s="1"/>
  <c r="W21" i="6" s="1"/>
  <c r="W31" i="6" s="1"/>
  <c r="W52" i="7"/>
  <c r="W88" i="3" s="1"/>
  <c r="AB14" i="3"/>
  <c r="AA59" i="6"/>
  <c r="AA27" i="6" s="1"/>
  <c r="AA30" i="6" s="1"/>
  <c r="G31" i="16"/>
  <c r="E67" i="16" s="1"/>
  <c r="W51" i="6"/>
  <c r="W107" i="3"/>
  <c r="D25" i="21"/>
  <c r="D27" i="21" s="1"/>
  <c r="G32" i="16"/>
  <c r="G28" i="16"/>
  <c r="X76" i="3" l="1"/>
  <c r="X17" i="3" s="1"/>
  <c r="X20" i="3" s="1"/>
  <c r="X22" i="3" s="1"/>
  <c r="X24" i="3" s="1"/>
  <c r="W60" i="6"/>
  <c r="W61" i="6" s="1"/>
  <c r="AB59" i="6"/>
  <c r="AB27" i="6" s="1"/>
  <c r="AB30" i="6" s="1"/>
  <c r="W65" i="6"/>
  <c r="W52" i="6"/>
  <c r="W90" i="3"/>
  <c r="W100" i="3"/>
  <c r="G37" i="16" s="1"/>
  <c r="W62" i="6"/>
  <c r="W63" i="6" l="1"/>
  <c r="W64" i="6" s="1"/>
  <c r="W98" i="3" s="1"/>
  <c r="G36" i="16" s="1"/>
  <c r="X26" i="3"/>
  <c r="X28" i="3" s="1"/>
  <c r="X94" i="3"/>
  <c r="X105" i="3"/>
  <c r="G34" i="16"/>
  <c r="W66" i="6"/>
  <c r="W99" i="3" s="1"/>
  <c r="W41" i="21" s="1"/>
  <c r="W45" i="21" s="1"/>
  <c r="B6" i="23" s="1"/>
  <c r="W89" i="3"/>
  <c r="G29" i="16"/>
  <c r="W97" i="3"/>
  <c r="G35" i="16" s="1"/>
  <c r="X84" i="3" l="1"/>
  <c r="X11" i="7"/>
  <c r="X18" i="7" s="1"/>
  <c r="X55" i="7" s="1"/>
  <c r="X95" i="3"/>
  <c r="H26" i="16"/>
  <c r="G33" i="16"/>
  <c r="E68" i="16" s="1"/>
  <c r="X85" i="3" l="1"/>
  <c r="X32" i="3"/>
  <c r="X56" i="7"/>
  <c r="H27" i="16"/>
  <c r="H30" i="16"/>
  <c r="X106" i="3"/>
  <c r="X60" i="7" l="1"/>
  <c r="X59" i="7"/>
  <c r="X86" i="3"/>
  <c r="H31" i="16" s="1"/>
  <c r="X27" i="7"/>
  <c r="X87" i="3"/>
  <c r="X33" i="3"/>
  <c r="X47" i="6" s="1"/>
  <c r="X51" i="6" s="1"/>
  <c r="X32" i="7" l="1"/>
  <c r="X34" i="7" s="1"/>
  <c r="X11" i="6" s="1"/>
  <c r="X21" i="6" s="1"/>
  <c r="X31" i="6" s="1"/>
  <c r="X52" i="7"/>
  <c r="X88" i="3" s="1"/>
  <c r="X62" i="6"/>
  <c r="H32" i="16"/>
  <c r="X107" i="3"/>
  <c r="E25" i="21"/>
  <c r="E27" i="21" s="1"/>
  <c r="H28" i="16"/>
  <c r="X60" i="6" l="1"/>
  <c r="X61" i="6" s="1"/>
  <c r="Y76" i="3"/>
  <c r="Y17" i="3" s="1"/>
  <c r="Y20" i="3" s="1"/>
  <c r="Y22" i="3" s="1"/>
  <c r="Y24" i="3" s="1"/>
  <c r="X65" i="6"/>
  <c r="X52" i="6"/>
  <c r="X90" i="3"/>
  <c r="X100" i="3"/>
  <c r="H37" i="16" s="1"/>
  <c r="X97" i="3"/>
  <c r="H35" i="16" s="1"/>
  <c r="H29" i="16"/>
  <c r="X89" i="3"/>
  <c r="X63" i="6" l="1"/>
  <c r="X64" i="6" s="1"/>
  <c r="X98" i="3" s="1"/>
  <c r="H36" i="16" s="1"/>
  <c r="Y94" i="3"/>
  <c r="Y26" i="3"/>
  <c r="Y28" i="3" s="1"/>
  <c r="Y105" i="3"/>
  <c r="H33" i="16"/>
  <c r="X66" i="6"/>
  <c r="X99" i="3" s="1"/>
  <c r="X41" i="21" s="1"/>
  <c r="H34" i="16"/>
  <c r="I26" i="16" l="1"/>
  <c r="Y84" i="3"/>
  <c r="Y95" i="3"/>
  <c r="Y11" i="7"/>
  <c r="Y18" i="7" s="1"/>
  <c r="Y55" i="7" s="1"/>
  <c r="I27" i="16" l="1"/>
  <c r="Y85" i="3"/>
  <c r="Y56" i="7"/>
  <c r="Y32" i="3"/>
  <c r="Y106" i="3"/>
  <c r="I30" i="16"/>
  <c r="Y27" i="7" l="1"/>
  <c r="Y87" i="3"/>
  <c r="Y33" i="3"/>
  <c r="Y47" i="6" s="1"/>
  <c r="Y51" i="6" s="1"/>
  <c r="Y86" i="3"/>
  <c r="Y60" i="7"/>
  <c r="Y59" i="7"/>
  <c r="Y32" i="7" l="1"/>
  <c r="Y34" i="7" s="1"/>
  <c r="Y11" i="6" s="1"/>
  <c r="Y21" i="6" s="1"/>
  <c r="Y31" i="6" s="1"/>
  <c r="Y52" i="7"/>
  <c r="Y88" i="3" s="1"/>
  <c r="I28" i="16"/>
  <c r="F58" i="16"/>
  <c r="I31" i="16"/>
  <c r="Y62" i="6"/>
  <c r="F25" i="21"/>
  <c r="F27" i="21" s="1"/>
  <c r="Y107" i="3"/>
  <c r="I32" i="16"/>
  <c r="Y60" i="6" l="1"/>
  <c r="Y61" i="6" s="1"/>
  <c r="Z76" i="3"/>
  <c r="Z17" i="3" s="1"/>
  <c r="Z20" i="3" s="1"/>
  <c r="Z22" i="3" s="1"/>
  <c r="Z24" i="3" s="1"/>
  <c r="Y90" i="3"/>
  <c r="Y52" i="6"/>
  <c r="Y65" i="6"/>
  <c r="Y100" i="3"/>
  <c r="I37" i="16" s="1"/>
  <c r="Y89" i="3"/>
  <c r="I29" i="16"/>
  <c r="Y97" i="3"/>
  <c r="I35" i="16" s="1"/>
  <c r="Y63" i="6" l="1"/>
  <c r="Y64" i="6" s="1"/>
  <c r="Y98" i="3" s="1"/>
  <c r="I36" i="16" s="1"/>
  <c r="Z94" i="3"/>
  <c r="Z26" i="3"/>
  <c r="Z28" i="3" s="1"/>
  <c r="Z105" i="3"/>
  <c r="F61" i="16"/>
  <c r="F59" i="16"/>
  <c r="Y66" i="6"/>
  <c r="Y99" i="3" s="1"/>
  <c r="Y41" i="21" s="1"/>
  <c r="I33" i="16"/>
  <c r="I34" i="16"/>
  <c r="Z84" i="3" l="1"/>
  <c r="J26" i="16"/>
  <c r="Z11" i="7"/>
  <c r="Z18" i="7" s="1"/>
  <c r="Z55" i="7" s="1"/>
  <c r="Z95" i="3"/>
  <c r="F45" i="16"/>
  <c r="F60" i="16"/>
  <c r="Z32" i="3" l="1"/>
  <c r="Z56" i="7"/>
  <c r="J27" i="16"/>
  <c r="Z85" i="3"/>
  <c r="F50" i="16" s="1"/>
  <c r="F46" i="16"/>
  <c r="J30" i="16"/>
  <c r="Z106" i="3"/>
  <c r="F49" i="16"/>
  <c r="Z60" i="7" l="1"/>
  <c r="Z59" i="7"/>
  <c r="J28" i="16" s="1"/>
  <c r="Z86" i="3"/>
  <c r="Z27" i="7"/>
  <c r="Z87" i="3"/>
  <c r="Z33" i="3"/>
  <c r="Z47" i="6" s="1"/>
  <c r="Z51" i="6" s="1"/>
  <c r="Z32" i="7" l="1"/>
  <c r="Z34" i="7" s="1"/>
  <c r="Z11" i="6" s="1"/>
  <c r="Z60" i="6" s="1"/>
  <c r="Z61" i="6" s="1"/>
  <c r="Z52" i="7"/>
  <c r="Z88" i="3" s="1"/>
  <c r="Z62" i="6"/>
  <c r="G25" i="21"/>
  <c r="Z107" i="3"/>
  <c r="J32" i="16"/>
  <c r="F51" i="16"/>
  <c r="J31" i="16"/>
  <c r="Z21" i="6" l="1"/>
  <c r="Z31" i="6" s="1"/>
  <c r="Z100" i="3" s="1"/>
  <c r="J37" i="16" s="1"/>
  <c r="AA76" i="3"/>
  <c r="AA17" i="3" s="1"/>
  <c r="AA20" i="3" s="1"/>
  <c r="AA22" i="3" s="1"/>
  <c r="AA24" i="3" s="1"/>
  <c r="J29" i="16"/>
  <c r="Z89" i="3"/>
  <c r="F47" i="16"/>
  <c r="Z97" i="3"/>
  <c r="J35" i="16" s="1"/>
  <c r="Z63" i="6"/>
  <c r="Z52" i="6" l="1"/>
  <c r="F48" i="16"/>
  <c r="Z65" i="6"/>
  <c r="Z66" i="6" s="1"/>
  <c r="Z99" i="3" s="1"/>
  <c r="Z41" i="21" s="1"/>
  <c r="Z90" i="3"/>
  <c r="J34" i="16" s="1"/>
  <c r="J33" i="16"/>
  <c r="F52" i="16"/>
  <c r="Z64" i="6"/>
  <c r="Z98" i="3" s="1"/>
  <c r="J36" i="16" s="1"/>
  <c r="AA105" i="3"/>
  <c r="AA26" i="3"/>
  <c r="AA28" i="3" s="1"/>
  <c r="AA94" i="3"/>
  <c r="F53" i="16" l="1"/>
  <c r="AA95" i="3"/>
  <c r="K26" i="16"/>
  <c r="AA11" i="7"/>
  <c r="AA18" i="7" s="1"/>
  <c r="AA55" i="7" s="1"/>
  <c r="AA84" i="3"/>
  <c r="AA85" i="3" l="1"/>
  <c r="AA32" i="3"/>
  <c r="K27" i="16"/>
  <c r="AA56" i="7"/>
  <c r="AA106" i="3"/>
  <c r="K30" i="16"/>
  <c r="D73" i="16" s="1"/>
  <c r="AA60" i="7" l="1"/>
  <c r="AA86" i="3"/>
  <c r="AA59" i="7"/>
  <c r="K28" i="16" s="1"/>
  <c r="AA27" i="7"/>
  <c r="AA87" i="3"/>
  <c r="AA33" i="3"/>
  <c r="AA47" i="6" s="1"/>
  <c r="AA51" i="6" s="1"/>
  <c r="AA32" i="7" l="1"/>
  <c r="AA34" i="7" s="1"/>
  <c r="AA11" i="6" s="1"/>
  <c r="AA21" i="6" s="1"/>
  <c r="AA31" i="6" s="1"/>
  <c r="AA52" i="7"/>
  <c r="AA88" i="3" s="1"/>
  <c r="AA62" i="6"/>
  <c r="AA107" i="3"/>
  <c r="K32" i="16"/>
  <c r="K31" i="16"/>
  <c r="AB76" i="3" l="1"/>
  <c r="AB17" i="3" s="1"/>
  <c r="AB20" i="3" s="1"/>
  <c r="AB22" i="3" s="1"/>
  <c r="AB24" i="3" s="1"/>
  <c r="AA60" i="6"/>
  <c r="AA61" i="6" s="1"/>
  <c r="AA90" i="3"/>
  <c r="K34" i="16" s="1"/>
  <c r="AA52" i="6"/>
  <c r="AA65" i="6"/>
  <c r="AA100" i="3"/>
  <c r="K37" i="16" s="1"/>
  <c r="AA89" i="3"/>
  <c r="K29" i="16"/>
  <c r="AA97" i="3"/>
  <c r="K35" i="16" s="1"/>
  <c r="AA63" i="6" l="1"/>
  <c r="AA64" i="6" s="1"/>
  <c r="AA98" i="3" s="1"/>
  <c r="K36" i="16" s="1"/>
  <c r="K33" i="16"/>
  <c r="AA66" i="6"/>
  <c r="AA99" i="3" s="1"/>
  <c r="AA41" i="21" s="1"/>
  <c r="AB105" i="3"/>
  <c r="AB26" i="3"/>
  <c r="AB28" i="3" s="1"/>
  <c r="AB94" i="3"/>
  <c r="AB11" i="7" l="1"/>
  <c r="AB18" i="7" s="1"/>
  <c r="AB55" i="7" s="1"/>
  <c r="AB95" i="3"/>
  <c r="AB84" i="3"/>
  <c r="AB106" i="3" l="1"/>
  <c r="C21" i="20" a="1"/>
  <c r="C21" i="20" s="1"/>
  <c r="C35" i="21" a="1"/>
  <c r="AB85" i="3"/>
  <c r="AB32" i="3"/>
  <c r="AB56" i="7"/>
  <c r="AB60" i="7" l="1"/>
  <c r="AB86" i="3"/>
  <c r="AB59" i="7"/>
  <c r="AB27" i="7"/>
  <c r="AB87" i="3"/>
  <c r="AB107" i="3" s="1"/>
  <c r="AB33" i="3"/>
  <c r="AB47" i="6" s="1"/>
  <c r="AB51" i="6" s="1"/>
  <c r="W38" i="21"/>
  <c r="C35" i="21"/>
  <c r="G38" i="21" s="1"/>
  <c r="AB32" i="7" l="1"/>
  <c r="AB34" i="7" s="1"/>
  <c r="AB11" i="6" s="1"/>
  <c r="AB21" i="6" s="1"/>
  <c r="AB31" i="6" s="1"/>
  <c r="AB52" i="7"/>
  <c r="AB88" i="3" s="1"/>
  <c r="AB62" i="6"/>
  <c r="C36" i="21" a="1"/>
  <c r="C22" i="20" a="1"/>
  <c r="C22" i="20" s="1"/>
  <c r="AB60" i="6" l="1"/>
  <c r="AB61" i="6" s="1"/>
  <c r="J39" i="21"/>
  <c r="J40" i="21" s="1"/>
  <c r="J44" i="21" s="1"/>
  <c r="J47" i="21" s="1"/>
  <c r="P39" i="21"/>
  <c r="P40" i="21" s="1"/>
  <c r="P44" i="21" s="1"/>
  <c r="P47" i="21" s="1"/>
  <c r="K38" i="21"/>
  <c r="I38" i="21"/>
  <c r="M38" i="21"/>
  <c r="S39" i="21"/>
  <c r="S40" i="21" s="1"/>
  <c r="S44" i="21" s="1"/>
  <c r="S47" i="21" s="1"/>
  <c r="R39" i="21"/>
  <c r="C36" i="21"/>
  <c r="G39" i="21" s="1"/>
  <c r="G40" i="21" s="1"/>
  <c r="G44" i="21" s="1"/>
  <c r="G47" i="21" s="1"/>
  <c r="H38" i="21"/>
  <c r="O38" i="21"/>
  <c r="V39" i="21"/>
  <c r="V40" i="21" s="1"/>
  <c r="V44" i="21" s="1"/>
  <c r="V47" i="21" s="1"/>
  <c r="V38" i="21"/>
  <c r="W39" i="21"/>
  <c r="W40" i="21" s="1"/>
  <c r="W44" i="21" s="1"/>
  <c r="T38" i="21"/>
  <c r="I39" i="21"/>
  <c r="I40" i="21" s="1"/>
  <c r="I44" i="21" s="1"/>
  <c r="I47" i="21" s="1"/>
  <c r="T39" i="21"/>
  <c r="N38" i="21"/>
  <c r="K39" i="21"/>
  <c r="K40" i="21" s="1"/>
  <c r="K44" i="21" s="1"/>
  <c r="K47" i="21" s="1"/>
  <c r="U38" i="21"/>
  <c r="P38" i="21"/>
  <c r="N39" i="21"/>
  <c r="N40" i="21" s="1"/>
  <c r="N44" i="21" s="1"/>
  <c r="N47" i="21" s="1"/>
  <c r="O39" i="21"/>
  <c r="O40" i="21" s="1"/>
  <c r="O44" i="21" s="1"/>
  <c r="O47" i="21" s="1"/>
  <c r="S38" i="21"/>
  <c r="H39" i="21"/>
  <c r="H40" i="21" s="1"/>
  <c r="H44" i="21" s="1"/>
  <c r="H47" i="21" s="1"/>
  <c r="J38" i="21"/>
  <c r="C18" i="21"/>
  <c r="C19" i="21" s="1"/>
  <c r="U39" i="21"/>
  <c r="U40" i="21" s="1"/>
  <c r="U44" i="21" s="1"/>
  <c r="U47" i="21" s="1"/>
  <c r="L39" i="21"/>
  <c r="L40" i="21" s="1"/>
  <c r="L44" i="21" s="1"/>
  <c r="L47" i="21" s="1"/>
  <c r="L38" i="21"/>
  <c r="M39" i="21"/>
  <c r="R38" i="21"/>
  <c r="Q38" i="21"/>
  <c r="Q39" i="21"/>
  <c r="Q40" i="21" s="1"/>
  <c r="Q44" i="21" s="1"/>
  <c r="Q47" i="21" s="1"/>
  <c r="AB90" i="3"/>
  <c r="AB52" i="6"/>
  <c r="AB65" i="6"/>
  <c r="AB66" i="6" s="1"/>
  <c r="AB99" i="3" s="1"/>
  <c r="AB41" i="21" s="1"/>
  <c r="AB100" i="3"/>
  <c r="AB89" i="3"/>
  <c r="AB97" i="3"/>
  <c r="AB63" i="6" l="1"/>
  <c r="AB64" i="6" s="1"/>
  <c r="AB98" i="3" s="1"/>
  <c r="C66" i="16"/>
  <c r="C67" i="16"/>
  <c r="R40" i="21"/>
  <c r="R44" i="21" s="1"/>
  <c r="R47" i="21" s="1"/>
  <c r="B67" i="16"/>
  <c r="M40" i="21"/>
  <c r="M44" i="21" s="1"/>
  <c r="M47" i="21" s="1"/>
  <c r="B66" i="16"/>
  <c r="D67" i="16"/>
  <c r="T40" i="21"/>
  <c r="T44" i="21" s="1"/>
  <c r="T47" i="21" s="1"/>
  <c r="C37" i="21" a="1"/>
  <c r="C19" i="20" a="1"/>
  <c r="C19" i="20" s="1"/>
  <c r="B72" i="16"/>
  <c r="G26" i="21"/>
  <c r="G27" i="21" s="1"/>
  <c r="C29" i="21" s="1"/>
  <c r="D66" i="16"/>
  <c r="W47" i="21"/>
  <c r="B5" i="23"/>
  <c r="B9" i="23" l="1"/>
  <c r="B6" i="16"/>
  <c r="D72" i="16"/>
  <c r="F66" i="16"/>
  <c r="D74" i="16" s="1"/>
  <c r="F67" i="16"/>
  <c r="F68" i="16"/>
  <c r="D75" i="16"/>
  <c r="D68" i="16"/>
  <c r="C37" i="21"/>
  <c r="B68" i="16"/>
  <c r="C68" i="16"/>
  <c r="C12" i="20"/>
  <c r="C16" i="20" s="1"/>
  <c r="D16" i="20" s="1"/>
  <c r="C11" i="20"/>
  <c r="C15" i="20" s="1"/>
  <c r="D15" i="20" s="1"/>
  <c r="B5" i="16"/>
  <c r="B4" i="23"/>
  <c r="D76" i="16" l="1" a="1"/>
  <c r="D76" i="16" s="1"/>
  <c r="W43" i="22" a="1"/>
  <c r="W43" i="22" l="1"/>
  <c r="AB44" i="22" l="1"/>
  <c r="Z44" i="22"/>
  <c r="AA44" i="22"/>
  <c r="W44" i="22"/>
  <c r="X44" i="22"/>
  <c r="Y44" i="22"/>
  <c r="W45" i="22" l="1" a="1"/>
  <c r="W45"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Kevin Posen</author>
  </authors>
  <commentList>
    <comment ref="D10" authorId="0" shapeId="0" xr:uid="{77FAE9BC-84D6-4B1F-92BD-3E7356E64C85}">
      <text>
        <r>
          <rPr>
            <sz val="9"/>
            <color indexed="81"/>
            <rFont val="Tahoma"/>
            <family val="2"/>
          </rPr>
          <t>Enter ff_id if you know it, rather than the name.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Kevin Posen</author>
  </authors>
  <commentList>
    <comment ref="A31" authorId="0" shapeId="0" xr:uid="{0FAD5EF9-5EE9-49E9-BD31-BF132E715710}">
      <text>
        <r>
          <rPr>
            <sz val="9"/>
            <color indexed="81"/>
            <rFont val="Tahoma"/>
            <family val="2"/>
          </rPr>
          <t>Adjusted to downweight WC contributions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Kevin Posen</author>
  </authors>
  <commentList>
    <comment ref="B13" authorId="0" shapeId="0" xr:uid="{FE85180F-BCF9-4DC0-AD34-25AD0CFFFE5B}">
      <text>
        <r>
          <rPr>
            <b/>
            <sz val="9"/>
            <color indexed="81"/>
            <rFont val="Tahoma"/>
            <family val="2"/>
          </rPr>
          <t>Kevin Posen:</t>
        </r>
        <r>
          <rPr>
            <sz val="9"/>
            <color indexed="81"/>
            <rFont val="Tahoma"/>
            <family val="2"/>
          </rPr>
          <t xml:space="preserve">
Needs to change. Penalises companies that buyback shares.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Kevin Posen</author>
  </authors>
  <commentList>
    <comment ref="A6" authorId="0" shapeId="0" xr:uid="{DC9FF989-9749-4497-AB71-A607A10B2496}">
      <text>
        <r>
          <rPr>
            <b/>
            <sz val="9"/>
            <color indexed="81"/>
            <rFont val="Tahoma"/>
            <family val="2"/>
          </rPr>
          <t>Kevin Posen:</t>
        </r>
        <r>
          <rPr>
            <sz val="9"/>
            <color indexed="81"/>
            <rFont val="Tahoma"/>
            <family val="2"/>
          </rPr>
          <t xml:space="preserve">
Entries in this column are the field names from the FactSet database. The formulae in columns C to Vuse lookups to get these fields from the raw data. The raw data is returned by a SQL query into another sheet.</t>
        </r>
      </text>
    </comment>
    <comment ref="C6" authorId="0" shapeId="0" xr:uid="{866CAA5B-EB44-4D4A-BF4B-3E63C5EE56FD}">
      <text>
        <r>
          <rPr>
            <sz val="9"/>
            <color indexed="81"/>
            <rFont val="Tahoma"/>
            <family val="2"/>
          </rPr>
          <t>Historic: Dates are annual reporting dates</t>
        </r>
      </text>
    </comment>
    <comment ref="W6" authorId="0" shapeId="0" xr:uid="{5AEB1B8D-6174-485D-AB5A-832A40D98AD4}">
      <text>
        <r>
          <rPr>
            <sz val="9"/>
            <color indexed="81"/>
            <rFont val="Tahoma"/>
            <family val="2"/>
          </rPr>
          <t>Forecase: Dates are on every annual anniversary of the last annual reporting date.</t>
        </r>
      </text>
    </comment>
    <comment ref="C7" authorId="0" shapeId="0" xr:uid="{9241DC76-AE98-4AD0-9865-7825F02B1E19}">
      <text>
        <r>
          <rPr>
            <b/>
            <sz val="9"/>
            <color indexed="81"/>
            <rFont val="Tahoma"/>
            <family val="2"/>
          </rPr>
          <t>Kevin Posen:</t>
        </r>
        <r>
          <rPr>
            <sz val="9"/>
            <color indexed="81"/>
            <rFont val="Tahoma"/>
            <family val="2"/>
          </rPr>
          <t xml:space="preserve">
Historic: Revenue is as reported</t>
        </r>
      </text>
    </comment>
    <comment ref="W7" authorId="0" shapeId="0" xr:uid="{FB21581E-FC44-447F-A553-884D80EBFF0F}">
      <text>
        <r>
          <rPr>
            <b/>
            <sz val="9"/>
            <color indexed="81"/>
            <rFont val="Tahoma"/>
            <family val="2"/>
          </rPr>
          <t>Kevin Posen:</t>
        </r>
        <r>
          <rPr>
            <sz val="9"/>
            <color indexed="81"/>
            <rFont val="Tahoma"/>
            <family val="2"/>
          </rPr>
          <t xml:space="preserve">
Forecast: Using growth rates below</t>
        </r>
      </text>
    </comment>
    <comment ref="C8" authorId="0" shapeId="0" xr:uid="{2156875C-B77E-4D63-9B3A-7FD000194121}">
      <text>
        <r>
          <rPr>
            <b/>
            <sz val="9"/>
            <color indexed="81"/>
            <rFont val="Tahoma"/>
            <family val="2"/>
          </rPr>
          <t>Kevin Posen:</t>
        </r>
        <r>
          <rPr>
            <sz val="9"/>
            <color indexed="81"/>
            <rFont val="Tahoma"/>
            <family val="2"/>
          </rPr>
          <t xml:space="preserve">
Historic: Cross costs are calculated as the difference between revenue and gross profit.</t>
        </r>
      </text>
    </comment>
    <comment ref="W8" authorId="0" shapeId="0" xr:uid="{49A504CD-071A-4AA8-8FF8-9F4E87030DAF}">
      <text>
        <r>
          <rPr>
            <b/>
            <sz val="9"/>
            <color indexed="81"/>
            <rFont val="Tahoma"/>
            <family val="2"/>
          </rPr>
          <t>Kevin Posen:</t>
        </r>
        <r>
          <rPr>
            <sz val="9"/>
            <color indexed="81"/>
            <rFont val="Tahoma"/>
            <family val="2"/>
          </rPr>
          <t xml:space="preserve">
Gross costs and gross profits are not necessary for the forecast, and are not calcualted. The forecast relies on predicting the operating margin without considering all the items that go into that.</t>
        </r>
      </text>
    </comment>
    <comment ref="C9" authorId="0" shapeId="0" xr:uid="{EFCF8351-2BE7-4081-9C9D-51634E8A9DF9}">
      <text>
        <r>
          <rPr>
            <b/>
            <sz val="9"/>
            <color indexed="81"/>
            <rFont val="Tahoma"/>
            <family val="2"/>
          </rPr>
          <t>Kevin Posen:</t>
        </r>
        <r>
          <rPr>
            <sz val="9"/>
            <color indexed="81"/>
            <rFont val="Tahoma"/>
            <family val="2"/>
          </rPr>
          <t xml:space="preserve">
Historic: Gross profit is as reported</t>
        </r>
      </text>
    </comment>
    <comment ref="C11" authorId="0" shapeId="0" xr:uid="{6A519E94-A5D4-4355-888B-3B0865F1864B}">
      <text>
        <r>
          <rPr>
            <b/>
            <sz val="9"/>
            <color indexed="81"/>
            <rFont val="Tahoma"/>
            <family val="2"/>
          </rPr>
          <t>Kevin Posen:</t>
        </r>
        <r>
          <rPr>
            <sz val="9"/>
            <color indexed="81"/>
            <rFont val="Tahoma"/>
            <family val="2"/>
          </rPr>
          <t xml:space="preserve">
Historic: Depreciation is as reported</t>
        </r>
      </text>
    </comment>
    <comment ref="C12" authorId="0" shapeId="0" xr:uid="{7ABDA2C2-B158-484C-9FBC-3EBB6D747C50}">
      <text>
        <r>
          <rPr>
            <b/>
            <sz val="9"/>
            <color indexed="81"/>
            <rFont val="Tahoma"/>
            <family val="2"/>
          </rPr>
          <t>Kevin Posen:</t>
        </r>
        <r>
          <rPr>
            <sz val="9"/>
            <color indexed="81"/>
            <rFont val="Tahoma"/>
            <family val="2"/>
          </rPr>
          <t xml:space="preserve">
Historic: Amortisation calculated as the difference between "Depreciation &amp; Amortisation" and "Depreciation"</t>
        </r>
      </text>
    </comment>
    <comment ref="W13" authorId="0" shapeId="0" xr:uid="{7DFDD1A6-386F-4420-A7D3-0284A2D5ADED}">
      <text>
        <r>
          <rPr>
            <b/>
            <sz val="9"/>
            <color indexed="81"/>
            <rFont val="Tahoma"/>
            <family val="2"/>
          </rPr>
          <t>Kevin Posen:</t>
        </r>
        <r>
          <rPr>
            <sz val="9"/>
            <color indexed="81"/>
            <rFont val="Tahoma"/>
            <family val="2"/>
          </rPr>
          <t xml:space="preserve">
Depreciation and amortisation are forecast in a separate liine because the forecast is treated differently to the history</t>
        </r>
      </text>
    </comment>
    <comment ref="C14" authorId="0" shapeId="0" xr:uid="{5BFCD25B-4665-4612-95A8-C9AC5A6AF6C0}">
      <text>
        <r>
          <rPr>
            <b/>
            <sz val="9"/>
            <color indexed="81"/>
            <rFont val="Tahoma"/>
            <family val="2"/>
          </rPr>
          <t>Kevin Posen:</t>
        </r>
        <r>
          <rPr>
            <sz val="9"/>
            <color indexed="81"/>
            <rFont val="Tahoma"/>
            <family val="2"/>
          </rPr>
          <t xml:space="preserve">
Historic: "Other operating expenses" is calculated from the difference between "Operating income" and "Gross profit", after accoutning for Depreciation and Amortisation.</t>
        </r>
      </text>
    </comment>
    <comment ref="W14" authorId="0" shapeId="0" xr:uid="{0E0B7298-9AD4-42DB-A71B-A9E9C76AF90D}">
      <text>
        <r>
          <rPr>
            <b/>
            <sz val="9"/>
            <color indexed="81"/>
            <rFont val="Tahoma"/>
            <family val="2"/>
          </rPr>
          <t>Kevin Posen:</t>
        </r>
        <r>
          <rPr>
            <sz val="9"/>
            <color indexed="81"/>
            <rFont val="Tahoma"/>
            <family val="2"/>
          </rPr>
          <t xml:space="preserve">
Change in formula for forecasting "Other operating expenses" because of the different handling of the items above.</t>
        </r>
      </text>
    </comment>
    <comment ref="C15" authorId="0" shapeId="0" xr:uid="{1323FAFA-8C03-4F24-BC6C-5703C9A329B0}">
      <text>
        <r>
          <rPr>
            <b/>
            <sz val="9"/>
            <color indexed="81"/>
            <rFont val="Tahoma"/>
            <family val="2"/>
          </rPr>
          <t>Kevin Posen:</t>
        </r>
        <r>
          <rPr>
            <sz val="9"/>
            <color indexed="81"/>
            <rFont val="Tahoma"/>
            <family val="2"/>
          </rPr>
          <t xml:space="preserve">
Historic: Operating income (i.e. EBIT) is as reported.</t>
        </r>
      </text>
    </comment>
    <comment ref="W15" authorId="0" shapeId="0" xr:uid="{24562DA8-6F87-422A-9D16-8B3660FDB7D1}">
      <text>
        <r>
          <rPr>
            <b/>
            <sz val="9"/>
            <color indexed="81"/>
            <rFont val="Tahoma"/>
            <family val="2"/>
          </rPr>
          <t>Kevin Posen:</t>
        </r>
        <r>
          <rPr>
            <sz val="9"/>
            <color indexed="81"/>
            <rFont val="Tahoma"/>
            <family val="2"/>
          </rPr>
          <t xml:space="preserve">
Forecast: Calculated from forecast revenue and forecast operating margin</t>
        </r>
      </text>
    </comment>
    <comment ref="C17" authorId="0" shapeId="0" xr:uid="{94CD93CE-0CA7-4344-9144-5231E3B91BFD}">
      <text>
        <r>
          <rPr>
            <b/>
            <sz val="9"/>
            <color indexed="81"/>
            <rFont val="Tahoma"/>
            <family val="2"/>
          </rPr>
          <t>Kevin Posen:</t>
        </r>
        <r>
          <rPr>
            <sz val="9"/>
            <color indexed="81"/>
            <rFont val="Tahoma"/>
            <family val="2"/>
          </rPr>
          <t xml:space="preserve">
Historic: Interest income is as reported</t>
        </r>
      </text>
    </comment>
    <comment ref="W17" authorId="0" shapeId="0" xr:uid="{65A1C361-134B-4401-ADDE-61A6D3DE5197}">
      <text>
        <r>
          <rPr>
            <b/>
            <sz val="9"/>
            <color indexed="81"/>
            <rFont val="Tahoma"/>
            <family val="2"/>
          </rPr>
          <t>Kevin Posen:</t>
        </r>
        <r>
          <rPr>
            <sz val="9"/>
            <color indexed="81"/>
            <rFont val="Tahoma"/>
            <family val="2"/>
          </rPr>
          <t xml:space="preserve">
Forecast calculated from forecast interest rate earned and forecast interest earning assets</t>
        </r>
      </text>
    </comment>
    <comment ref="C18" authorId="0" shapeId="0" xr:uid="{C6DAB886-4D9E-4EA4-812E-35FA09024E43}">
      <text>
        <r>
          <rPr>
            <b/>
            <sz val="9"/>
            <color indexed="81"/>
            <rFont val="Tahoma"/>
            <family val="2"/>
          </rPr>
          <t>Kevin Posen:</t>
        </r>
        <r>
          <rPr>
            <sz val="9"/>
            <color indexed="81"/>
            <rFont val="Tahoma"/>
            <family val="2"/>
          </rPr>
          <t xml:space="preserve">
Historic: Interest expense is as reported.</t>
        </r>
      </text>
    </comment>
    <comment ref="W18" authorId="0" shapeId="0" xr:uid="{42C2819C-FA98-4B40-8C4F-302000B728BF}">
      <text>
        <r>
          <rPr>
            <b/>
            <sz val="9"/>
            <color indexed="81"/>
            <rFont val="Tahoma"/>
            <family val="2"/>
          </rPr>
          <t>Kevin Posen:</t>
        </r>
        <r>
          <rPr>
            <sz val="9"/>
            <color indexed="81"/>
            <rFont val="Tahoma"/>
            <family val="2"/>
          </rPr>
          <t xml:space="preserve">
Forecast calculated from forecast interest rate charged and forecast interest bearing liabilities</t>
        </r>
      </text>
    </comment>
    <comment ref="C19" authorId="0" shapeId="0" xr:uid="{49C0BC2F-52A5-4E7C-A14C-B17F8E7A1532}">
      <text>
        <r>
          <rPr>
            <b/>
            <sz val="9"/>
            <color indexed="81"/>
            <rFont val="Tahoma"/>
            <family val="2"/>
          </rPr>
          <t>Kevin Posen:</t>
        </r>
        <r>
          <rPr>
            <sz val="9"/>
            <color indexed="81"/>
            <rFont val="Tahoma"/>
            <family val="2"/>
          </rPr>
          <t xml:space="preserve">
Historic: "Other non-operating income" is calculated as the difference between "Pre-tax income" and "Operating income", after accoutning for interest income and interest expense.</t>
        </r>
      </text>
    </comment>
    <comment ref="C20" authorId="0" shapeId="0" xr:uid="{1663BB7C-5F7E-44A4-8A62-2062B6A77368}">
      <text>
        <r>
          <rPr>
            <b/>
            <sz val="9"/>
            <color indexed="81"/>
            <rFont val="Tahoma"/>
            <family val="2"/>
          </rPr>
          <t>Kevin Posen:</t>
        </r>
        <r>
          <rPr>
            <sz val="9"/>
            <color indexed="81"/>
            <rFont val="Tahoma"/>
            <family val="2"/>
          </rPr>
          <t xml:space="preserve">
Historic: Pretax income is as reported</t>
        </r>
      </text>
    </comment>
    <comment ref="W20" authorId="0" shapeId="0" xr:uid="{0579E322-D05F-47F2-8DF3-426A78CF058C}">
      <text>
        <r>
          <rPr>
            <b/>
            <sz val="9"/>
            <color indexed="81"/>
            <rFont val="Tahoma"/>
            <family val="2"/>
          </rPr>
          <t>Kevin Posen:</t>
        </r>
        <r>
          <rPr>
            <sz val="9"/>
            <color indexed="81"/>
            <rFont val="Tahoma"/>
            <family val="2"/>
          </rPr>
          <t xml:space="preserve">
Forecast: From operating income and interest paid and earned</t>
        </r>
      </text>
    </comment>
    <comment ref="C22" authorId="0" shapeId="0" xr:uid="{68FC807C-C273-4C31-8867-787AB96AE22A}">
      <text>
        <r>
          <rPr>
            <b/>
            <sz val="9"/>
            <color indexed="81"/>
            <rFont val="Tahoma"/>
            <family val="2"/>
          </rPr>
          <t>Kevin Posen:</t>
        </r>
        <r>
          <rPr>
            <sz val="9"/>
            <color indexed="81"/>
            <rFont val="Tahoma"/>
            <family val="2"/>
          </rPr>
          <t xml:space="preserve">
Historic: Income tax is as reported</t>
        </r>
      </text>
    </comment>
    <comment ref="W22" authorId="0" shapeId="0" xr:uid="{AADEC58E-A508-4B68-9E10-4F7336B4B9BF}">
      <text>
        <r>
          <rPr>
            <b/>
            <sz val="9"/>
            <color indexed="81"/>
            <rFont val="Tahoma"/>
            <family val="2"/>
          </rPr>
          <t>Kevin Posen:</t>
        </r>
        <r>
          <rPr>
            <sz val="9"/>
            <color indexed="81"/>
            <rFont val="Tahoma"/>
            <family val="2"/>
          </rPr>
          <t xml:space="preserve">
Forecast: From pre-tax income and forecast tax rate</t>
        </r>
      </text>
    </comment>
    <comment ref="C23" authorId="0" shapeId="0" xr:uid="{A658E6CC-739D-4B6C-B6A4-63B44F8EE5B9}">
      <text>
        <r>
          <rPr>
            <b/>
            <sz val="9"/>
            <color indexed="81"/>
            <rFont val="Tahoma"/>
            <family val="2"/>
          </rPr>
          <t>Kevin Posen:</t>
        </r>
        <r>
          <rPr>
            <sz val="9"/>
            <color indexed="81"/>
            <rFont val="Tahoma"/>
            <family val="2"/>
          </rPr>
          <t xml:space="preserve">
Historic: Affiliates is as reported</t>
        </r>
      </text>
    </comment>
    <comment ref="W23" authorId="0" shapeId="0" xr:uid="{AF9F8DB0-F7DB-4170-A58F-0A3879D31714}">
      <text>
        <r>
          <rPr>
            <b/>
            <sz val="9"/>
            <color indexed="81"/>
            <rFont val="Tahoma"/>
            <family val="2"/>
          </rPr>
          <t>Kevin Posen:</t>
        </r>
        <r>
          <rPr>
            <sz val="9"/>
            <color indexed="81"/>
            <rFont val="Tahoma"/>
            <family val="2"/>
          </rPr>
          <t xml:space="preserve">
Forecast simply assumes the last year will carry over indefinitely. This could be improved.</t>
        </r>
      </text>
    </comment>
    <comment ref="C24" authorId="0" shapeId="0" xr:uid="{8D10C97F-99D1-41C3-9B1D-86F6452EC3BC}">
      <text>
        <r>
          <rPr>
            <b/>
            <sz val="9"/>
            <color indexed="81"/>
            <rFont val="Tahoma"/>
            <family val="2"/>
          </rPr>
          <t>Kevin Posen:</t>
        </r>
        <r>
          <rPr>
            <sz val="9"/>
            <color indexed="81"/>
            <rFont val="Tahoma"/>
            <family val="2"/>
          </rPr>
          <t xml:space="preserve">
Net income is calculated as what is left over after deducting income tax from pre-tax income.</t>
        </r>
      </text>
    </comment>
    <comment ref="C26" authorId="0" shapeId="0" xr:uid="{8FCF49A7-E2E9-48A6-8370-94CC12E456BE}">
      <text>
        <r>
          <rPr>
            <b/>
            <sz val="9"/>
            <color indexed="81"/>
            <rFont val="Tahoma"/>
            <family val="2"/>
          </rPr>
          <t>Kevin Posen:</t>
        </r>
        <r>
          <rPr>
            <sz val="9"/>
            <color indexed="81"/>
            <rFont val="Tahoma"/>
            <family val="2"/>
          </rPr>
          <t xml:space="preserve">
Historic: Minorities is as reported</t>
        </r>
      </text>
    </comment>
    <comment ref="W26" authorId="0" shapeId="0" xr:uid="{1CB3090B-0576-4AC4-93EC-43C930910202}">
      <text>
        <r>
          <rPr>
            <b/>
            <sz val="9"/>
            <color indexed="81"/>
            <rFont val="Tahoma"/>
            <family val="2"/>
          </rPr>
          <t>Kevin Posen:</t>
        </r>
        <r>
          <rPr>
            <sz val="9"/>
            <color indexed="81"/>
            <rFont val="Tahoma"/>
            <family val="2"/>
          </rPr>
          <t xml:space="preserve">
Forecast: from net income and forecast minorities expense as a fraction of net income</t>
        </r>
      </text>
    </comment>
    <comment ref="C27" authorId="0" shapeId="0" xr:uid="{E586FA94-3250-4012-BFCE-E4C267DCF1A2}">
      <text>
        <r>
          <rPr>
            <b/>
            <sz val="9"/>
            <color indexed="81"/>
            <rFont val="Tahoma"/>
            <family val="2"/>
          </rPr>
          <t>Kevin Posen:</t>
        </r>
        <r>
          <rPr>
            <sz val="9"/>
            <color indexed="81"/>
            <rFont val="Tahoma"/>
            <family val="2"/>
          </rPr>
          <t xml:space="preserve">
Historic: Prefereed dividends is as reported</t>
        </r>
      </text>
    </comment>
    <comment ref="W27" authorId="0" shapeId="0" xr:uid="{0A86DB15-6239-4EC7-B0DB-E02EC1FFE9C4}">
      <text>
        <r>
          <rPr>
            <b/>
            <sz val="9"/>
            <color indexed="81"/>
            <rFont val="Tahoma"/>
            <family val="2"/>
          </rPr>
          <t>Kevin Posen:</t>
        </r>
        <r>
          <rPr>
            <sz val="9"/>
            <color indexed="81"/>
            <rFont val="Tahoma"/>
            <family val="2"/>
          </rPr>
          <t xml:space="preserve">
Forecast simply assumes the last year will carry over indefinitely. This could be improved.</t>
        </r>
      </text>
    </comment>
    <comment ref="C28" authorId="0" shapeId="0" xr:uid="{BE431833-6118-4EF2-B938-D2146C35C9C6}">
      <text>
        <r>
          <rPr>
            <b/>
            <sz val="9"/>
            <color indexed="81"/>
            <rFont val="Tahoma"/>
            <family val="2"/>
          </rPr>
          <t>Kevin Posen:</t>
        </r>
        <r>
          <rPr>
            <sz val="9"/>
            <color indexed="81"/>
            <rFont val="Tahoma"/>
            <family val="2"/>
          </rPr>
          <t xml:space="preserve">
Also known as "Income attributable to ordinary shareholders". Calculated from net income, miniorities, and preferred dividends</t>
        </r>
      </text>
    </comment>
    <comment ref="C32" authorId="0" shapeId="0" xr:uid="{95D790DA-70F4-46F5-A33D-75E8950986C3}">
      <text>
        <r>
          <rPr>
            <b/>
            <sz val="9"/>
            <color indexed="81"/>
            <rFont val="Tahoma"/>
            <family val="2"/>
          </rPr>
          <t>Kevin Posen:</t>
        </r>
        <r>
          <rPr>
            <sz val="9"/>
            <color indexed="81"/>
            <rFont val="Tahoma"/>
            <family val="2"/>
          </rPr>
          <t xml:space="preserve">
Historic: Cash dividends paid is as reported</t>
        </r>
      </text>
    </comment>
    <comment ref="W32" authorId="0" shapeId="0" xr:uid="{89EA8402-FA18-4201-BE54-F5F368F1F795}">
      <text>
        <r>
          <rPr>
            <b/>
            <sz val="9"/>
            <color indexed="81"/>
            <rFont val="Tahoma"/>
            <family val="2"/>
          </rPr>
          <t>Kevin Posen:</t>
        </r>
        <r>
          <rPr>
            <sz val="9"/>
            <color indexed="81"/>
            <rFont val="Tahoma"/>
            <family val="2"/>
          </rPr>
          <t xml:space="preserve">
Forecast: From cash flow statement</t>
        </r>
      </text>
    </comment>
    <comment ref="C33" authorId="0" shapeId="0" xr:uid="{FB6B9D94-4B15-4B8B-98D1-D1FFC88DE43B}">
      <text>
        <r>
          <rPr>
            <b/>
            <sz val="9"/>
            <color indexed="81"/>
            <rFont val="Tahoma"/>
            <family val="2"/>
          </rPr>
          <t>Kevin Posen:</t>
        </r>
        <r>
          <rPr>
            <sz val="9"/>
            <color indexed="81"/>
            <rFont val="Tahoma"/>
            <family val="2"/>
          </rPr>
          <t xml:space="preserve">
Retained income is calculated from net profit and cash dividends</t>
        </r>
      </text>
    </comment>
    <comment ref="C35" authorId="0" shapeId="0" xr:uid="{1ABD8B56-9A00-4E37-AB22-ED4B01FCB093}">
      <text>
        <r>
          <rPr>
            <b/>
            <sz val="9"/>
            <color indexed="81"/>
            <rFont val="Tahoma"/>
            <family val="2"/>
          </rPr>
          <t>Kevin Posen:</t>
        </r>
        <r>
          <rPr>
            <sz val="9"/>
            <color indexed="81"/>
            <rFont val="Tahoma"/>
            <family val="2"/>
          </rPr>
          <t xml:space="preserve">
Historic: Shares in issue is  as reported</t>
        </r>
      </text>
    </comment>
    <comment ref="W35" authorId="0" shapeId="0" xr:uid="{A047DA9A-FB9D-4140-B3A4-7EC8FE36D8F2}">
      <text>
        <r>
          <rPr>
            <b/>
            <sz val="9"/>
            <color indexed="81"/>
            <rFont val="Tahoma"/>
            <family val="2"/>
          </rPr>
          <t>Kevin Posen:</t>
        </r>
        <r>
          <rPr>
            <sz val="9"/>
            <color indexed="81"/>
            <rFont val="Tahoma"/>
            <family val="2"/>
          </rPr>
          <t xml:space="preserve">
Forecast: Calcualted from share growth assumption</t>
        </r>
      </text>
    </comment>
    <comment ref="D36" authorId="0" shapeId="0" xr:uid="{57E0EAA1-9960-4FED-B3C8-A4E61F406EA6}">
      <text>
        <r>
          <rPr>
            <b/>
            <sz val="9"/>
            <color indexed="81"/>
            <rFont val="Tahoma"/>
            <family val="2"/>
          </rPr>
          <t>Kevin Posen:</t>
        </r>
        <r>
          <rPr>
            <sz val="9"/>
            <color indexed="81"/>
            <rFont val="Tahoma"/>
            <family val="2"/>
          </rPr>
          <t xml:space="preserve">
Average shares in issue is calculated as the average of two consecutive year-end numbers.</t>
        </r>
      </text>
    </comment>
    <comment ref="B39" authorId="0" shapeId="0" xr:uid="{24E3CC91-96DF-4530-BA0D-E8B9759DA954}">
      <text>
        <r>
          <rPr>
            <b/>
            <sz val="9"/>
            <color indexed="81"/>
            <rFont val="Tahoma"/>
            <family val="2"/>
          </rPr>
          <t>Kevin Posen:</t>
        </r>
        <r>
          <rPr>
            <sz val="9"/>
            <color indexed="81"/>
            <rFont val="Tahoma"/>
            <family val="2"/>
          </rPr>
          <t xml:space="preserve">
All of these inputs work in the same basic way. The default is calcualted. There is the option for a manual override. If the manual override is left blank, then the default is chosen.</t>
        </r>
      </text>
    </comment>
    <comment ref="W40" authorId="0" shapeId="0" xr:uid="{03F89DFF-085F-4DF6-899C-EAA667E5C1E9}">
      <text>
        <r>
          <rPr>
            <sz val="9"/>
            <color indexed="81"/>
            <rFont val="Tahoma"/>
            <family val="2"/>
          </rPr>
          <t>Foreacast revenue growth is from the"Forecast mechanics" worksheet</t>
        </r>
      </text>
    </comment>
    <comment ref="D42" authorId="0" shapeId="0" xr:uid="{AF2B06C5-0865-457A-A9AE-6FD72E204FEA}">
      <text>
        <r>
          <rPr>
            <sz val="9"/>
            <color indexed="81"/>
            <rFont val="Tahoma"/>
            <family val="2"/>
          </rPr>
          <t>Historic: Revenue growtih is calculated.</t>
        </r>
      </text>
    </comment>
    <comment ref="W44" authorId="0" shapeId="0" xr:uid="{54713A14-EF7D-4EE3-B332-9261875402E2}">
      <text>
        <r>
          <rPr>
            <sz val="9"/>
            <color indexed="81"/>
            <rFont val="Tahoma"/>
            <family val="2"/>
          </rPr>
          <t>Foreacast operating margin is from the"Forecast mechanics" worksheet</t>
        </r>
      </text>
    </comment>
    <comment ref="C46" authorId="0" shapeId="0" xr:uid="{B2FDC944-36DE-4E05-9940-2F3CF0837D8B}">
      <text>
        <r>
          <rPr>
            <b/>
            <sz val="9"/>
            <color indexed="81"/>
            <rFont val="Tahoma"/>
            <family val="2"/>
          </rPr>
          <t>Kevin Posen:</t>
        </r>
        <r>
          <rPr>
            <sz val="9"/>
            <color indexed="81"/>
            <rFont val="Tahoma"/>
            <family val="2"/>
          </rPr>
          <t xml:space="preserve">
Historic: Operating margin is calculated as "Operating income" divided by "Revenue".</t>
        </r>
      </text>
    </comment>
    <comment ref="W48" authorId="0" shapeId="0" xr:uid="{9A52A1AA-CF44-4AFB-9FD7-3B63BA7CF25F}">
      <text>
        <r>
          <rPr>
            <b/>
            <sz val="9"/>
            <color indexed="81"/>
            <rFont val="Tahoma"/>
            <family val="2"/>
          </rPr>
          <t xml:space="preserve">Kevin Posen:
</t>
        </r>
        <r>
          <rPr>
            <sz val="9"/>
            <color indexed="81"/>
            <rFont val="Tahoma"/>
            <family val="2"/>
          </rPr>
          <t>Forecast uses the most recent tax rate, subject to a floor and a ceiling (set in the config sheet).</t>
        </r>
      </text>
    </comment>
    <comment ref="C50" authorId="0" shapeId="0" xr:uid="{205BE868-0AE7-422C-9237-FAA77959A0D3}">
      <text>
        <r>
          <rPr>
            <b/>
            <sz val="9"/>
            <color indexed="81"/>
            <rFont val="Tahoma"/>
            <family val="2"/>
          </rPr>
          <t>Kevin Posen:</t>
        </r>
        <r>
          <rPr>
            <sz val="9"/>
            <color indexed="81"/>
            <rFont val="Tahoma"/>
            <family val="2"/>
          </rPr>
          <t xml:space="preserve">
Historic: Tax rate is calculates as tax paid as a fraction of pre-tax profit</t>
        </r>
      </text>
    </comment>
    <comment ref="W52" authorId="0" shapeId="0" xr:uid="{E5967E8C-CBCE-437B-8662-E930780D0634}">
      <text>
        <r>
          <rPr>
            <b/>
            <sz val="9"/>
            <color indexed="81"/>
            <rFont val="Tahoma"/>
            <family val="2"/>
          </rPr>
          <t>Kevin Posen:</t>
        </r>
        <r>
          <rPr>
            <sz val="9"/>
            <color indexed="81"/>
            <rFont val="Tahoma"/>
            <family val="2"/>
          </rPr>
          <t xml:space="preserve">
Forecast minorities expense as a percentage of income is the historic 5-year average. This should probably be configurable.</t>
        </r>
      </text>
    </comment>
    <comment ref="C54" authorId="0" shapeId="0" xr:uid="{92F66FC0-435E-4318-A11F-A523F5E7CF4F}">
      <text>
        <r>
          <rPr>
            <b/>
            <sz val="9"/>
            <color indexed="81"/>
            <rFont val="Tahoma"/>
            <family val="2"/>
          </rPr>
          <t>Kevin Posen:</t>
        </r>
        <r>
          <rPr>
            <sz val="9"/>
            <color indexed="81"/>
            <rFont val="Tahoma"/>
            <family val="2"/>
          </rPr>
          <t xml:space="preserve">
Historic: Minorities is calculated as "Minorities expense" as a fraction of "Net income"</t>
        </r>
      </text>
    </comment>
    <comment ref="W56" authorId="0" shapeId="0" xr:uid="{12336570-51BC-4857-8378-11491F394FF6}">
      <text>
        <r>
          <rPr>
            <b/>
            <sz val="9"/>
            <color indexed="81"/>
            <rFont val="Tahoma"/>
            <family val="2"/>
          </rPr>
          <t>Kevin Posen:</t>
        </r>
        <r>
          <rPr>
            <sz val="9"/>
            <color indexed="81"/>
            <rFont val="Tahoma"/>
            <family val="2"/>
          </rPr>
          <t xml:space="preserve">
Total payout ratio over the last five years, subject to a floor and a ceiling (set in the config sheet).</t>
        </r>
      </text>
    </comment>
    <comment ref="D58" authorId="0" shapeId="0" xr:uid="{A6848931-44CD-474C-8932-57A4B3629A0B}">
      <text>
        <r>
          <rPr>
            <b/>
            <sz val="9"/>
            <color indexed="81"/>
            <rFont val="Tahoma"/>
            <family val="2"/>
          </rPr>
          <t>Kevin Posen:</t>
        </r>
        <r>
          <rPr>
            <sz val="9"/>
            <color indexed="81"/>
            <rFont val="Tahoma"/>
            <family val="2"/>
          </rPr>
          <t xml:space="preserve">
Historic: Payout ratio is calculated from the "per share" numbers but could also be calcualted from the non "per share" numbers</t>
        </r>
      </text>
    </comment>
    <comment ref="W60" authorId="0" shapeId="0" xr:uid="{80DE2DBE-63B6-4EED-8878-F6F24A339AB2}">
      <text>
        <r>
          <rPr>
            <b/>
            <sz val="9"/>
            <color indexed="81"/>
            <rFont val="Tahoma"/>
            <family val="2"/>
          </rPr>
          <t>Kevin Posen:</t>
        </r>
        <r>
          <rPr>
            <sz val="9"/>
            <color indexed="81"/>
            <rFont val="Tahoma"/>
            <family val="2"/>
          </rPr>
          <t xml:space="preserve">
Shares in issue growth assumed to be zero. This could be improved, e.g. by looking at the history.</t>
        </r>
      </text>
    </comment>
    <comment ref="D62" authorId="0" shapeId="0" xr:uid="{8B5097CC-D79A-49D8-A8F2-F4365B4F071E}">
      <text>
        <r>
          <rPr>
            <b/>
            <sz val="9"/>
            <color indexed="81"/>
            <rFont val="Tahoma"/>
            <family val="2"/>
          </rPr>
          <t>Kevin Posen:</t>
        </r>
        <r>
          <rPr>
            <sz val="9"/>
            <color indexed="81"/>
            <rFont val="Tahoma"/>
            <family val="2"/>
          </rPr>
          <t xml:space="preserve">
Historic: Shares in issue growth is calculated as the annual growth rate of shares in issue</t>
        </r>
      </text>
    </comment>
    <comment ref="W64" authorId="0" shapeId="0" xr:uid="{78960762-35C5-45A9-B9F2-303C3F4EE588}">
      <text>
        <r>
          <rPr>
            <b/>
            <sz val="9"/>
            <color indexed="81"/>
            <rFont val="Tahoma"/>
            <family val="2"/>
          </rPr>
          <t>Kevin Posen:</t>
        </r>
        <r>
          <rPr>
            <sz val="9"/>
            <color indexed="81"/>
            <rFont val="Tahoma"/>
            <family val="2"/>
          </rPr>
          <t xml:space="preserve">
Forecast simply carries over from the prior year</t>
        </r>
      </text>
    </comment>
    <comment ref="D66" authorId="0" shapeId="0" xr:uid="{7DB09F67-6F99-4991-A3BC-F988D823BFCB}">
      <text>
        <r>
          <rPr>
            <b/>
            <sz val="9"/>
            <color indexed="81"/>
            <rFont val="Tahoma"/>
            <family val="2"/>
          </rPr>
          <t>Kevin Posen:</t>
        </r>
        <r>
          <rPr>
            <sz val="9"/>
            <color indexed="81"/>
            <rFont val="Tahoma"/>
            <family val="2"/>
          </rPr>
          <t xml:space="preserve">
Historic: Interest rate: earned is calculated as "Interest income" dividend by average gross interest earning assets.</t>
        </r>
      </text>
    </comment>
    <comment ref="W68" authorId="0" shapeId="0" xr:uid="{408BADB8-7B9F-4735-ABF2-B7A7FF29E68A}">
      <text>
        <r>
          <rPr>
            <b/>
            <sz val="9"/>
            <color indexed="81"/>
            <rFont val="Tahoma"/>
            <family val="2"/>
          </rPr>
          <t>Kevin Posen:</t>
        </r>
        <r>
          <rPr>
            <sz val="9"/>
            <color indexed="81"/>
            <rFont val="Tahoma"/>
            <family val="2"/>
          </rPr>
          <t xml:space="preserve">
Forecast is based on the interest rate earned plus a configurable spread.</t>
        </r>
      </text>
    </comment>
    <comment ref="D70" authorId="0" shapeId="0" xr:uid="{027A0548-4C95-401A-961E-E225E63F0D3B}">
      <text>
        <r>
          <rPr>
            <b/>
            <sz val="9"/>
            <color indexed="81"/>
            <rFont val="Tahoma"/>
            <family val="2"/>
          </rPr>
          <t>Kevin Posen:</t>
        </r>
        <r>
          <rPr>
            <sz val="9"/>
            <color indexed="81"/>
            <rFont val="Tahoma"/>
            <family val="2"/>
          </rPr>
          <t xml:space="preserve">
Historic: Interest rate: paid is caluclated as "Interest expense" divided by average gross interest-bearing liabilities.</t>
        </r>
      </text>
    </comment>
    <comment ref="C74" authorId="0" shapeId="0" xr:uid="{15D2E9EC-F5E9-4AE6-852B-D3662EFEDABA}">
      <text>
        <r>
          <rPr>
            <b/>
            <sz val="9"/>
            <color indexed="81"/>
            <rFont val="Tahoma"/>
            <family val="2"/>
          </rPr>
          <t>Kevin Posen:</t>
        </r>
        <r>
          <rPr>
            <sz val="9"/>
            <color indexed="81"/>
            <rFont val="Tahoma"/>
            <family val="2"/>
          </rPr>
          <t xml:space="preserve">
Historic: Depreciation &amp; amortisation is as reported.</t>
        </r>
      </text>
    </comment>
    <comment ref="C75" authorId="0" shapeId="0" xr:uid="{7866742E-3053-4BC2-93B4-4D733CCBEAC7}">
      <text>
        <r>
          <rPr>
            <b/>
            <sz val="9"/>
            <color indexed="81"/>
            <rFont val="Tahoma"/>
            <family val="2"/>
          </rPr>
          <t>Kevin Posen:</t>
        </r>
        <r>
          <rPr>
            <sz val="9"/>
            <color indexed="81"/>
            <rFont val="Tahoma"/>
            <family val="2"/>
          </rPr>
          <t xml:space="preserve">
NOPAT, or "Net operating profit after tax", is calcualted as Operating Profit less the hypothetical tax that would have been paid, at the same tax rate, if there we no other items between Operating Income and Pre-Tax Income</t>
        </r>
      </text>
    </comment>
    <comment ref="W76" authorId="0" shapeId="0" xr:uid="{204C2522-F158-423A-A357-24F969E895D0}">
      <text>
        <r>
          <rPr>
            <b/>
            <sz val="9"/>
            <color indexed="81"/>
            <rFont val="Tahoma"/>
            <family val="2"/>
          </rPr>
          <t>Kevin Posen:</t>
        </r>
        <r>
          <rPr>
            <sz val="9"/>
            <color indexed="81"/>
            <rFont val="Tahoma"/>
            <family val="2"/>
          </rPr>
          <t xml:space="preserve">
Estimated by:
1) Starting with last year's cliosing balance;
2) Adding half of the operating income, less estimated taxes, less minority expense, less dividends paid</t>
        </r>
      </text>
    </comment>
    <comment ref="D77" authorId="0" shapeId="0" xr:uid="{815668E6-2B65-4CE2-9489-932EEFF96479}">
      <text>
        <r>
          <rPr>
            <b/>
            <sz val="9"/>
            <color indexed="81"/>
            <rFont val="Tahoma"/>
            <family val="2"/>
          </rPr>
          <t>Kevin Posen:</t>
        </r>
        <r>
          <rPr>
            <sz val="9"/>
            <color indexed="81"/>
            <rFont val="Tahoma"/>
            <family val="2"/>
          </rPr>
          <t xml:space="preserve">
Adds two balance sheet items</t>
        </r>
      </text>
    </comment>
    <comment ref="D82" authorId="0" shapeId="0" xr:uid="{358DDCE7-1D59-446D-A131-74D9758A55F7}">
      <text>
        <r>
          <rPr>
            <b/>
            <sz val="9"/>
            <color indexed="81"/>
            <rFont val="Tahoma"/>
            <family val="2"/>
          </rPr>
          <t>Kevin Posen:</t>
        </r>
        <r>
          <rPr>
            <sz val="9"/>
            <color indexed="81"/>
            <rFont val="Tahoma"/>
            <family val="2"/>
          </rPr>
          <t xml:space="preserve">
Calculated using average shares in issue</t>
        </r>
      </text>
    </comment>
    <comment ref="C83" authorId="0" shapeId="0" xr:uid="{3640FC64-33F0-4E34-B967-86EBEEBBD9D0}">
      <text>
        <r>
          <rPr>
            <b/>
            <sz val="9"/>
            <color indexed="81"/>
            <rFont val="Tahoma"/>
            <family val="2"/>
          </rPr>
          <t>Kevin Posen:</t>
        </r>
        <r>
          <rPr>
            <sz val="9"/>
            <color indexed="81"/>
            <rFont val="Tahoma"/>
            <family val="2"/>
          </rPr>
          <t xml:space="preserve">
EPS, or Earning per Share, is as reported</t>
        </r>
      </text>
    </comment>
    <comment ref="D84" authorId="0" shapeId="0" xr:uid="{3479DCAB-68EA-43AC-B86A-EF5141882D99}">
      <text>
        <r>
          <rPr>
            <b/>
            <sz val="9"/>
            <color indexed="81"/>
            <rFont val="Tahoma"/>
            <family val="2"/>
          </rPr>
          <t>Kevin Posen:</t>
        </r>
        <r>
          <rPr>
            <sz val="9"/>
            <color indexed="81"/>
            <rFont val="Tahoma"/>
            <family val="2"/>
          </rPr>
          <t xml:space="preserve">
EPS (Calculated) is my own calculation of EPS, using average shares in issue.</t>
        </r>
      </text>
    </comment>
    <comment ref="D85" authorId="0" shapeId="0" xr:uid="{9DC03F35-4B34-4909-BD6A-109EC64C05AB}">
      <text>
        <r>
          <rPr>
            <b/>
            <sz val="9"/>
            <color indexed="81"/>
            <rFont val="Tahoma"/>
            <family val="2"/>
          </rPr>
          <t>Kevin Posen:</t>
        </r>
        <r>
          <rPr>
            <sz val="9"/>
            <color indexed="81"/>
            <rFont val="Tahoma"/>
            <family val="2"/>
          </rPr>
          <t xml:space="preserve">
Calculated from the "Cash flow statement" sheet</t>
        </r>
      </text>
    </comment>
    <comment ref="B86" authorId="0" shapeId="0" xr:uid="{7AD92A73-95B4-43A6-8F0C-D150DE3B57E6}">
      <text>
        <r>
          <rPr>
            <sz val="9"/>
            <color indexed="81"/>
            <rFont val="Tahoma"/>
            <family val="2"/>
          </rPr>
          <t>Adjusted to discount chances in working capital</t>
        </r>
      </text>
    </comment>
    <comment ref="D86" authorId="0" shapeId="0" xr:uid="{79E44F9E-5C77-4A23-9A35-8F6D01071E67}">
      <text>
        <r>
          <rPr>
            <b/>
            <sz val="9"/>
            <color indexed="81"/>
            <rFont val="Tahoma"/>
            <family val="2"/>
          </rPr>
          <t>Kevin Posen:</t>
        </r>
        <r>
          <rPr>
            <sz val="9"/>
            <color indexed="81"/>
            <rFont val="Tahoma"/>
            <family val="2"/>
          </rPr>
          <t xml:space="preserve">
Calculated from the "Cash flow statement" sheet</t>
        </r>
      </text>
    </comment>
    <comment ref="D87" authorId="0" shapeId="0" xr:uid="{1289F68A-27D9-4E27-9A23-0FCEF5348E45}">
      <text>
        <r>
          <rPr>
            <b/>
            <sz val="9"/>
            <color indexed="81"/>
            <rFont val="Tahoma"/>
            <family val="2"/>
          </rPr>
          <t>Kevin Posen:</t>
        </r>
        <r>
          <rPr>
            <sz val="9"/>
            <color indexed="81"/>
            <rFont val="Tahoma"/>
            <family val="2"/>
          </rPr>
          <t xml:space="preserve">
Calculated using dividends per share and average shares in issue</t>
        </r>
      </text>
    </comment>
    <comment ref="D88" authorId="0" shapeId="0" xr:uid="{CEB29B36-D726-428E-B069-66FE1FFF566C}">
      <text>
        <r>
          <rPr>
            <b/>
            <sz val="9"/>
            <color indexed="81"/>
            <rFont val="Tahoma"/>
            <family val="2"/>
          </rPr>
          <t>Kevin Posen:</t>
        </r>
        <r>
          <rPr>
            <sz val="9"/>
            <color indexed="81"/>
            <rFont val="Tahoma"/>
            <family val="2"/>
          </rPr>
          <t xml:space="preserve">
Calculated from the cash flow statement sheet</t>
        </r>
      </text>
    </comment>
    <comment ref="D89" authorId="0" shapeId="0" xr:uid="{C785CB94-C493-44A5-9B31-97FF84C95900}">
      <text>
        <r>
          <rPr>
            <b/>
            <sz val="9"/>
            <color indexed="81"/>
            <rFont val="Tahoma"/>
            <family val="2"/>
          </rPr>
          <t>Kevin Posen:</t>
        </r>
        <r>
          <rPr>
            <sz val="9"/>
            <color indexed="81"/>
            <rFont val="Tahoma"/>
            <family val="2"/>
          </rPr>
          <t xml:space="preserve">
Combines numbers from the balance sheet worksheet and the income statement worksheet</t>
        </r>
      </text>
    </comment>
    <comment ref="D90" authorId="0" shapeId="0" xr:uid="{BC919F25-F07D-42CF-9724-D318CCDCA1C5}">
      <text>
        <r>
          <rPr>
            <b/>
            <sz val="9"/>
            <color indexed="81"/>
            <rFont val="Tahoma"/>
            <family val="2"/>
          </rPr>
          <t>Kevin Posen:</t>
        </r>
        <r>
          <rPr>
            <sz val="9"/>
            <color indexed="81"/>
            <rFont val="Tahoma"/>
            <family val="2"/>
          </rPr>
          <t xml:space="preserve">
Combines numbers from the balance sheet worksheet and the income statement worksheet</t>
        </r>
      </text>
    </comment>
    <comment ref="C93" authorId="0" shapeId="0" xr:uid="{0B844ADE-03BE-431C-BDD2-4512DC8275B8}">
      <text>
        <r>
          <rPr>
            <b/>
            <sz val="9"/>
            <color indexed="81"/>
            <rFont val="Tahoma"/>
            <family val="2"/>
          </rPr>
          <t>Kevin Posen:</t>
        </r>
        <r>
          <rPr>
            <sz val="9"/>
            <color indexed="81"/>
            <rFont val="Tahoma"/>
            <family val="2"/>
          </rPr>
          <t xml:space="preserve">
Gross profit divided by revenue</t>
        </r>
      </text>
    </comment>
    <comment ref="W93" authorId="0" shapeId="0" xr:uid="{44D0E536-C9A3-47BC-85B1-6252331B03FF}">
      <text>
        <r>
          <rPr>
            <b/>
            <sz val="9"/>
            <color indexed="81"/>
            <rFont val="Tahoma"/>
            <family val="2"/>
          </rPr>
          <t>Kevin Posen:</t>
        </r>
        <r>
          <rPr>
            <sz val="9"/>
            <color indexed="81"/>
            <rFont val="Tahoma"/>
            <family val="2"/>
          </rPr>
          <t xml:space="preserve">
Gross margin not forecast</t>
        </r>
      </text>
    </comment>
    <comment ref="C94" authorId="0" shapeId="0" xr:uid="{A5D1CB56-6E93-4E22-92DF-DBF7FF14A8FE}">
      <text>
        <r>
          <rPr>
            <b/>
            <sz val="9"/>
            <color indexed="81"/>
            <rFont val="Tahoma"/>
            <family val="2"/>
          </rPr>
          <t>Kevin Posen:</t>
        </r>
        <r>
          <rPr>
            <sz val="9"/>
            <color indexed="81"/>
            <rFont val="Tahoma"/>
            <family val="2"/>
          </rPr>
          <t xml:space="preserve">
Net profit divided by revenue</t>
        </r>
      </text>
    </comment>
    <comment ref="C95" authorId="0" shapeId="0" xr:uid="{8AF3176F-0615-4D73-9A2C-CC0844D92987}">
      <text>
        <r>
          <rPr>
            <b/>
            <sz val="9"/>
            <color indexed="81"/>
            <rFont val="Tahoma"/>
            <family val="2"/>
          </rPr>
          <t>Kevin Posen:</t>
        </r>
        <r>
          <rPr>
            <sz val="9"/>
            <color indexed="81"/>
            <rFont val="Tahoma"/>
            <family val="2"/>
          </rPr>
          <t xml:space="preserve">
Net profit attributable to ordinary shareholders, divided by revenue</t>
        </r>
      </text>
    </comment>
    <comment ref="D96" authorId="0" shapeId="0" xr:uid="{91744A93-01E4-4507-A6CD-63B65CB6A722}">
      <text>
        <r>
          <rPr>
            <b/>
            <sz val="9"/>
            <color indexed="81"/>
            <rFont val="Tahoma"/>
            <family val="2"/>
          </rPr>
          <t>Kevin Posen:</t>
        </r>
        <r>
          <rPr>
            <sz val="9"/>
            <color indexed="81"/>
            <rFont val="Tahoma"/>
            <family val="2"/>
          </rPr>
          <t xml:space="preserve">
1 - "payout ratio"
Alternatively, "Retained earnings" divided by "Net income"</t>
        </r>
      </text>
    </comment>
    <comment ref="C97" authorId="0" shapeId="0" xr:uid="{B1E41CA1-1371-408B-94F1-5D0A7CA3A6A1}">
      <text>
        <r>
          <rPr>
            <b/>
            <sz val="9"/>
            <color indexed="81"/>
            <rFont val="Tahoma"/>
            <family val="2"/>
          </rPr>
          <t>Kevin Posen:</t>
        </r>
        <r>
          <rPr>
            <sz val="9"/>
            <color indexed="81"/>
            <rFont val="Tahoma"/>
            <family val="2"/>
          </rPr>
          <t xml:space="preserve">
"Return on tangible equity"
Net income divided by tangible equity (being equity minus intangible assets)</t>
        </r>
      </text>
    </comment>
    <comment ref="D98" authorId="0" shapeId="0" xr:uid="{1156BCDD-BE88-4693-AD0C-AB137B7394EB}">
      <text>
        <r>
          <rPr>
            <sz val="9"/>
            <color indexed="81"/>
            <rFont val="Tahoma"/>
            <family val="2"/>
          </rPr>
          <t>Return on invested capital
NOPAT divided by a balance sheet item</t>
        </r>
      </text>
    </comment>
    <comment ref="D99" authorId="0" shapeId="0" xr:uid="{69CC62B5-FC8A-4AC0-B147-125817D47FCA}">
      <text>
        <r>
          <rPr>
            <b/>
            <sz val="9"/>
            <color indexed="81"/>
            <rFont val="Tahoma"/>
            <family val="2"/>
          </rPr>
          <t>Kevin Posen:</t>
        </r>
        <r>
          <rPr>
            <sz val="9"/>
            <color indexed="81"/>
            <rFont val="Tahoma"/>
            <family val="2"/>
          </rPr>
          <t xml:space="preserve">
Return on capital employed
Operating income divided by a balance sheet item</t>
        </r>
      </text>
    </comment>
    <comment ref="D103" authorId="0" shapeId="0" xr:uid="{E4971220-3DA3-49A6-9476-59CC277664EE}">
      <text>
        <r>
          <rPr>
            <b/>
            <sz val="9"/>
            <color indexed="81"/>
            <rFont val="Tahoma"/>
            <family val="2"/>
          </rPr>
          <t>Kevin Posen:</t>
        </r>
        <r>
          <rPr>
            <sz val="9"/>
            <color indexed="81"/>
            <rFont val="Tahoma"/>
            <family val="2"/>
          </rPr>
          <t xml:space="preserve">
Growth rate year-on-year</t>
        </r>
      </text>
    </comment>
    <comment ref="W103" authorId="0" shapeId="0" xr:uid="{E162E9E4-CCAB-4B6E-A45F-056429DF7812}">
      <text>
        <r>
          <rPr>
            <b/>
            <sz val="9"/>
            <color indexed="81"/>
            <rFont val="Tahoma"/>
            <family val="2"/>
          </rPr>
          <t>Kevin Posen:</t>
        </r>
        <r>
          <rPr>
            <sz val="9"/>
            <color indexed="81"/>
            <rFont val="Tahoma"/>
            <family val="2"/>
          </rPr>
          <t xml:space="preserve">
Gross margin not forecast</t>
        </r>
      </text>
    </comment>
    <comment ref="D104" authorId="0" shapeId="0" xr:uid="{E6CADC44-59E1-4044-960F-BE27F3725463}">
      <text>
        <r>
          <rPr>
            <b/>
            <sz val="9"/>
            <color indexed="81"/>
            <rFont val="Tahoma"/>
            <family val="2"/>
          </rPr>
          <t>Kevin Posen:</t>
        </r>
        <r>
          <rPr>
            <sz val="9"/>
            <color indexed="81"/>
            <rFont val="Tahoma"/>
            <family val="2"/>
          </rPr>
          <t xml:space="preserve">
Growth rate year-on-year</t>
        </r>
      </text>
    </comment>
    <comment ref="D105" authorId="0" shapeId="0" xr:uid="{B2B58F60-31F2-4D8F-941F-A501DDA3C1E9}">
      <text>
        <r>
          <rPr>
            <b/>
            <sz val="9"/>
            <color indexed="81"/>
            <rFont val="Tahoma"/>
            <family val="2"/>
          </rPr>
          <t>Kevin Posen:</t>
        </r>
        <r>
          <rPr>
            <sz val="9"/>
            <color indexed="81"/>
            <rFont val="Tahoma"/>
            <family val="2"/>
          </rPr>
          <t xml:space="preserve">
Growth rate year-on-year</t>
        </r>
      </text>
    </comment>
    <comment ref="D106" authorId="0" shapeId="0" xr:uid="{A86769F1-A29A-4807-BAE6-6E4181CD0AF7}">
      <text>
        <r>
          <rPr>
            <b/>
            <sz val="9"/>
            <color indexed="81"/>
            <rFont val="Tahoma"/>
            <family val="2"/>
          </rPr>
          <t>Kevin Posen:</t>
        </r>
        <r>
          <rPr>
            <sz val="9"/>
            <color indexed="81"/>
            <rFont val="Tahoma"/>
            <family val="2"/>
          </rPr>
          <t xml:space="preserve">
Historic EPS growth is calculated from actual EPS. Growth rate year-on-year</t>
        </r>
      </text>
    </comment>
    <comment ref="W106" authorId="0" shapeId="0" xr:uid="{1BF4A3BB-BE19-4B4B-8F18-854019DAA670}">
      <text>
        <r>
          <rPr>
            <b/>
            <sz val="9"/>
            <color indexed="81"/>
            <rFont val="Tahoma"/>
            <family val="2"/>
          </rPr>
          <t>Kevin Posen:</t>
        </r>
        <r>
          <rPr>
            <sz val="9"/>
            <color indexed="81"/>
            <rFont val="Tahoma"/>
            <family val="2"/>
          </rPr>
          <t xml:space="preserve">
Forecast EPS growth is calculated from forecast EPS</t>
        </r>
      </text>
    </comment>
    <comment ref="D107" authorId="0" shapeId="0" xr:uid="{B0FF515D-F737-4F37-AB07-D66A3772DB72}">
      <text>
        <r>
          <rPr>
            <b/>
            <sz val="9"/>
            <color indexed="81"/>
            <rFont val="Tahoma"/>
            <family val="2"/>
          </rPr>
          <t>Kevin Posen:</t>
        </r>
        <r>
          <rPr>
            <sz val="9"/>
            <color indexed="81"/>
            <rFont val="Tahoma"/>
            <family val="2"/>
          </rPr>
          <t xml:space="preserve">
Growth rate year-on-year</t>
        </r>
      </text>
    </comment>
    <comment ref="D108" authorId="0" shapeId="0" xr:uid="{4ACE08EA-686F-4AF2-BA10-1D0BEE460713}">
      <text>
        <r>
          <rPr>
            <b/>
            <sz val="9"/>
            <color indexed="81"/>
            <rFont val="Tahoma"/>
            <family val="2"/>
          </rPr>
          <t>Kevin Posen:</t>
        </r>
        <r>
          <rPr>
            <sz val="9"/>
            <color indexed="81"/>
            <rFont val="Tahoma"/>
            <family val="2"/>
          </rPr>
          <t xml:space="preserve">
Growth rate year-on-year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Kevin Posen</author>
  </authors>
  <commentList>
    <comment ref="A7" authorId="0" shapeId="0" xr:uid="{6A702B0D-6BD5-4CFB-B8BE-AE342FF7544D}">
      <text>
        <r>
          <rPr>
            <b/>
            <sz val="9"/>
            <color indexed="81"/>
            <rFont val="Tahoma"/>
            <family val="2"/>
          </rPr>
          <t>Kevin Posen:</t>
        </r>
        <r>
          <rPr>
            <sz val="9"/>
            <color indexed="81"/>
            <rFont val="Tahoma"/>
            <family val="2"/>
          </rPr>
          <t xml:space="preserve">
Entries in this column are the field names from the FactSet database. The formulae in columns C to Vuse lookups to get these fields from the raw data. The raw data is returned by a SQL query into another sheet.</t>
        </r>
      </text>
    </comment>
    <comment ref="C7" authorId="0" shapeId="0" xr:uid="{9D3867B9-43A6-4D4D-9528-6E139EB7413D}">
      <text>
        <r>
          <rPr>
            <sz val="9"/>
            <color indexed="81"/>
            <rFont val="Tahoma"/>
            <family val="2"/>
          </rPr>
          <t>Historic: Dates are annual reporting dates</t>
        </r>
      </text>
    </comment>
    <comment ref="W7" authorId="0" shapeId="0" xr:uid="{F7E5E993-37B2-4B65-9E0A-433025CF8DDB}">
      <text>
        <r>
          <rPr>
            <sz val="9"/>
            <color indexed="81"/>
            <rFont val="Tahoma"/>
            <family val="2"/>
          </rPr>
          <t>Forecase: Dates are on every annual anniversary of the last annual reporting date.</t>
        </r>
      </text>
    </comment>
    <comment ref="C11" authorId="0" shapeId="0" xr:uid="{0F03ED78-B4D8-4AC7-8692-E97E9F39B497}">
      <text>
        <r>
          <rPr>
            <b/>
            <sz val="9"/>
            <color indexed="81"/>
            <rFont val="Tahoma"/>
            <family val="2"/>
          </rPr>
          <t>Kevin Posen:</t>
        </r>
        <r>
          <rPr>
            <sz val="9"/>
            <color indexed="81"/>
            <rFont val="Tahoma"/>
            <family val="2"/>
          </rPr>
          <t xml:space="preserve">
Historic from as-reported data, from the SQL query</t>
        </r>
      </text>
    </comment>
    <comment ref="W11" authorId="0" shapeId="0" xr:uid="{2FF3C62E-0AAC-46DC-A068-EFFBA7568F4F}">
      <text>
        <r>
          <rPr>
            <b/>
            <sz val="9"/>
            <color indexed="81"/>
            <rFont val="Tahoma"/>
            <family val="2"/>
          </rPr>
          <t>Kevin Posen:</t>
        </r>
        <r>
          <rPr>
            <sz val="9"/>
            <color indexed="81"/>
            <rFont val="Tahoma"/>
            <family val="2"/>
          </rPr>
          <t xml:space="preserve">
Forecast cash from closing balance plus cash generated from cash flow statement</t>
        </r>
      </text>
    </comment>
    <comment ref="C13" authorId="0" shapeId="0" xr:uid="{6FD3BCF1-0EB1-47CB-8AF2-760DC6F6B662}">
      <text>
        <r>
          <rPr>
            <b/>
            <sz val="9"/>
            <color indexed="81"/>
            <rFont val="Tahoma"/>
            <family val="2"/>
          </rPr>
          <t>Kevin Posen:</t>
        </r>
        <r>
          <rPr>
            <sz val="9"/>
            <color indexed="81"/>
            <rFont val="Tahoma"/>
            <family val="2"/>
          </rPr>
          <t xml:space="preserve">
Historic from as-reported data, from the SQL query</t>
        </r>
      </text>
    </comment>
    <comment ref="C14" authorId="0" shapeId="0" xr:uid="{F957E6F7-6CA3-4DC4-803E-C0015F4149A2}">
      <text>
        <r>
          <rPr>
            <b/>
            <sz val="9"/>
            <color indexed="81"/>
            <rFont val="Tahoma"/>
            <family val="2"/>
          </rPr>
          <t>Kevin Posen:</t>
        </r>
        <r>
          <rPr>
            <sz val="9"/>
            <color indexed="81"/>
            <rFont val="Tahoma"/>
            <family val="2"/>
          </rPr>
          <t xml:space="preserve">
Historic from as-reported data, from the SQL query</t>
        </r>
      </text>
    </comment>
    <comment ref="C15" authorId="0" shapeId="0" xr:uid="{F763AF83-BE0E-433E-8E41-76292B812EE8}">
      <text>
        <r>
          <rPr>
            <b/>
            <sz val="9"/>
            <color indexed="81"/>
            <rFont val="Tahoma"/>
            <family val="2"/>
          </rPr>
          <t>Kevin Posen:</t>
        </r>
        <r>
          <rPr>
            <sz val="9"/>
            <color indexed="81"/>
            <rFont val="Tahoma"/>
            <family val="2"/>
          </rPr>
          <t xml:space="preserve">
Historic: Other investory calculated as a balance item after considering "total inventory", raw materials, and works in progress</t>
        </r>
      </text>
    </comment>
    <comment ref="C16" authorId="0" shapeId="0" xr:uid="{88944666-A570-4840-95D0-A490029ED37D}">
      <text>
        <r>
          <rPr>
            <b/>
            <sz val="9"/>
            <color indexed="81"/>
            <rFont val="Tahoma"/>
            <family val="2"/>
          </rPr>
          <t>Kevin Posen:</t>
        </r>
        <r>
          <rPr>
            <sz val="9"/>
            <color indexed="81"/>
            <rFont val="Tahoma"/>
            <family val="2"/>
          </rPr>
          <t xml:space="preserve">
Historic from as-reported data, from the SQL query</t>
        </r>
      </text>
    </comment>
    <comment ref="C17" authorId="0" shapeId="0" xr:uid="{0ED02453-7F84-434A-B9C0-4178BE5FBF7A}">
      <text>
        <r>
          <rPr>
            <b/>
            <sz val="9"/>
            <color indexed="81"/>
            <rFont val="Tahoma"/>
            <family val="2"/>
          </rPr>
          <t>Kevin Posen:</t>
        </r>
        <r>
          <rPr>
            <sz val="9"/>
            <color indexed="81"/>
            <rFont val="Tahoma"/>
            <family val="2"/>
          </rPr>
          <t xml:space="preserve">
Historic from as-reported data, from the SQL query</t>
        </r>
      </text>
    </comment>
    <comment ref="W18" authorId="0" shapeId="0" xr:uid="{2B031808-73B8-4096-B062-8BA34B048A09}">
      <text>
        <r>
          <rPr>
            <b/>
            <sz val="9"/>
            <color indexed="81"/>
            <rFont val="Tahoma"/>
            <family val="2"/>
          </rPr>
          <t>Kevin Posen:</t>
        </r>
        <r>
          <rPr>
            <sz val="9"/>
            <color indexed="81"/>
            <rFont val="Tahoma"/>
            <family val="2"/>
          </rPr>
          <t xml:space="preserve">
Forecast working capital balance from revenue and forecast "working capital" as a fraction of revenue. NB: The forecast does not consider the make-up of working capital, e.g. inventory and recivables.</t>
        </r>
      </text>
    </comment>
    <comment ref="W19" authorId="0" shapeId="0" xr:uid="{36774447-5EF0-4DE6-9966-AB12100C8FFC}">
      <text>
        <r>
          <rPr>
            <b/>
            <sz val="9"/>
            <color indexed="81"/>
            <rFont val="Tahoma"/>
            <family val="2"/>
          </rPr>
          <t>Kevin Posen:</t>
        </r>
        <r>
          <rPr>
            <sz val="9"/>
            <color indexed="81"/>
            <rFont val="Tahoma"/>
            <family val="2"/>
          </rPr>
          <t xml:space="preserve">
Forecast non-operating working capital balance from revenue and forecast "non-operating working capital" as a fraction of revenue</t>
        </r>
      </text>
    </comment>
    <comment ref="C20" authorId="0" shapeId="0" xr:uid="{1106ACB8-D929-42B4-95D6-B571EBBBEB6D}">
      <text>
        <r>
          <rPr>
            <b/>
            <sz val="9"/>
            <color indexed="81"/>
            <rFont val="Tahoma"/>
            <family val="2"/>
          </rPr>
          <t>Kevin Posen:</t>
        </r>
        <r>
          <rPr>
            <sz val="9"/>
            <color indexed="81"/>
            <rFont val="Tahoma"/>
            <family val="2"/>
          </rPr>
          <t xml:space="preserve">
Historic: Other current asssets callculated as a balancing item after considering current assets and the individually itemised current assets line items</t>
        </r>
      </text>
    </comment>
    <comment ref="C21" authorId="0" shapeId="0" xr:uid="{9FCEDC63-3AFC-48E6-88C4-EDCECF476BFC}">
      <text>
        <r>
          <rPr>
            <b/>
            <sz val="9"/>
            <color indexed="81"/>
            <rFont val="Tahoma"/>
            <family val="2"/>
          </rPr>
          <t>Kevin Posen:</t>
        </r>
        <r>
          <rPr>
            <sz val="9"/>
            <color indexed="81"/>
            <rFont val="Tahoma"/>
            <family val="2"/>
          </rPr>
          <t xml:space="preserve">
Historic from as-reported data, from the SQL query</t>
        </r>
      </text>
    </comment>
    <comment ref="W21" authorId="0" shapeId="0" xr:uid="{4186C7ED-F61A-449E-B7CA-B59D527F5603}">
      <text>
        <r>
          <rPr>
            <b/>
            <sz val="9"/>
            <color indexed="81"/>
            <rFont val="Tahoma"/>
            <family val="2"/>
          </rPr>
          <t>Kevin Posen:</t>
        </r>
        <r>
          <rPr>
            <sz val="9"/>
            <color indexed="81"/>
            <rFont val="Tahoma"/>
            <family val="2"/>
          </rPr>
          <t xml:space="preserve">
Cash plus operating working capital plus non-operating working capital</t>
        </r>
      </text>
    </comment>
    <comment ref="C24" authorId="0" shapeId="0" xr:uid="{3939C359-A2AB-4618-93DA-C0F389FF4E6A}">
      <text>
        <r>
          <rPr>
            <b/>
            <sz val="9"/>
            <color indexed="81"/>
            <rFont val="Tahoma"/>
            <family val="2"/>
          </rPr>
          <t>Kevin Posen:</t>
        </r>
        <r>
          <rPr>
            <sz val="9"/>
            <color indexed="81"/>
            <rFont val="Tahoma"/>
            <family val="2"/>
          </rPr>
          <t xml:space="preserve">
Historic from as-reported data, from the SQL query</t>
        </r>
      </text>
    </comment>
    <comment ref="C25" authorId="0" shapeId="0" xr:uid="{B2823997-DC5A-4E4C-8AB2-829F416BFB10}">
      <text>
        <r>
          <rPr>
            <b/>
            <sz val="9"/>
            <color indexed="81"/>
            <rFont val="Tahoma"/>
            <family val="2"/>
          </rPr>
          <t>Kevin Posen:</t>
        </r>
        <r>
          <rPr>
            <sz val="9"/>
            <color indexed="81"/>
            <rFont val="Tahoma"/>
            <family val="2"/>
          </rPr>
          <t xml:space="preserve">
Historic from as-reported data, from the SQL query</t>
        </r>
      </text>
    </comment>
    <comment ref="C26" authorId="0" shapeId="0" xr:uid="{49C597E4-E4A0-48BC-88CC-9DBFE025FE13}">
      <text>
        <r>
          <rPr>
            <b/>
            <sz val="9"/>
            <color indexed="81"/>
            <rFont val="Tahoma"/>
            <family val="2"/>
          </rPr>
          <t>Kevin Posen:</t>
        </r>
        <r>
          <rPr>
            <sz val="9"/>
            <color indexed="81"/>
            <rFont val="Tahoma"/>
            <family val="2"/>
          </rPr>
          <t xml:space="preserve">
Historic from as-reported data, from the SQL query</t>
        </r>
      </text>
    </comment>
    <comment ref="C28" authorId="0" shapeId="0" xr:uid="{20DA2F2E-2E44-4534-B5CF-D0468529ACCE}">
      <text>
        <r>
          <rPr>
            <b/>
            <sz val="9"/>
            <color indexed="81"/>
            <rFont val="Tahoma"/>
            <family val="2"/>
          </rPr>
          <t>Kevin Posen:</t>
        </r>
        <r>
          <rPr>
            <sz val="9"/>
            <color indexed="81"/>
            <rFont val="Tahoma"/>
            <family val="2"/>
          </rPr>
          <t xml:space="preserve">
Historic from as-reported data, from the SQL query</t>
        </r>
      </text>
    </comment>
    <comment ref="C29" authorId="0" shapeId="0" xr:uid="{86AD23E2-437A-4A99-B47E-1473E86D54DE}">
      <text>
        <r>
          <rPr>
            <b/>
            <sz val="9"/>
            <color indexed="81"/>
            <rFont val="Tahoma"/>
            <family val="2"/>
          </rPr>
          <t>Kevin Posen:</t>
        </r>
        <r>
          <rPr>
            <sz val="9"/>
            <color indexed="81"/>
            <rFont val="Tahoma"/>
            <family val="2"/>
          </rPr>
          <t xml:space="preserve">
Historic: Other non-current asssets callculated as a balancing item after considering total non-current assets and the individually itemised line items</t>
        </r>
      </text>
    </comment>
    <comment ref="C30" authorId="0" shapeId="0" xr:uid="{E512EBE3-5F8B-4451-875B-67507E72D362}">
      <text>
        <r>
          <rPr>
            <b/>
            <sz val="9"/>
            <color indexed="81"/>
            <rFont val="Tahoma"/>
            <family val="2"/>
          </rPr>
          <t>Kevin Posen:</t>
        </r>
        <r>
          <rPr>
            <sz val="9"/>
            <color indexed="81"/>
            <rFont val="Tahoma"/>
            <family val="2"/>
          </rPr>
          <t xml:space="preserve">
Historic: Total non-current assets is the difference between current assets and total assets</t>
        </r>
      </text>
    </comment>
    <comment ref="C31" authorId="0" shapeId="0" xr:uid="{771C9C96-F05C-4E29-8BFB-6E4A4571DCBE}">
      <text>
        <r>
          <rPr>
            <b/>
            <sz val="9"/>
            <color indexed="81"/>
            <rFont val="Tahoma"/>
            <family val="2"/>
          </rPr>
          <t>Kevin Posen:</t>
        </r>
        <r>
          <rPr>
            <sz val="9"/>
            <color indexed="81"/>
            <rFont val="Tahoma"/>
            <family val="2"/>
          </rPr>
          <t xml:space="preserve">
Historic from as-reported data, from the SQL query</t>
        </r>
      </text>
    </comment>
    <comment ref="C35" authorId="0" shapeId="0" xr:uid="{24A0BCC4-01F8-471B-B335-14C27494CB3C}">
      <text>
        <r>
          <rPr>
            <b/>
            <sz val="9"/>
            <color indexed="81"/>
            <rFont val="Tahoma"/>
            <family val="2"/>
          </rPr>
          <t>Kevin Posen:</t>
        </r>
        <r>
          <rPr>
            <sz val="9"/>
            <color indexed="81"/>
            <rFont val="Tahoma"/>
            <family val="2"/>
          </rPr>
          <t xml:space="preserve">
Historic from as-reported data, from the SQL query</t>
        </r>
      </text>
    </comment>
    <comment ref="C36" authorId="0" shapeId="0" xr:uid="{A2DD2B00-FBB1-4BBC-8647-9074332068E4}">
      <text>
        <r>
          <rPr>
            <b/>
            <sz val="9"/>
            <color indexed="81"/>
            <rFont val="Tahoma"/>
            <family val="2"/>
          </rPr>
          <t>Kevin Posen:</t>
        </r>
        <r>
          <rPr>
            <sz val="9"/>
            <color indexed="81"/>
            <rFont val="Tahoma"/>
            <family val="2"/>
          </rPr>
          <t xml:space="preserve">
Historic from as-reported data, from the SQL query</t>
        </r>
      </text>
    </comment>
    <comment ref="C37" authorId="0" shapeId="0" xr:uid="{67C3F40B-C9DE-4E54-AA14-99430599085D}">
      <text>
        <r>
          <rPr>
            <b/>
            <sz val="9"/>
            <color indexed="81"/>
            <rFont val="Tahoma"/>
            <family val="2"/>
          </rPr>
          <t>Kevin Posen:</t>
        </r>
        <r>
          <rPr>
            <sz val="9"/>
            <color indexed="81"/>
            <rFont val="Tahoma"/>
            <family val="2"/>
          </rPr>
          <t xml:space="preserve">
Historic: Other current liabilities callculated as a balancing item after considering total current liabilitieis and the individually itemised line items</t>
        </r>
      </text>
    </comment>
    <comment ref="C38" authorId="0" shapeId="0" xr:uid="{D25E28FF-0A55-4541-BF1C-A2BEAB9D146B}">
      <text>
        <r>
          <rPr>
            <b/>
            <sz val="9"/>
            <color indexed="81"/>
            <rFont val="Tahoma"/>
            <family val="2"/>
          </rPr>
          <t>Kevin Posen:</t>
        </r>
        <r>
          <rPr>
            <sz val="9"/>
            <color indexed="81"/>
            <rFont val="Tahoma"/>
            <family val="2"/>
          </rPr>
          <t xml:space="preserve">
Historic from as-reported data, from the SQL query</t>
        </r>
      </text>
    </comment>
    <comment ref="C41" authorId="0" shapeId="0" xr:uid="{D7E95255-AD29-4DC8-B37D-93409B27ED6F}">
      <text>
        <r>
          <rPr>
            <b/>
            <sz val="9"/>
            <color indexed="81"/>
            <rFont val="Tahoma"/>
            <family val="2"/>
          </rPr>
          <t>Kevin Posen:</t>
        </r>
        <r>
          <rPr>
            <sz val="9"/>
            <color indexed="81"/>
            <rFont val="Tahoma"/>
            <family val="2"/>
          </rPr>
          <t xml:space="preserve">
Historic from as-reported data, from the SQL query</t>
        </r>
      </text>
    </comment>
    <comment ref="C42" authorId="0" shapeId="0" xr:uid="{65F6B0AE-B628-4D8F-B155-3EC925F48153}">
      <text>
        <r>
          <rPr>
            <b/>
            <sz val="9"/>
            <color indexed="81"/>
            <rFont val="Tahoma"/>
            <family val="2"/>
          </rPr>
          <t>Kevin Posen:</t>
        </r>
        <r>
          <rPr>
            <sz val="9"/>
            <color indexed="81"/>
            <rFont val="Tahoma"/>
            <family val="2"/>
          </rPr>
          <t xml:space="preserve">
Historic: Other non-current liabilities callculated as a balancing item after considering total non-current liabilitieis and the individually itemised line items</t>
        </r>
      </text>
    </comment>
    <comment ref="C43" authorId="0" shapeId="0" xr:uid="{19DFEE96-8358-4171-8836-BA76F419FC10}">
      <text>
        <r>
          <rPr>
            <b/>
            <sz val="9"/>
            <color indexed="81"/>
            <rFont val="Tahoma"/>
            <family val="2"/>
          </rPr>
          <t>Kevin Posen:</t>
        </r>
        <r>
          <rPr>
            <sz val="9"/>
            <color indexed="81"/>
            <rFont val="Tahoma"/>
            <family val="2"/>
          </rPr>
          <t xml:space="preserve">
Historic: Other non-current liabilities is the difference between current liabilities and total liabilities</t>
        </r>
      </text>
    </comment>
    <comment ref="C44" authorId="0" shapeId="0" xr:uid="{FB40E327-760C-4DE6-B8CB-6753C2901A56}">
      <text>
        <r>
          <rPr>
            <b/>
            <sz val="9"/>
            <color indexed="81"/>
            <rFont val="Tahoma"/>
            <family val="2"/>
          </rPr>
          <t>Kevin Posen:</t>
        </r>
        <r>
          <rPr>
            <sz val="9"/>
            <color indexed="81"/>
            <rFont val="Tahoma"/>
            <family val="2"/>
          </rPr>
          <t xml:space="preserve">
Historic from as-reported data, from the SQL query</t>
        </r>
      </text>
    </comment>
    <comment ref="C47" authorId="0" shapeId="0" xr:uid="{03A4EBE6-5977-440D-8E6E-EA69F5C9BDE1}">
      <text>
        <r>
          <rPr>
            <b/>
            <sz val="9"/>
            <color indexed="81"/>
            <rFont val="Tahoma"/>
            <family val="2"/>
          </rPr>
          <t>Kevin Posen:</t>
        </r>
        <r>
          <rPr>
            <sz val="9"/>
            <color indexed="81"/>
            <rFont val="Tahoma"/>
            <family val="2"/>
          </rPr>
          <t xml:space="preserve">
Historic from as-reported data, from the SQL query</t>
        </r>
      </text>
    </comment>
    <comment ref="C48" authorId="0" shapeId="0" xr:uid="{6A4E99AD-91D9-48BC-8C88-FA6E3ABB7CE9}">
      <text>
        <r>
          <rPr>
            <b/>
            <sz val="9"/>
            <color indexed="81"/>
            <rFont val="Tahoma"/>
            <family val="2"/>
          </rPr>
          <t>Kevin Posen:</t>
        </r>
        <r>
          <rPr>
            <sz val="9"/>
            <color indexed="81"/>
            <rFont val="Tahoma"/>
            <family val="2"/>
          </rPr>
          <t xml:space="preserve">
Historic from as-reported data, from the SQL query</t>
        </r>
      </text>
    </comment>
    <comment ref="C49" authorId="0" shapeId="0" xr:uid="{F32AE3EF-B5AC-4441-A055-3B454E875D0E}">
      <text>
        <r>
          <rPr>
            <b/>
            <sz val="9"/>
            <color indexed="81"/>
            <rFont val="Tahoma"/>
            <family val="2"/>
          </rPr>
          <t>Kevin Posen:</t>
        </r>
        <r>
          <rPr>
            <sz val="9"/>
            <color indexed="81"/>
            <rFont val="Tahoma"/>
            <family val="2"/>
          </rPr>
          <t xml:space="preserve">
Historic from as-reported data, from the SQL query</t>
        </r>
      </text>
    </comment>
    <comment ref="C50" authorId="0" shapeId="0" xr:uid="{CDC47E2D-DF2E-4F56-8E12-31E3A7F35482}">
      <text>
        <r>
          <rPr>
            <b/>
            <sz val="9"/>
            <color indexed="81"/>
            <rFont val="Tahoma"/>
            <family val="2"/>
          </rPr>
          <t>Kevin Posen:</t>
        </r>
        <r>
          <rPr>
            <sz val="9"/>
            <color indexed="81"/>
            <rFont val="Tahoma"/>
            <family val="2"/>
          </rPr>
          <t xml:space="preserve">
Historic: Other equity callculated as a balancing item after considering total equity and the individually itemised line items</t>
        </r>
      </text>
    </comment>
    <comment ref="C51" authorId="0" shapeId="0" xr:uid="{CF4CE1FD-BEA6-4BB0-952A-EE7AB83ACC2A}">
      <text>
        <r>
          <rPr>
            <b/>
            <sz val="9"/>
            <color indexed="81"/>
            <rFont val="Tahoma"/>
            <family val="2"/>
          </rPr>
          <t>Kevin Posen:</t>
        </r>
        <r>
          <rPr>
            <sz val="9"/>
            <color indexed="81"/>
            <rFont val="Tahoma"/>
            <family val="2"/>
          </rPr>
          <t xml:space="preserve">
Equity is calculated as the difference between assets and liabilities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Kevin Posen</author>
  </authors>
  <commentList>
    <comment ref="A10" authorId="0" shapeId="0" xr:uid="{1A935EA5-E76D-4A57-BC34-5EF7C2991172}">
      <text>
        <r>
          <rPr>
            <b/>
            <sz val="9"/>
            <color indexed="81"/>
            <rFont val="Tahoma"/>
            <family val="2"/>
          </rPr>
          <t>Kevin Posen:</t>
        </r>
        <r>
          <rPr>
            <sz val="9"/>
            <color indexed="81"/>
            <rFont val="Tahoma"/>
            <family val="2"/>
          </rPr>
          <t xml:space="preserve">
Entries in this column are the field names from the FactSet database. The formulae in columns C to Vuse lookups to get these fields from the raw data. The raw data is returned by a SQL query into another sheet.</t>
        </r>
      </text>
    </comment>
    <comment ref="C10" authorId="0" shapeId="0" xr:uid="{6CF05E18-E97B-48BE-A9EF-E02D37B37FE2}">
      <text>
        <r>
          <rPr>
            <sz val="9"/>
            <color indexed="81"/>
            <rFont val="Tahoma"/>
            <family val="2"/>
          </rPr>
          <t>Historic: Dates are annual reporting dates</t>
        </r>
      </text>
    </comment>
    <comment ref="W10" authorId="0" shapeId="0" xr:uid="{2B65B783-65E5-47CB-934E-26A3BAA518E9}">
      <text>
        <r>
          <rPr>
            <sz val="9"/>
            <color indexed="81"/>
            <rFont val="Tahoma"/>
            <family val="2"/>
          </rPr>
          <t>Forecase: Dates are on every annual anniversary of the last annual reporting date.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A3DD8D8-2535-4DE4-BD27-F400266D0F1F}" odcFile="C:\Users\kpose\Dropbox\OneDrive\OneDrive\Onedrive\Documents\My Data Sources\select-share-for-model.odc" keepAlive="1" name="Query - Candidate_shares" description="Connection to the 'Candidate_shares' query in the workbook." type="5" refreshedVersion="8" background="1" saveData="1">
    <dbPr connection="Provider=Microsoft.Mashup.OleDb.1;Data Source=$Workbook$;Location=Candidate_shares;Extended Properties=&quot;&quot;" command="SELECT * FROM [Candidate_shares]"/>
  </connection>
  <connection id="2" xr16:uid="{20D060AB-2733-4B18-A854-EC718DA19A85}" odcFile="C:\Users\kpose\Dropbox\OneDrive\OneDrive\Onedrive\Documents\My Data Sources\select-share-for-model.odc" keepAlive="1" name="Query - Chosen_share" description="Connection to the 'Chosen_share' query in the workbook." type="5" refreshedVersion="8" background="1" saveData="1">
    <dbPr connection="Provider=Microsoft.Mashup.OleDb.1;Data Source=$Workbook$;Location=Chosen_share;Extended Properties=&quot;&quot;" command="SELECT * FROM [Chosen_share]"/>
  </connection>
  <connection id="3" xr16:uid="{6B15E839-B2D0-43AD-BE89-78ED8495AE31}" keepAlive="1" name="Query - Daily_returns" description="Connection to the 'Daily_returns' query in the workbook." type="5" refreshedVersion="8" background="1" saveData="1">
    <dbPr connection="Provider=Microsoft.Mashup.OleDb.1;Data Source=$Workbook$;Location=Daily_returns;Extended Properties=&quot;&quot;" command="SELECT * FROM [Daily_returns]"/>
  </connection>
  <connection id="4" xr16:uid="{E2F74C60-D5D8-417E-9568-D315B0EAC336}" keepAlive="1" name="Query - Raw financials" description="Connection to the 'Raw financials' query in the workbook." type="5" refreshedVersion="8" background="1" saveData="1">
    <dbPr connection="Provider=Microsoft.Mashup.OleDb.1;Data Source=$Workbook$;Location=&quot;Raw financials&quot;;Extended Properties=&quot;&quot;" command="SELECT * FROM [Raw financia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<sst xmlns="http://schemas.openxmlformats.org/spreadsheetml/2006/main" count="7597" uniqueCount="548">
  <si>
    <t>fsym_id</t>
  </si>
  <si>
    <t>date</t>
  </si>
  <si>
    <t>currency</t>
  </si>
  <si>
    <t>ff_sales</t>
  </si>
  <si>
    <t>ff_gross_inc</t>
  </si>
  <si>
    <t>ff_ptx_inc</t>
  </si>
  <si>
    <t>ff_inc_tax</t>
  </si>
  <si>
    <t>ff_min_int_exp</t>
  </si>
  <si>
    <t>ff_eq_aff_inc</t>
  </si>
  <si>
    <t>ff_div_pfd</t>
  </si>
  <si>
    <t>ff_cash_st</t>
  </si>
  <si>
    <t>ff_inven</t>
  </si>
  <si>
    <t>ff_assets_curr</t>
  </si>
  <si>
    <t>ff_intang</t>
  </si>
  <si>
    <t>ff_assets</t>
  </si>
  <si>
    <t>ff_liabs_curr</t>
  </si>
  <si>
    <t>ff_pay_acct</t>
  </si>
  <si>
    <t>ff_pfd_stk</t>
  </si>
  <si>
    <t>ff_com_eq</t>
  </si>
  <si>
    <t>ff_net_inc_cf</t>
  </si>
  <si>
    <t>ff_funds_oper_gross</t>
  </si>
  <si>
    <t>ff_wkcap_chg</t>
  </si>
  <si>
    <t>ff_com_shs_out_eps_dil</t>
  </si>
  <si>
    <t>ff_min_int_accum</t>
  </si>
  <si>
    <t>ff_ppe_net</t>
  </si>
  <si>
    <t>ff_receiv_st</t>
  </si>
  <si>
    <t>ff_int_exp_net</t>
  </si>
  <si>
    <t>ff_net_inc_basic</t>
  </si>
  <si>
    <t>ff_liabs</t>
  </si>
  <si>
    <t>ff_invest_cf</t>
  </si>
  <si>
    <t>ff_debt_cf</t>
  </si>
  <si>
    <t>ff_fin_cf</t>
  </si>
  <si>
    <t>ff_ebit_oper</t>
  </si>
  <si>
    <t>ff_curn_doc</t>
  </si>
  <si>
    <t>ff_dep_exp</t>
  </si>
  <si>
    <t>ff_emp_num</t>
  </si>
  <si>
    <t>ff_eps_secs</t>
  </si>
  <si>
    <t>ff_inven_matl</t>
  </si>
  <si>
    <t>ff_inven_wip</t>
  </si>
  <si>
    <t>ff_comp_soft</t>
  </si>
  <si>
    <t>ff_mkt_val_secs</t>
  </si>
  <si>
    <t>ff_div_com_cf</t>
  </si>
  <si>
    <t>ff_stk_purch_cf</t>
  </si>
  <si>
    <t>ff_stk_sale_cf</t>
  </si>
  <si>
    <t>ff_capex_fix</t>
  </si>
  <si>
    <t>ff_capex_oth</t>
  </si>
  <si>
    <t>ff_dep_amort_exp</t>
  </si>
  <si>
    <t>ff_debt_lt_tot</t>
  </si>
  <si>
    <t>ff_debt_st_tot</t>
  </si>
  <si>
    <t>ff_sale_ppe_cf</t>
  </si>
  <si>
    <t>ID</t>
  </si>
  <si>
    <t>Date</t>
  </si>
  <si>
    <t>Currency</t>
  </si>
  <si>
    <t>Revenue</t>
  </si>
  <si>
    <t>Interest income</t>
  </si>
  <si>
    <t>Pre-tax income</t>
  </si>
  <si>
    <t>Income tax</t>
  </si>
  <si>
    <t>Minorities (expense)</t>
  </si>
  <si>
    <t>Affiliates (income)</t>
  </si>
  <si>
    <t>Pref. dividends</t>
  </si>
  <si>
    <t>Cash &amp; short-term investments</t>
  </si>
  <si>
    <t>Current assets</t>
  </si>
  <si>
    <t>Accounts payable</t>
  </si>
  <si>
    <t>Common equity</t>
  </si>
  <si>
    <t>Net income (CFS)</t>
  </si>
  <si>
    <t>Changes in working capital</t>
  </si>
  <si>
    <t>Minorities (equity)</t>
  </si>
  <si>
    <t>Receivables (ST)</t>
  </si>
  <si>
    <t>Net income (basic)</t>
  </si>
  <si>
    <t>Liabilities</t>
  </si>
  <si>
    <t>Cash flow from investing</t>
  </si>
  <si>
    <t>Cash flow from debt</t>
  </si>
  <si>
    <t>Cash flow from financing</t>
  </si>
  <si>
    <t>Depreciation</t>
  </si>
  <si>
    <t># Employees</t>
  </si>
  <si>
    <t>Cash from share purchases</t>
  </si>
  <si>
    <t>Cash from share sales</t>
  </si>
  <si>
    <t>Fixed assets (net)</t>
  </si>
  <si>
    <t>Capex (fixed assets)</t>
  </si>
  <si>
    <t>Capex (other)</t>
  </si>
  <si>
    <t>Depreciation &amp; amortisation</t>
  </si>
  <si>
    <t>Debt: Long-term</t>
  </si>
  <si>
    <t>Debt: Short-term</t>
  </si>
  <si>
    <t>Cash from sales of fixed assets</t>
  </si>
  <si>
    <t>ff_invest_lt</t>
  </si>
  <si>
    <t>Long-term investments</t>
  </si>
  <si>
    <t>FactSet Field</t>
  </si>
  <si>
    <t>Description</t>
  </si>
  <si>
    <t>Column in raw data</t>
  </si>
  <si>
    <t>Year numbers</t>
  </si>
  <si>
    <t>Gross profit</t>
  </si>
  <si>
    <t>Gross costs</t>
  </si>
  <si>
    <t>Operating income</t>
  </si>
  <si>
    <t>Interest expense</t>
  </si>
  <si>
    <t>Other non-operating income</t>
  </si>
  <si>
    <t>Net income</t>
  </si>
  <si>
    <t>Net income to common shareholders</t>
  </si>
  <si>
    <t>Shares in in issue (diluted)</t>
  </si>
  <si>
    <t>EPS</t>
  </si>
  <si>
    <t>EPS (calculated)</t>
  </si>
  <si>
    <t>DPS</t>
  </si>
  <si>
    <t>Cash dividends paid</t>
  </si>
  <si>
    <t>Retained earnings</t>
  </si>
  <si>
    <t>Metrics</t>
  </si>
  <si>
    <t>Gross margin</t>
  </si>
  <si>
    <t>Operating margin</t>
  </si>
  <si>
    <t>Net margin</t>
  </si>
  <si>
    <t>Minorities % net income</t>
  </si>
  <si>
    <t>Payout %</t>
  </si>
  <si>
    <t>Retention %</t>
  </si>
  <si>
    <t>Margins</t>
  </si>
  <si>
    <t>Growth rates</t>
  </si>
  <si>
    <t>Operating profit</t>
  </si>
  <si>
    <t>Net to common margin</t>
  </si>
  <si>
    <t>Financials</t>
  </si>
  <si>
    <t>Reference</t>
  </si>
  <si>
    <t>Tax rate</t>
  </si>
  <si>
    <t xml:space="preserve"> </t>
  </si>
  <si>
    <t>Total assets</t>
  </si>
  <si>
    <t>Other current assets</t>
  </si>
  <si>
    <t>x</t>
  </si>
  <si>
    <t>Intangible assets</t>
  </si>
  <si>
    <t>Other non-current assets</t>
  </si>
  <si>
    <t>Total non-current assets</t>
  </si>
  <si>
    <t>Current assets:</t>
  </si>
  <si>
    <t>Assets</t>
  </si>
  <si>
    <t>Non-current assets:</t>
  </si>
  <si>
    <t>Non-current liabilities:</t>
  </si>
  <si>
    <t>Current liabilities:</t>
  </si>
  <si>
    <t>Total current liabilities</t>
  </si>
  <si>
    <t>Total liabilities</t>
  </si>
  <si>
    <t>Total non-current liabilities</t>
  </si>
  <si>
    <t>IS</t>
  </si>
  <si>
    <t>BS</t>
  </si>
  <si>
    <t>CF</t>
  </si>
  <si>
    <t>Currency of fundamentals</t>
  </si>
  <si>
    <t>Raw materials</t>
  </si>
  <si>
    <t>Software</t>
  </si>
  <si>
    <t>Market value: Security level</t>
  </si>
  <si>
    <t>Pref. stock: carrying value</t>
  </si>
  <si>
    <t>Total equity</t>
  </si>
  <si>
    <t>Other equity</t>
  </si>
  <si>
    <t>Inventory:</t>
  </si>
  <si>
    <t>Works in progress</t>
  </si>
  <si>
    <t>Other inventory</t>
  </si>
  <si>
    <t>Total inventory</t>
  </si>
  <si>
    <t>Equity</t>
  </si>
  <si>
    <t>Amortisation</t>
  </si>
  <si>
    <t>Others &amp; Helpers</t>
  </si>
  <si>
    <t>Other operating expenses</t>
  </si>
  <si>
    <t>Cash flow from operations</t>
  </si>
  <si>
    <t>Other cash flows from operations</t>
  </si>
  <si>
    <t>Other cash flows from investing</t>
  </si>
  <si>
    <t>Other cash flows from financing</t>
  </si>
  <si>
    <t>?</t>
  </si>
  <si>
    <t>Purcahses of businesses</t>
  </si>
  <si>
    <t>Non-cash expense from stock options</t>
  </si>
  <si>
    <t>Purcahses of investments</t>
  </si>
  <si>
    <t>Sales of investments</t>
  </si>
  <si>
    <t>Gain / loss on disposals</t>
  </si>
  <si>
    <t>Changes in deferred tax</t>
  </si>
  <si>
    <t>Issuance of debt</t>
  </si>
  <si>
    <t>Repayment of debt</t>
  </si>
  <si>
    <t>Changes in cash</t>
  </si>
  <si>
    <t>Probably need cash because I cannot reconcile csah &amp; ST investments</t>
  </si>
  <si>
    <t>Free cash flow</t>
  </si>
  <si>
    <t>Other current liabilities</t>
  </si>
  <si>
    <t>Other non-current liabilities</t>
  </si>
  <si>
    <t>Operating working capital</t>
  </si>
  <si>
    <t>Other short-term capital (ex cash &amp; investments)</t>
  </si>
  <si>
    <t>Forecast net non-operating WC</t>
  </si>
  <si>
    <t>Forecast net operating WC</t>
  </si>
  <si>
    <t>Operating WC / Revenue</t>
  </si>
  <si>
    <t>Non-Operating WC / Revenue</t>
  </si>
  <si>
    <t>Forecast changes in non-operating WC</t>
  </si>
  <si>
    <t>Capex (fixed assets) / Revneue</t>
  </si>
  <si>
    <t>Capex (other) / Revenue</t>
  </si>
  <si>
    <t>FCF margin</t>
  </si>
  <si>
    <t>FCF / Net income</t>
  </si>
  <si>
    <t>Average useful life of capitalised assets</t>
  </si>
  <si>
    <t>Average capex</t>
  </si>
  <si>
    <t>Annual total capex</t>
  </si>
  <si>
    <t>Capex vs Depreciation misalignment</t>
  </si>
  <si>
    <t>Forecast depreciation &amp; amortisation</t>
  </si>
  <si>
    <t>Forecast depreciation m&amp; amortisation</t>
  </si>
  <si>
    <t>Depreciation &amp; Amortisation</t>
  </si>
  <si>
    <t>Forecast fixed and intangible assets</t>
  </si>
  <si>
    <t>Total fixed and intangible assets</t>
  </si>
  <si>
    <t>Forecast total capex</t>
  </si>
  <si>
    <t>Total capex / Revenue</t>
  </si>
  <si>
    <t>Check</t>
  </si>
  <si>
    <t>Interest rate: paid</t>
  </si>
  <si>
    <t>Interest rate: earned</t>
  </si>
  <si>
    <t>proper_name</t>
  </si>
  <si>
    <t>price</t>
  </si>
  <si>
    <t>price_date</t>
  </si>
  <si>
    <t>ticker_exchange</t>
  </si>
  <si>
    <t>ticker_region</t>
  </si>
  <si>
    <t>fref_listing_exchange</t>
  </si>
  <si>
    <t>region</t>
  </si>
  <si>
    <t>l1_name</t>
  </si>
  <si>
    <t>l2_name</t>
  </si>
  <si>
    <t>fsym_primary_equity_id</t>
  </si>
  <si>
    <t>fsym_primary_listing_id</t>
  </si>
  <si>
    <t>fsym_regional_id</t>
  </si>
  <si>
    <t>fsym_security_id</t>
  </si>
  <si>
    <t>factset_entity_id</t>
  </si>
  <si>
    <t>ff_int_inc_non_oper</t>
  </si>
  <si>
    <t>Rank</t>
  </si>
  <si>
    <t>Total rows</t>
  </si>
  <si>
    <t>Used rows</t>
  </si>
  <si>
    <t>Max date</t>
  </si>
  <si>
    <t>volume</t>
  </si>
  <si>
    <t>Buffer</t>
  </si>
  <si>
    <t>Buffer size</t>
  </si>
  <si>
    <t>Shares:</t>
  </si>
  <si>
    <t>Shareholder equity</t>
  </si>
  <si>
    <t>Other liabilities</t>
  </si>
  <si>
    <t>Cash &amp; investments</t>
  </si>
  <si>
    <t>Other assets</t>
  </si>
  <si>
    <t>Pref equity</t>
  </si>
  <si>
    <t>Minorities &amp; Other</t>
  </si>
  <si>
    <t>Debt (ST &amp; LT)</t>
  </si>
  <si>
    <t>Fixed assets (incl. S/W)</t>
  </si>
  <si>
    <t>Share price currency</t>
  </si>
  <si>
    <t>share_curr_per_ff_curr</t>
  </si>
  <si>
    <t>share_curr_per_usd</t>
  </si>
  <si>
    <t>ff_curr_per_usd</t>
  </si>
  <si>
    <t>share_curr</t>
  </si>
  <si>
    <t>FORECASTS</t>
  </si>
  <si>
    <t>Operating margin (%)</t>
  </si>
  <si>
    <t>Tax rate (%)</t>
  </si>
  <si>
    <t>Net profit</t>
  </si>
  <si>
    <t>TNAV</t>
  </si>
  <si>
    <t>TNAV / share</t>
  </si>
  <si>
    <t>ROA</t>
  </si>
  <si>
    <t>Assets / share</t>
  </si>
  <si>
    <t>GROWTH RATES &amp; AVG. MARGINS</t>
  </si>
  <si>
    <t>VALUATION METRICS</t>
  </si>
  <si>
    <t>Current</t>
  </si>
  <si>
    <t>PE</t>
  </si>
  <si>
    <t>P/FCF</t>
  </si>
  <si>
    <t>P/TNAV</t>
  </si>
  <si>
    <t>FORECAST RETURNS</t>
  </si>
  <si>
    <t>Exit</t>
  </si>
  <si>
    <t>TRR</t>
  </si>
  <si>
    <t>EPS growth</t>
  </si>
  <si>
    <t>PE growth</t>
  </si>
  <si>
    <t>Dividend yield</t>
  </si>
  <si>
    <t>Exit price</t>
  </si>
  <si>
    <t>FCF/share</t>
  </si>
  <si>
    <t>TNAV/share</t>
  </si>
  <si>
    <t>Assets/share</t>
  </si>
  <si>
    <t>ROTE</t>
  </si>
  <si>
    <t>Invested Capital</t>
  </si>
  <si>
    <t>Net cash</t>
  </si>
  <si>
    <t>Net cash + investments</t>
  </si>
  <si>
    <t>ROIC</t>
  </si>
  <si>
    <t>NOPAT</t>
  </si>
  <si>
    <t>ROTA</t>
  </si>
  <si>
    <t>Financials currency</t>
  </si>
  <si>
    <t>Share price (local)</t>
  </si>
  <si>
    <t>Empty buffer</t>
  </si>
  <si>
    <t>Adjusted Price</t>
  </si>
  <si>
    <t>Date Schedule</t>
  </si>
  <si>
    <t>Today</t>
  </si>
  <si>
    <t>10 years ago</t>
  </si>
  <si>
    <t>5 years ago</t>
  </si>
  <si>
    <t>4 years time</t>
  </si>
  <si>
    <t>Valuation</t>
  </si>
  <si>
    <t>Price</t>
  </si>
  <si>
    <t>Value metric</t>
  </si>
  <si>
    <t>ROCE</t>
  </si>
  <si>
    <t>Default</t>
  </si>
  <si>
    <t>Override</t>
  </si>
  <si>
    <t>ID for share price history</t>
  </si>
  <si>
    <t>Start</t>
  </si>
  <si>
    <t>End</t>
  </si>
  <si>
    <t>Complete date series</t>
  </si>
  <si>
    <t>Days</t>
  </si>
  <si>
    <t>Daily return</t>
  </si>
  <si>
    <t>Stats</t>
  </si>
  <si>
    <t>Per Share</t>
  </si>
  <si>
    <t>Revenue/share / 10</t>
  </si>
  <si>
    <t>Payouts to shareholders</t>
  </si>
  <si>
    <t>ROCE score</t>
  </si>
  <si>
    <t>FCF yield score</t>
  </si>
  <si>
    <t>Growth score</t>
  </si>
  <si>
    <t>Helpers</t>
  </si>
  <si>
    <t>Min</t>
  </si>
  <si>
    <t>Max</t>
  </si>
  <si>
    <t>Share price:</t>
  </si>
  <si>
    <t>Financials:</t>
  </si>
  <si>
    <t>Axes</t>
  </si>
  <si>
    <t>Share price</t>
  </si>
  <si>
    <t>Axes:</t>
  </si>
  <si>
    <t>S-Curve Parameters</t>
  </si>
  <si>
    <t>Midpoint</t>
  </si>
  <si>
    <t>Stretch</t>
  </si>
  <si>
    <t>FCF Yield</t>
  </si>
  <si>
    <t>Growth Rate</t>
  </si>
  <si>
    <t>Parameters</t>
  </si>
  <si>
    <t>FCF yield</t>
  </si>
  <si>
    <t>Revenue growth</t>
  </si>
  <si>
    <t>Weight</t>
  </si>
  <si>
    <t>Data Points</t>
  </si>
  <si>
    <t>Valuation score:</t>
  </si>
  <si>
    <t>Effective date</t>
  </si>
  <si>
    <t>Buy</t>
  </si>
  <si>
    <t>Dividend</t>
  </si>
  <si>
    <t>Sell</t>
  </si>
  <si>
    <t>Cash flow</t>
  </si>
  <si>
    <t>IRR</t>
  </si>
  <si>
    <t>TRR:</t>
  </si>
  <si>
    <t>share_currency</t>
  </si>
  <si>
    <t>financials_currency</t>
  </si>
  <si>
    <t>local_currency_turnover</t>
  </si>
  <si>
    <t>local_currency_vwap</t>
  </si>
  <si>
    <t>local_return_multiplier</t>
  </si>
  <si>
    <t>s_curr_in_usd_return_multiplier</t>
  </si>
  <si>
    <t>f_curr_in_usd_return_multiplier</t>
  </si>
  <si>
    <t>s_curr_in_usd</t>
  </si>
  <si>
    <t>f_curr_in_usd</t>
  </si>
  <si>
    <t>f_in_s_return_multiplier</t>
  </si>
  <si>
    <t>fin_curr_return_multiplier</t>
  </si>
  <si>
    <t>Inputs</t>
  </si>
  <si>
    <t>Find Avg. Depr. Period</t>
  </si>
  <si>
    <t>Look Back</t>
  </si>
  <si>
    <t>Average Capex</t>
  </si>
  <si>
    <t>Capex vs Depreciation Misalignment (Geometric)</t>
  </si>
  <si>
    <t>Log Deviation</t>
  </si>
  <si>
    <t>Inflator</t>
  </si>
  <si>
    <t>Max ln(1+x) score</t>
  </si>
  <si>
    <t>Min ln(1+x) score</t>
  </si>
  <si>
    <t>Growth Rates</t>
  </si>
  <si>
    <t>Used</t>
  </si>
  <si>
    <t>Shares in issue growth</t>
  </si>
  <si>
    <t>Exit multiple</t>
  </si>
  <si>
    <t>Exit metric</t>
  </si>
  <si>
    <t>Nonlinearities</t>
  </si>
  <si>
    <t>trading_currency</t>
  </si>
  <si>
    <t>Actual name</t>
  </si>
  <si>
    <t>Index of actual name</t>
  </si>
  <si>
    <t># Matches</t>
  </si>
  <si>
    <t>Field Header</t>
  </si>
  <si>
    <t>Value</t>
  </si>
  <si>
    <t>Share Selected</t>
  </si>
  <si>
    <t>Name includes…</t>
  </si>
  <si>
    <t>co_mkt_cap_usd</t>
  </si>
  <si>
    <t>co_mkt_cap_financials_curr</t>
  </si>
  <si>
    <t>co_mkt_cap_trading_curr</t>
  </si>
  <si>
    <t>ff_is_adr</t>
  </si>
  <si>
    <t>ff_is_dually_listed</t>
  </si>
  <si>
    <t>ff_is_multi_share</t>
  </si>
  <si>
    <t>ff_share_type_secs</t>
  </si>
  <si>
    <t>first_price_date</t>
  </si>
  <si>
    <t>fref_exchange_code</t>
  </si>
  <si>
    <t>fref_security_type</t>
  </si>
  <si>
    <t>ff_id</t>
  </si>
  <si>
    <t>iso_country</t>
  </si>
  <si>
    <t>fin_curr_in_a_usd</t>
  </si>
  <si>
    <t>trading_curr_in_a_usd</t>
  </si>
  <si>
    <t>fin_curr_in_a_trading_curr</t>
  </si>
  <si>
    <t>Clip Bounds</t>
  </si>
  <si>
    <t>Item</t>
  </si>
  <si>
    <t>EBIT margin</t>
  </si>
  <si>
    <t>Payout ratio</t>
  </si>
  <si>
    <t>Interest rate spread</t>
  </si>
  <si>
    <t>Exit Price</t>
  </si>
  <si>
    <t>Other Inputs</t>
  </si>
  <si>
    <t>Reference Stuff</t>
  </si>
  <si>
    <t>Infinity</t>
  </si>
  <si>
    <t>Estimated interest-earning assets</t>
  </si>
  <si>
    <t>Estimated interest-bearing liabilities</t>
  </si>
  <si>
    <t>log</t>
  </si>
  <si>
    <t>linear</t>
  </si>
  <si>
    <t>Market cap in trading currency</t>
  </si>
  <si>
    <t>Market cap in financials currency</t>
  </si>
  <si>
    <t>Mkt cap (trading currency)</t>
  </si>
  <si>
    <t>Mkt cap (financials currency)</t>
  </si>
  <si>
    <t>pricing_id</t>
  </si>
  <si>
    <t>Valuation Multiple Interpolation</t>
  </si>
  <si>
    <t>Effective shares in issue</t>
  </si>
  <si>
    <t>Reported shares in an Effective share</t>
  </si>
  <si>
    <t>Reported shares in issue</t>
  </si>
  <si>
    <t>Revenue Growth</t>
  </si>
  <si>
    <t>Normal Operating Margin</t>
  </si>
  <si>
    <t>Tax Rate</t>
  </si>
  <si>
    <t>Capex / Revenue</t>
  </si>
  <si>
    <t>Capex</t>
  </si>
  <si>
    <t>Max terminal growth rate</t>
  </si>
  <si>
    <t>Max interim growth rate</t>
  </si>
  <si>
    <t>Min terminal growth rate</t>
  </si>
  <si>
    <t>Min interim growth rate</t>
  </si>
  <si>
    <t>Taper period (years)</t>
  </si>
  <si>
    <t>Growth in final year</t>
  </si>
  <si>
    <t>Annual taper</t>
  </si>
  <si>
    <t>Investment horizon</t>
  </si>
  <si>
    <t>years</t>
  </si>
  <si>
    <t>Revenue growth: Interim</t>
  </si>
  <si>
    <t>Revenue growth: Terminal</t>
  </si>
  <si>
    <t>Base revenue</t>
  </si>
  <si>
    <t>Forecast rev. growth - Trendline - Ante clip</t>
  </si>
  <si>
    <t>Forecast rev. growth - Trendline - Post clip</t>
  </si>
  <si>
    <t>p-value cutoff</t>
  </si>
  <si>
    <t>Forecast operating margin</t>
  </si>
  <si>
    <t>Weight of changes in working capial in FCF</t>
  </si>
  <si>
    <t>Free cash flow - actual</t>
  </si>
  <si>
    <r>
      <t xml:space="preserve">Free cash flow - discounting </t>
    </r>
    <r>
      <rPr>
        <sz val="11"/>
        <color theme="1"/>
        <rFont val="Aptos Narrow"/>
        <family val="2"/>
      </rPr>
      <t>Δ</t>
    </r>
    <r>
      <rPr>
        <sz val="11"/>
        <color theme="1"/>
        <rFont val="Aptos Narrow"/>
        <family val="2"/>
        <scheme val="minor"/>
      </rPr>
      <t>WC</t>
    </r>
  </si>
  <si>
    <t>(FCF - actual)/share</t>
  </si>
  <si>
    <t>(FCF - WCa)/share</t>
  </si>
  <si>
    <t>FCFadj/share</t>
  </si>
  <si>
    <t>Years to flatten operating margin</t>
  </si>
  <si>
    <t>Exit basis</t>
  </si>
  <si>
    <t>Normalised growth</t>
  </si>
  <si>
    <t>FCFa/share</t>
  </si>
  <si>
    <t>Capital employed</t>
  </si>
  <si>
    <t>Average capital employed</t>
  </si>
  <si>
    <t>Average invested Capital</t>
  </si>
  <si>
    <t>Operating Margin Models</t>
  </si>
  <si>
    <t>SSE</t>
  </si>
  <si>
    <t>Forecast #</t>
  </si>
  <si>
    <t>Cap</t>
  </si>
  <si>
    <t>Fadj,h</t>
  </si>
  <si>
    <t>Fadj,h-1</t>
  </si>
  <si>
    <t>Fraw,h</t>
  </si>
  <si>
    <t>Dt</t>
  </si>
  <si>
    <t>Ground level</t>
  </si>
  <si>
    <t>G</t>
  </si>
  <si>
    <t>Movement</t>
  </si>
  <si>
    <t>k</t>
  </si>
  <si>
    <t>Affinity</t>
  </si>
  <si>
    <t>Std. Dev</t>
  </si>
  <si>
    <t>Std. Dist</t>
  </si>
  <si>
    <t>Index</t>
  </si>
  <si>
    <t>Damping factor</t>
  </si>
  <si>
    <t>Weighted average</t>
  </si>
  <si>
    <t>Linear Estimation</t>
  </si>
  <si>
    <t>Slope</t>
  </si>
  <si>
    <t>Intercept</t>
  </si>
  <si>
    <t>Coefficients</t>
  </si>
  <si>
    <t>Standard errors</t>
  </si>
  <si>
    <t>r^2 / Standard error of Y estimate</t>
  </si>
  <si>
    <t>F-stat / Degrees of freedom</t>
  </si>
  <si>
    <t>SS (Regression) / SS (Residual)</t>
  </si>
  <si>
    <t>Use this?</t>
  </si>
  <si>
    <t>ETS, Resistance, and Gravity</t>
  </si>
  <si>
    <t>ETS</t>
  </si>
  <si>
    <t>GRAVITY</t>
  </si>
  <si>
    <t>Dist.</t>
  </si>
  <si>
    <t>Std. dev</t>
  </si>
  <si>
    <t>Allowed std. dev.s</t>
  </si>
  <si>
    <t>EWA &amp; Winzorised</t>
  </si>
  <si>
    <t>Winzorised OPM</t>
  </si>
  <si>
    <t>Floor</t>
  </si>
  <si>
    <t>Ceiling</t>
  </si>
  <si>
    <t>OPM is bounded by 1 at the top, which makes it like an inverted log distribution. So the input to the linear regression is ln(1-OPM).</t>
  </si>
  <si>
    <t>Useable space</t>
  </si>
  <si>
    <t>Inv. Log Est</t>
  </si>
  <si>
    <t>LOG(1-OPM)</t>
  </si>
  <si>
    <t>RAW FORECAST</t>
  </si>
  <si>
    <t>Available years</t>
  </si>
  <si>
    <t>Raw height</t>
  </si>
  <si>
    <t>Excess height</t>
  </si>
  <si>
    <t>Space used</t>
  </si>
  <si>
    <t>Attempted height</t>
  </si>
  <si>
    <t>Squished usage</t>
  </si>
  <si>
    <t>Squished excess</t>
  </si>
  <si>
    <t>Squished height</t>
  </si>
  <si>
    <t>SQUISH</t>
  </si>
  <si>
    <t>SHARE</t>
  </si>
  <si>
    <t>p</t>
  </si>
  <si>
    <t>T-statistic</t>
  </si>
  <si>
    <t>Effective</t>
  </si>
  <si>
    <t>Shares in issue</t>
  </si>
  <si>
    <t>Revenue / share</t>
  </si>
  <si>
    <t>Average shares in issue (diluted)</t>
  </si>
  <si>
    <t>Forecast growth - Actual</t>
  </si>
  <si>
    <t>Revenue adjusted for share issues</t>
  </si>
  <si>
    <t>Clipped</t>
  </si>
  <si>
    <t>Log Regression</t>
  </si>
  <si>
    <t>Slope, Intercept</t>
  </si>
  <si>
    <t>SE Slope, SE Intercept</t>
  </si>
  <si>
    <t>r^2, SE Y</t>
  </si>
  <si>
    <t>F, DF</t>
  </si>
  <si>
    <t>SS Regression, SS Residual</t>
  </si>
  <si>
    <t>Reject null</t>
  </si>
  <si>
    <t>Regression period to use</t>
  </si>
  <si>
    <t>T Slope, T Intercept</t>
  </si>
  <si>
    <t>p(Slope), p(Intercept)</t>
  </si>
  <si>
    <t>Reject null (Slope, Intercept)</t>
  </si>
  <si>
    <t>Apply Constraints</t>
  </si>
  <si>
    <t>Forecast ETS</t>
  </si>
  <si>
    <t>50% confidence interval</t>
  </si>
  <si>
    <t>ETS period to use</t>
  </si>
  <si>
    <t>ETS raw growth</t>
  </si>
  <si>
    <t>Raw terminal growth rate</t>
  </si>
  <si>
    <t>Forecast rev. growth - ETS - Ante clip</t>
  </si>
  <si>
    <t>Forecast rev. growth - ETS - Post clip</t>
  </si>
  <si>
    <t>Choose Method</t>
  </si>
  <si>
    <t>Total growth: Log regression</t>
  </si>
  <si>
    <t>Total growth: ETS</t>
  </si>
  <si>
    <t>Final decision</t>
  </si>
  <si>
    <t>Forecast rev. growth - Log regression</t>
  </si>
  <si>
    <t>Forecast rev. growth - ETS</t>
  </si>
  <si>
    <t>Alpha</t>
  </si>
  <si>
    <t>Derivatives</t>
  </si>
  <si>
    <t>Log revenue</t>
  </si>
  <si>
    <t>Std. dev.</t>
  </si>
  <si>
    <t>Mean</t>
  </si>
  <si>
    <t>Allow std. dev</t>
  </si>
  <si>
    <t>Bottom</t>
  </si>
  <si>
    <t>Top</t>
  </si>
  <si>
    <t>Delta</t>
  </si>
  <si>
    <t>Winsorized</t>
  </si>
  <si>
    <t>Exponential weights</t>
  </si>
  <si>
    <t>Weighted avg.</t>
  </si>
  <si>
    <t>Weights</t>
  </si>
  <si>
    <t>Decay</t>
  </si>
  <si>
    <t>Delta Decay</t>
  </si>
  <si>
    <t>Decayed delta</t>
  </si>
  <si>
    <t>Radius</t>
  </si>
  <si>
    <t>Winsorized decayed delta</t>
  </si>
  <si>
    <t>Forecast ETS deltas</t>
  </si>
  <si>
    <t>Σx</t>
  </si>
  <si>
    <t>Σxy</t>
  </si>
  <si>
    <t>Σy</t>
  </si>
  <si>
    <t>Σx^2</t>
  </si>
  <si>
    <t>m</t>
  </si>
  <si>
    <t>n</t>
  </si>
  <si>
    <t>b</t>
  </si>
  <si>
    <t>USD</t>
  </si>
  <si>
    <t>USA</t>
  </si>
  <si>
    <t>US</t>
  </si>
  <si>
    <t>AMER</t>
  </si>
  <si>
    <t>"As of" date</t>
  </si>
  <si>
    <t>Use only if you need to look up by name. If you already know the ff_id, use that instead in D8.</t>
  </si>
  <si>
    <t>Enter the backtest date.</t>
  </si>
  <si>
    <t>GBP</t>
  </si>
  <si>
    <t>The Trade Desk</t>
  </si>
  <si>
    <t>Trade Desk, Inc. Class A</t>
  </si>
  <si>
    <t>Class A</t>
  </si>
  <si>
    <t>P6FHDH-R</t>
  </si>
  <si>
    <t>PQ7J0D-S</t>
  </si>
  <si>
    <t>09MDTF-E</t>
  </si>
  <si>
    <t>TTD-US</t>
  </si>
  <si>
    <t>Consumer Services</t>
  </si>
  <si>
    <t>Media and Publishing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</si>
</sst>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yyyy\-mm\-dd;@"/>
    <numFmt numFmtId="165" formatCode="#,##0;[Red]\(#,##0\);&quot;-&quot;"/>
    <numFmt numFmtId="166" formatCode="0.0%"/>
    <numFmt numFmtId="167" formatCode="#,##0.0000"/>
    <numFmt numFmtId="168" formatCode="#,##0.0"/>
    <numFmt numFmtId="169" formatCode="#,##0,,&quot; M&quot;"/>
    <numFmt numFmtId="170" formatCode="\+#,##0&quot; Y&quot;;\-#,##0&quot; Y&quot;"/>
    <numFmt numFmtId="171" formatCode="#,##0,,&quot; M&quot;;[Red]\(#,##0,,&quot; M&quot;\)"/>
    <numFmt numFmtId="172" formatCode="#,##0.00;[Red]\(#,##0.00\);&quot;-&quot;"/>
    <numFmt numFmtId="173" formatCode="#,##0&quot;-year trend&quot;"/>
    <numFmt numFmtId="174" formatCode="#,##0.000"/>
    <numFmt numFmtId="175" formatCode="#,##0.000000"/>
  </numFmts>
  <fonts count="23"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i/>
      <sz val="11"/>
      <color rgb="FF7F7F7F"/>
      <name val="Aptos Narrow"/>
      <family val="2"/>
      <scheme val="minor"/>
    </font>
    <font>
      <b/>
      <sz val="11"/>
      <color theme="1"/>
      <name val="Aptos Narrow"/>
      <family val="2"/>
      <scheme val="minor"/>
    </font>
    <font>
      <sz val="8"/>
      <name val="Aptos Narrow"/>
      <family val="2"/>
      <scheme val="minor"/>
    </font>
    <font>
      <i/>
      <sz val="11"/>
      <color theme="1"/>
      <name val="Aptos Narrow"/>
      <family val="2"/>
      <scheme val="minor"/>
    </font>
    <font>
      <sz val="11"/>
      <color rgb="FF9C5700"/>
      <name val="Aptos Narrow"/>
      <family val="2"/>
      <scheme val="minor"/>
    </font>
    <font>
      <sz val="11"/>
      <color theme="1" tint="0.499984740745262"/>
      <name val="Aptos Narrow"/>
      <family val="2"/>
      <scheme val="minor"/>
    </font>
    <font>
      <sz val="11"/>
      <color theme="3" tint="9.9948118533890809E-2"/>
      <name val="Aptos Narrow"/>
      <family val="2"/>
      <scheme val="minor"/>
    </font>
    <font>
      <b/>
      <sz val="11"/>
      <color theme="3" tint="9.9948118533890809E-2"/>
      <name val="Aptos Narrow"/>
      <family val="2"/>
      <scheme val="minor"/>
    </font>
    <font>
      <b/>
      <sz val="11"/>
      <color theme="3"/>
      <name val="Aptos Narrow"/>
      <family val="2"/>
      <scheme val="minor"/>
    </font>
    <font>
      <b/>
      <u/>
      <sz val="11"/>
      <color theme="1"/>
      <name val="Aptos Narrow"/>
      <family val="2"/>
      <scheme val="minor"/>
    </font>
    <font>
      <b/>
      <sz val="11"/>
      <color theme="0"/>
      <name val="Aptos Narrow"/>
      <family val="2"/>
      <scheme val="minor"/>
    </font>
    <font>
      <sz val="11"/>
      <color theme="0"/>
      <name val="Aptos Narrow"/>
      <family val="2"/>
      <scheme val="minor"/>
    </font>
    <font>
      <u/>
      <sz val="11"/>
      <color theme="1"/>
      <name val="Aptos Narrow"/>
      <family val="2"/>
      <scheme val="minor"/>
    </font>
    <font>
      <sz val="9"/>
      <color indexed="81"/>
      <name val="Tahoma"/>
      <family val="2"/>
    </font>
    <font>
      <b/>
      <i/>
      <sz val="11"/>
      <color theme="3"/>
      <name val="Aptos Narrow"/>
      <family val="2"/>
      <scheme val="minor"/>
    </font>
    <font>
      <sz val="11"/>
      <color theme="1"/>
      <name val="Aptos Narrow"/>
      <family val="2"/>
    </font>
    <font>
      <b/>
      <sz val="11"/>
      <color theme="1" tint="0.499984740745262"/>
      <name val="Aptos Narrow"/>
      <family val="2"/>
      <scheme val="minor"/>
    </font>
    <font>
      <b/>
      <sz val="9"/>
      <color indexed="81"/>
      <name val="Tahoma"/>
      <family val="2"/>
    </font>
  </fonts>
  <fills count="9">
    <fill>
      <patternFill patternType="none"/>
    </fill>
    <fill>
      <patternFill patternType="gray125"/>
    </fill>
    <fill>
      <patternFill patternType="solid">
        <fgColor theme="0" tint="-0.14999847407452621"/>
        <bgColor indexed="64"/>
      </patternFill>
    </fill>
    <fill>
      <patternFill patternType="solid">
        <fgColor rgb="FFFFEB9C"/>
      </patternFill>
    </fill>
    <fill>
      <patternFill patternType="solid">
        <fgColor theme="0" tint="-0.14996795556505021"/>
        <bgColor indexed="64"/>
      </patternFill>
    </fill>
    <fill>
      <patternFill patternType="solid">
        <fgColor theme="3" tint="0.89996032593768116"/>
        <bgColor indexed="64"/>
      </patternFill>
    </fill>
    <fill>
      <patternFill patternType="solid">
        <fgColor theme="7"/>
      </patternFill>
    </fill>
    <fill>
      <patternFill patternType="darkDown">
        <bgColor theme="3" tint="0.499984740745262"/>
      </patternFill>
    </fill>
    <fill>
      <patternFill patternType="solid">
        <fgColor rgb="FFFFFFCC"/>
      </patternFill>
    </fill>
  </fills>
  <borders count="33">
    <border>
      <left/>
      <right/>
      <top/>
      <bottom/>
      <diagonal/>
    </border>
    <border>
      <left/>
      <right/>
      <top/>
      <bottom style="thick">
        <color theme="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right/>
      <top style="thin">
        <color indexed="64"/>
      </top>
      <bottom/>
      <diagonal/>
    </border>
    <border>
      <left/>
      <right/>
      <top style="thin">
        <color indexed="64"/>
      </top>
      <bottom style="double">
        <color indexed="64"/>
      </bottom>
      <diagonal/>
    </border>
    <border>
      <left/>
      <right style="double">
        <color auto="1"/>
      </right>
      <top/>
      <bottom/>
      <diagonal/>
    </border>
    <border>
      <left style="double">
        <color auto="1"/>
      </left>
      <right/>
      <top/>
      <bottom/>
      <diagonal/>
    </border>
    <border>
      <left/>
      <right style="double">
        <color auto="1"/>
      </right>
      <top style="thin">
        <color indexed="64"/>
      </top>
      <bottom/>
      <diagonal/>
    </border>
    <border>
      <left style="double">
        <color auto="1"/>
      </left>
      <right/>
      <top style="thin">
        <color indexed="64"/>
      </top>
      <bottom/>
      <diagonal/>
    </border>
    <border>
      <left/>
      <right style="double">
        <color auto="1"/>
      </right>
      <top style="thin">
        <color indexed="64"/>
      </top>
      <bottom style="double">
        <color indexed="64"/>
      </bottom>
      <diagonal/>
    </border>
    <border>
      <left style="double">
        <color auto="1"/>
      </left>
      <right/>
      <top style="thin">
        <color indexed="64"/>
      </top>
      <bottom style="double">
        <color indexed="64"/>
      </bottom>
      <diagonal/>
    </border>
    <border>
      <left style="double">
        <color auto="1"/>
      </left>
      <right style="thin">
        <color rgb="FF7F7F7F"/>
      </right>
      <top style="thin">
        <color rgb="FF7F7F7F"/>
      </top>
      <bottom style="thin">
        <color rgb="FF7F7F7F"/>
      </bottom>
      <diagonal/>
    </border>
    <border>
      <left/>
      <right/>
      <top style="hair">
        <color indexed="64"/>
      </top>
      <bottom/>
      <diagonal/>
    </border>
    <border>
      <left/>
      <right style="double">
        <color auto="1"/>
      </right>
      <top style="hair">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rgb="FF7F7F7F"/>
      </right>
      <top style="thin">
        <color rgb="FF7F7F7F"/>
      </top>
      <bottom style="thin">
        <color rgb="FF7F7F7F"/>
      </bottom>
      <diagonal/>
    </border>
    <border>
      <left style="thick">
        <color auto="1"/>
      </left>
      <right style="thick">
        <color auto="1"/>
      </right>
      <top style="thick">
        <color auto="1"/>
      </top>
      <bottom style="thick">
        <color auto="1"/>
      </bottom>
      <diagonal/>
    </border>
    <border>
      <left/>
      <right/>
      <top/>
      <bottom style="medium">
        <color theme="4" tint="0.39997558519241921"/>
      </bottom>
      <diagonal/>
    </border>
    <border>
      <left/>
      <right/>
      <top style="thin">
        <color indexed="64"/>
      </top>
      <bottom style="medium">
        <color indexed="64"/>
      </bottom>
      <diagonal/>
    </border>
    <border>
      <left style="double">
        <color auto="1"/>
      </left>
      <right style="thick">
        <color auto="1"/>
      </right>
      <top style="thick">
        <color auto="1"/>
      </top>
      <bottom style="thick">
        <color auto="1"/>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1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11" fillId="5" borderId="3" applyNumberFormat="0" applyAlignment="0" applyProtection="0"/>
    <xf numFmtId="0" fontId="5" fillId="0" borderId="0" applyNumberFormat="0" applyFill="0" applyBorder="0" applyAlignment="0" applyProtection="0"/>
    <xf numFmtId="165" fontId="1" fillId="0" borderId="0" applyFont="0" applyFill="0" applyBorder="0" applyAlignment="0" applyProtection="0"/>
    <xf numFmtId="0" fontId="9" fillId="3" borderId="20" applyNumberFormat="0" applyAlignment="0" applyProtection="0"/>
    <xf numFmtId="0" fontId="10" fillId="4" borderId="0" applyNumberFormat="0" applyBorder="0" applyAlignment="0" applyProtection="0"/>
    <xf numFmtId="0" fontId="13" fillId="0" borderId="21" applyNumberFormat="0" applyFill="0" applyAlignment="0" applyProtection="0"/>
    <xf numFmtId="0" fontId="16" fillId="6" borderId="0" applyNumberFormat="0" applyBorder="0" applyAlignment="0" applyProtection="0"/>
    <xf numFmtId="0" fontId="1" fillId="8" borderId="26" applyNumberFormat="0" applyFont="0" applyAlignment="0" applyProtection="0"/>
  </cellStyleXfs>
  <cellXfs count="157">
    <xf numFmtId="0" fontId="0" fillId="0" borderId="0" xfId="0"/>
    <xf numFmtId="0" fontId="6" fillId="0" borderId="0" xfId="0" applyFont="1"/>
    <xf numFmtId="4" fontId="0" fillId="0" borderId="0" xfId="0" applyNumberFormat="1"/>
    <xf numFmtId="3" fontId="0" fillId="0" borderId="0" xfId="0" applyNumberFormat="1"/>
    <xf numFmtId="164" fontId="6" fillId="0" borderId="0" xfId="0" applyNumberFormat="1" applyFont="1"/>
    <xf numFmtId="0" fontId="2" fillId="0" borderId="0" xfId="1"/>
    <xf numFmtId="0" fontId="0" fillId="0" borderId="4" xfId="0" applyBorder="1" applyAlignment="1">
      <alignment horizontal="left" indent="1"/>
    </xf>
    <xf numFmtId="0" fontId="0" fillId="0" borderId="0" xfId="0" applyAlignment="1">
      <alignment horizontal="left" indent="1"/>
    </xf>
    <xf numFmtId="165" fontId="0" fillId="0" borderId="0" xfId="0" applyNumberFormat="1"/>
    <xf numFmtId="165" fontId="0" fillId="0" borderId="4" xfId="0" applyNumberFormat="1" applyBorder="1"/>
    <xf numFmtId="0" fontId="0" fillId="0" borderId="5" xfId="0" applyBorder="1" applyAlignment="1">
      <alignment horizontal="left" indent="1"/>
    </xf>
    <xf numFmtId="165" fontId="0" fillId="0" borderId="5" xfId="0" applyNumberFormat="1" applyBorder="1"/>
    <xf numFmtId="0" fontId="3" fillId="0" borderId="1" xfId="2"/>
    <xf numFmtId="166" fontId="0" fillId="0" borderId="0" xfId="0" applyNumberFormat="1"/>
    <xf numFmtId="0" fontId="4" fillId="0" borderId="2" xfId="3"/>
    <xf numFmtId="0" fontId="5" fillId="0" borderId="0" xfId="5"/>
    <xf numFmtId="166" fontId="11" fillId="5" borderId="3" xfId="4" applyNumberFormat="1"/>
    <xf numFmtId="0" fontId="0" fillId="0" borderId="6" xfId="0" applyBorder="1"/>
    <xf numFmtId="0" fontId="0" fillId="0" borderId="7" xfId="0" applyBorder="1"/>
    <xf numFmtId="0" fontId="5" fillId="0" borderId="6" xfId="5" applyBorder="1"/>
    <xf numFmtId="0" fontId="5" fillId="0" borderId="7" xfId="5" applyBorder="1"/>
    <xf numFmtId="164" fontId="6" fillId="0" borderId="6" xfId="0" applyNumberFormat="1" applyFont="1" applyBorder="1"/>
    <xf numFmtId="164" fontId="6" fillId="0" borderId="7" xfId="0" applyNumberFormat="1" applyFont="1" applyBorder="1"/>
    <xf numFmtId="165" fontId="0" fillId="0" borderId="6" xfId="0" applyNumberFormat="1" applyBorder="1"/>
    <xf numFmtId="165" fontId="0" fillId="0" borderId="7" xfId="0" applyNumberFormat="1" applyBorder="1"/>
    <xf numFmtId="165" fontId="0" fillId="0" borderId="8" xfId="0" applyNumberFormat="1" applyBorder="1"/>
    <xf numFmtId="165" fontId="0" fillId="0" borderId="9" xfId="0" applyNumberFormat="1" applyBorder="1"/>
    <xf numFmtId="165" fontId="0" fillId="0" borderId="10" xfId="0" applyNumberFormat="1" applyBorder="1"/>
    <xf numFmtId="165" fontId="0" fillId="0" borderId="11" xfId="0" applyNumberFormat="1" applyBorder="1"/>
    <xf numFmtId="3" fontId="0" fillId="0" borderId="6" xfId="0" applyNumberFormat="1" applyBorder="1"/>
    <xf numFmtId="3" fontId="0" fillId="0" borderId="7" xfId="0" applyNumberFormat="1" applyBorder="1"/>
    <xf numFmtId="4" fontId="0" fillId="0" borderId="6" xfId="0" applyNumberFormat="1" applyBorder="1"/>
    <xf numFmtId="4" fontId="0" fillId="0" borderId="7" xfId="0" applyNumberFormat="1" applyBorder="1"/>
    <xf numFmtId="166" fontId="0" fillId="0" borderId="6" xfId="0" applyNumberFormat="1" applyBorder="1"/>
    <xf numFmtId="166" fontId="0" fillId="0" borderId="7" xfId="0" applyNumberFormat="1" applyBorder="1"/>
    <xf numFmtId="0" fontId="8" fillId="0" borderId="0" xfId="0" applyFont="1"/>
    <xf numFmtId="0" fontId="0" fillId="0" borderId="5" xfId="0" applyBorder="1" applyAlignment="1">
      <alignment horizontal="left" indent="2"/>
    </xf>
    <xf numFmtId="0" fontId="8" fillId="2" borderId="0" xfId="0" applyFont="1" applyFill="1"/>
    <xf numFmtId="165" fontId="0" fillId="2" borderId="0" xfId="0" applyNumberFormat="1" applyFill="1"/>
    <xf numFmtId="165" fontId="0" fillId="2" borderId="6" xfId="0" applyNumberFormat="1" applyFill="1" applyBorder="1"/>
    <xf numFmtId="165" fontId="0" fillId="2" borderId="7" xfId="0" applyNumberFormat="1" applyFill="1" applyBorder="1"/>
    <xf numFmtId="0" fontId="0" fillId="2" borderId="0" xfId="0" applyFill="1" applyAlignment="1">
      <alignment horizontal="left" indent="1"/>
    </xf>
    <xf numFmtId="0" fontId="0" fillId="0" borderId="13" xfId="0" applyBorder="1" applyAlignment="1">
      <alignment horizontal="left" indent="2"/>
    </xf>
    <xf numFmtId="165" fontId="0" fillId="0" borderId="13" xfId="0" applyNumberFormat="1" applyBorder="1"/>
    <xf numFmtId="165" fontId="0" fillId="0" borderId="14" xfId="0" applyNumberFormat="1" applyBorder="1"/>
    <xf numFmtId="165" fontId="0" fillId="0" borderId="0" xfId="6" applyFont="1"/>
    <xf numFmtId="165" fontId="0" fillId="0" borderId="6" xfId="6" applyFont="1" applyBorder="1"/>
    <xf numFmtId="165" fontId="0" fillId="0" borderId="7" xfId="6" applyFont="1" applyBorder="1"/>
    <xf numFmtId="165" fontId="8" fillId="0" borderId="0" xfId="6" applyFont="1"/>
    <xf numFmtId="165" fontId="8" fillId="0" borderId="6" xfId="6" applyFont="1" applyBorder="1"/>
    <xf numFmtId="165" fontId="8" fillId="0" borderId="7" xfId="6" applyFont="1" applyBorder="1"/>
    <xf numFmtId="164" fontId="0" fillId="0" borderId="0" xfId="0" applyNumberFormat="1"/>
    <xf numFmtId="14" fontId="0" fillId="0" borderId="0" xfId="0" applyNumberFormat="1"/>
    <xf numFmtId="0" fontId="11" fillId="5" borderId="3" xfId="4" applyAlignment="1">
      <alignment horizontal="right"/>
    </xf>
    <xf numFmtId="0" fontId="0" fillId="0" borderId="0" xfId="0" applyAlignment="1">
      <alignment horizontal="right"/>
    </xf>
    <xf numFmtId="3" fontId="0" fillId="0" borderId="0" xfId="0" applyNumberFormat="1" applyAlignment="1">
      <alignment horizontal="right"/>
    </xf>
    <xf numFmtId="167" fontId="0" fillId="0" borderId="0" xfId="0" applyNumberFormat="1" applyAlignment="1">
      <alignment horizontal="right"/>
    </xf>
    <xf numFmtId="167" fontId="0" fillId="0" borderId="0" xfId="0" applyNumberFormat="1"/>
    <xf numFmtId="0" fontId="10" fillId="4" borderId="0" xfId="8"/>
    <xf numFmtId="165" fontId="10" fillId="4" borderId="0" xfId="8" applyNumberFormat="1"/>
    <xf numFmtId="165" fontId="0" fillId="0" borderId="0" xfId="6" applyFont="1" applyBorder="1"/>
    <xf numFmtId="22" fontId="0" fillId="0" borderId="0" xfId="0" applyNumberFormat="1"/>
    <xf numFmtId="9" fontId="0" fillId="0" borderId="15" xfId="0" applyNumberFormat="1" applyBorder="1"/>
    <xf numFmtId="9" fontId="0" fillId="0" borderId="16" xfId="0" applyNumberFormat="1" applyBorder="1"/>
    <xf numFmtId="166" fontId="0" fillId="0" borderId="0" xfId="6" applyNumberFormat="1" applyFont="1"/>
    <xf numFmtId="4" fontId="0" fillId="0" borderId="0" xfId="6" applyNumberFormat="1" applyFont="1"/>
    <xf numFmtId="9" fontId="0" fillId="0" borderId="0" xfId="6" applyNumberFormat="1" applyFont="1"/>
    <xf numFmtId="168" fontId="0" fillId="0" borderId="0" xfId="0" applyNumberFormat="1"/>
    <xf numFmtId="166" fontId="11" fillId="5" borderId="19" xfId="4" applyNumberFormat="1" applyBorder="1"/>
    <xf numFmtId="166" fontId="11" fillId="5" borderId="18" xfId="4" applyNumberFormat="1" applyBorder="1"/>
    <xf numFmtId="169" fontId="0" fillId="0" borderId="0" xfId="0" applyNumberFormat="1"/>
    <xf numFmtId="168" fontId="0" fillId="0" borderId="6" xfId="0" applyNumberFormat="1" applyBorder="1"/>
    <xf numFmtId="0" fontId="13" fillId="0" borderId="21" xfId="9" applyAlignment="1">
      <alignment horizontal="right"/>
    </xf>
    <xf numFmtId="0" fontId="13" fillId="0" borderId="21" xfId="9"/>
    <xf numFmtId="164" fontId="14" fillId="0" borderId="0" xfId="0" applyNumberFormat="1" applyFont="1"/>
    <xf numFmtId="0" fontId="14" fillId="0" borderId="0" xfId="0" applyFont="1"/>
    <xf numFmtId="167" fontId="14" fillId="0" borderId="0" xfId="0" applyNumberFormat="1" applyFont="1"/>
    <xf numFmtId="4" fontId="14" fillId="0" borderId="0" xfId="0" applyNumberFormat="1" applyFont="1"/>
    <xf numFmtId="166" fontId="10" fillId="4" borderId="0" xfId="8" applyNumberFormat="1"/>
    <xf numFmtId="4" fontId="17" fillId="0" borderId="0" xfId="0" applyNumberFormat="1" applyFont="1"/>
    <xf numFmtId="0" fontId="17" fillId="0" borderId="0" xfId="0" applyFont="1"/>
    <xf numFmtId="9" fontId="0" fillId="0" borderId="0" xfId="0" applyNumberFormat="1"/>
    <xf numFmtId="4" fontId="0" fillId="0" borderId="0" xfId="0" applyNumberFormat="1" applyAlignment="1">
      <alignment horizontal="left" indent="1"/>
    </xf>
    <xf numFmtId="9" fontId="0" fillId="0" borderId="6" xfId="0" applyNumberFormat="1" applyBorder="1"/>
    <xf numFmtId="0" fontId="0" fillId="0" borderId="0" xfId="0" applyAlignment="1">
      <alignment horizontal="center"/>
    </xf>
    <xf numFmtId="0" fontId="17" fillId="0" borderId="0" xfId="0" applyFont="1" applyAlignment="1">
      <alignment horizontal="center"/>
    </xf>
    <xf numFmtId="168" fontId="0" fillId="0" borderId="22" xfId="0" applyNumberFormat="1" applyBorder="1"/>
    <xf numFmtId="0" fontId="14" fillId="0" borderId="0" xfId="0" applyFont="1" applyAlignment="1">
      <alignment horizontal="center"/>
    </xf>
    <xf numFmtId="168" fontId="0" fillId="0" borderId="7" xfId="0" applyNumberFormat="1" applyBorder="1"/>
    <xf numFmtId="9" fontId="0" fillId="0" borderId="17" xfId="0" applyNumberFormat="1" applyBorder="1"/>
    <xf numFmtId="9" fontId="16" fillId="6" borderId="0" xfId="10" applyNumberFormat="1"/>
    <xf numFmtId="168" fontId="15" fillId="6" borderId="0" xfId="10" applyNumberFormat="1" applyFont="1"/>
    <xf numFmtId="9" fontId="15" fillId="6" borderId="0" xfId="10" applyNumberFormat="1" applyFont="1"/>
    <xf numFmtId="0" fontId="16" fillId="6" borderId="0" xfId="10"/>
    <xf numFmtId="165" fontId="0" fillId="0" borderId="5" xfId="6" applyFont="1" applyBorder="1"/>
    <xf numFmtId="166" fontId="6" fillId="0" borderId="0" xfId="0" applyNumberFormat="1" applyFont="1"/>
    <xf numFmtId="3" fontId="11" fillId="5" borderId="12" xfId="4" applyNumberFormat="1" applyBorder="1"/>
    <xf numFmtId="4" fontId="11" fillId="5" borderId="3" xfId="4" applyNumberFormat="1"/>
    <xf numFmtId="3" fontId="11" fillId="5" borderId="3" xfId="4" applyNumberFormat="1"/>
    <xf numFmtId="170" fontId="6" fillId="0" borderId="0" xfId="0" quotePrefix="1" applyNumberFormat="1" applyFont="1" applyAlignment="1">
      <alignment horizontal="right"/>
    </xf>
    <xf numFmtId="166" fontId="17" fillId="0" borderId="0" xfId="0" applyNumberFormat="1" applyFont="1"/>
    <xf numFmtId="0" fontId="0" fillId="7" borderId="0" xfId="0" applyFill="1"/>
    <xf numFmtId="0" fontId="0" fillId="7" borderId="6" xfId="0" applyFill="1" applyBorder="1"/>
    <xf numFmtId="0" fontId="0" fillId="7" borderId="7" xfId="0" applyFill="1" applyBorder="1"/>
    <xf numFmtId="9" fontId="0" fillId="0" borderId="7" xfId="0" applyNumberFormat="1" applyBorder="1"/>
    <xf numFmtId="166" fontId="9" fillId="3" borderId="23" xfId="7" applyNumberFormat="1" applyBorder="1"/>
    <xf numFmtId="168" fontId="0" fillId="0" borderId="24" xfId="0" applyNumberFormat="1" applyBorder="1"/>
    <xf numFmtId="168" fontId="0" fillId="0" borderId="25" xfId="0" applyNumberFormat="1" applyBorder="1"/>
    <xf numFmtId="164" fontId="0" fillId="0" borderId="0" xfId="0" applyNumberFormat="1" applyAlignment="1">
      <alignment horizontal="right"/>
    </xf>
    <xf numFmtId="168" fontId="12" fillId="5" borderId="3" xfId="4" applyNumberFormat="1" applyFont="1"/>
    <xf numFmtId="0" fontId="11" fillId="5" borderId="3" xfId="4" applyAlignment="1">
      <alignment horizontal="left"/>
    </xf>
    <xf numFmtId="167" fontId="3" fillId="0" borderId="1" xfId="2" applyNumberFormat="1" applyAlignment="1">
      <alignment horizontal="right"/>
    </xf>
    <xf numFmtId="167" fontId="4" fillId="0" borderId="2" xfId="3" applyNumberFormat="1" applyAlignment="1">
      <alignment horizontal="right"/>
    </xf>
    <xf numFmtId="9" fontId="11" fillId="5" borderId="3" xfId="4" applyNumberFormat="1"/>
    <xf numFmtId="164" fontId="9" fillId="3" borderId="20" xfId="7" applyNumberFormat="1"/>
    <xf numFmtId="0" fontId="11" fillId="5" borderId="3" xfId="4" applyNumberFormat="1"/>
    <xf numFmtId="166" fontId="9" fillId="3" borderId="20" xfId="7" applyNumberFormat="1"/>
    <xf numFmtId="165" fontId="9" fillId="3" borderId="20" xfId="7" applyNumberFormat="1"/>
    <xf numFmtId="4" fontId="9" fillId="3" borderId="20" xfId="7" applyNumberFormat="1"/>
    <xf numFmtId="171" fontId="0" fillId="0" borderId="0" xfId="0" applyNumberFormat="1"/>
    <xf numFmtId="0" fontId="19" fillId="8" borderId="26" xfId="11" applyFont="1"/>
    <xf numFmtId="172" fontId="0" fillId="0" borderId="0" xfId="6" applyNumberFormat="1" applyFont="1"/>
    <xf numFmtId="172" fontId="0" fillId="0" borderId="22" xfId="6" applyNumberFormat="1" applyFont="1" applyBorder="1"/>
    <xf numFmtId="173" fontId="0" fillId="0" borderId="0" xfId="0" applyNumberFormat="1"/>
    <xf numFmtId="3" fontId="9" fillId="3" borderId="20" xfId="7" applyNumberFormat="1"/>
    <xf numFmtId="9" fontId="9" fillId="3" borderId="23" xfId="7" applyNumberFormat="1" applyBorder="1"/>
    <xf numFmtId="166" fontId="10" fillId="4" borderId="6" xfId="8" applyNumberFormat="1" applyBorder="1"/>
    <xf numFmtId="0" fontId="10" fillId="4" borderId="0" xfId="8" applyBorder="1"/>
    <xf numFmtId="9" fontId="9" fillId="3" borderId="20" xfId="7" applyNumberFormat="1"/>
    <xf numFmtId="173" fontId="4" fillId="0" borderId="2" xfId="3" applyNumberFormat="1"/>
    <xf numFmtId="174" fontId="0" fillId="0" borderId="0" xfId="0" applyNumberFormat="1"/>
    <xf numFmtId="0" fontId="21" fillId="4" borderId="0" xfId="8" applyFont="1"/>
    <xf numFmtId="173" fontId="6" fillId="0" borderId="0" xfId="0" applyNumberFormat="1" applyFont="1"/>
    <xf numFmtId="9" fontId="6" fillId="0" borderId="0" xfId="0" applyNumberFormat="1" applyFont="1"/>
    <xf numFmtId="9" fontId="6" fillId="0" borderId="6" xfId="0" applyNumberFormat="1" applyFont="1" applyBorder="1"/>
    <xf numFmtId="0" fontId="6" fillId="0" borderId="7" xfId="0" applyFont="1" applyBorder="1"/>
    <xf numFmtId="4" fontId="0" fillId="2" borderId="7" xfId="0" applyNumberFormat="1" applyFill="1" applyBorder="1"/>
    <xf numFmtId="4" fontId="0" fillId="2" borderId="0" xfId="0" applyNumberFormat="1" applyFill="1"/>
    <xf numFmtId="3" fontId="0" fillId="0" borderId="6" xfId="6" applyNumberFormat="1" applyFont="1" applyBorder="1"/>
    <xf numFmtId="3" fontId="0" fillId="0" borderId="0" xfId="6" applyNumberFormat="1" applyFont="1"/>
    <xf numFmtId="174" fontId="0" fillId="0" borderId="27" xfId="0" applyNumberFormat="1" applyBorder="1"/>
    <xf numFmtId="174" fontId="0" fillId="0" borderId="28" xfId="0" applyNumberFormat="1" applyBorder="1"/>
    <xf numFmtId="174" fontId="0" fillId="0" borderId="29" xfId="0" applyNumberFormat="1" applyBorder="1"/>
    <xf numFmtId="174" fontId="0" fillId="0" borderId="30" xfId="0" applyNumberFormat="1" applyBorder="1"/>
    <xf numFmtId="3" fontId="0" fillId="0" borderId="30" xfId="0" applyNumberFormat="1" applyBorder="1"/>
    <xf numFmtId="174" fontId="0" fillId="0" borderId="31" xfId="0" applyNumberFormat="1" applyBorder="1"/>
    <xf numFmtId="174" fontId="0" fillId="0" borderId="32" xfId="0" applyNumberFormat="1" applyBorder="1"/>
    <xf numFmtId="175" fontId="0" fillId="0" borderId="0" xfId="0" applyNumberFormat="1"/>
    <xf numFmtId="174" fontId="0" fillId="0" borderId="6" xfId="0" applyNumberFormat="1" applyBorder="1"/>
    <xf numFmtId="167" fontId="0" fillId="0" borderId="0" xfId="6" applyNumberFormat="1" applyFont="1"/>
    <xf numFmtId="164" fontId="11" fillId="5" borderId="3" xfId="4" applyNumberFormat="1"/>
    <xf numFmtId="0" fontId="0" fillId="8" borderId="26" xfId="11" applyFont="1" applyAlignment="1">
      <alignment horizontal="left"/>
    </xf>
    <xf numFmtId="168" fontId="10" fillId="4" borderId="0" xfId="8" applyNumberFormat="1"/>
    <xf numFmtId="9" fontId="14" fillId="0" borderId="0" xfId="0" applyNumberFormat="1" applyFont="1" applyAlignment="1">
      <alignment horizontal="center"/>
    </xf>
    <xf numFmtId="0" fontId="6" fillId="0" borderId="0" xfId="0" applyFont="1" applyAlignment="1">
      <alignment horizontal="center"/>
    </xf>
    <xf numFmtId="0" fontId="14" fillId="0" borderId="0" xfId="0" applyFont="1" applyAlignment="1">
      <alignment horizontal="center"/>
    </xf>
    <xf numFmtId="0" fontId="0" fillId="0" borderId="0" xfId="0" applyNumberFormat="1"/>
  </cellXfs>
  <cellStyles count="12">
    <cellStyle name="Accent4" xfId="10" builtinId="41"/>
    <cellStyle name="Accounting" xfId="6" xr:uid="{F446FA1E-DC77-4F3D-B13B-DDC5B5675215}"/>
    <cellStyle name="Explanatory Text" xfId="5" builtinId="53"/>
    <cellStyle name="Heading 1" xfId="2" builtinId="16"/>
    <cellStyle name="Heading 2" xfId="3" builtinId="17"/>
    <cellStyle name="Heading 3" xfId="9" builtinId="18"/>
    <cellStyle name="Input" xfId="4" builtinId="20" customBuiltin="1"/>
    <cellStyle name="Neutral" xfId="7" builtinId="28" customBuiltin="1"/>
    <cellStyle name="Normal" xfId="0" builtinId="0"/>
    <cellStyle name="Note" xfId="11" builtinId="10"/>
    <cellStyle name="Reference" xfId="8" xr:uid="{DE69DFD0-B183-471E-96D7-FBC2EE370D69}"/>
    <cellStyle name="Title" xfId="1" builtinId="15"/>
  </cellStyles>
  <dxfs count="31">
    <dxf>
      <numFmt numFmtId="0" formatCode="General"/>
    </dxf>
    <dxf>
      <numFmt numFmtId="0" formatCode="General"/>
    </dxf>
    <dxf>
      <numFmt numFmtId="0" formatCode="General"/>
    </dxf>
    <dxf>
      <numFmt numFmtId="19" formatCode="dd/mm/yyyy"/>
    </dxf>
    <dxf>
      <numFmt numFmtId="0" formatCode="General"/>
    </dxf>
    <dxf>
      <numFmt numFmtId="27" formatCode="dd/mm/yyyy\ hh:mm"/>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27" formatCode="dd/mm/yyyy\ hh:mm"/>
    </dxf>
    <dxf>
      <numFmt numFmtId="27" formatCode="dd/mm/yyyy\ hh:mm"/>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1"/>
          <c:order val="1"/>
          <c:tx>
            <c:strRef>
              <c:f>'Income statement'!$B$83</c:f>
              <c:strCache>
                <c:ptCount val="1"/>
                <c:pt idx="0">
                  <c:v>EPS</c:v>
                </c:pt>
              </c:strCache>
            </c:strRef>
          </c:tx>
          <c:spPr>
            <a:solidFill>
              <a:schemeClr val="accent2">
                <a:lumMod val="20000"/>
                <a:lumOff val="80000"/>
              </a:schemeClr>
            </a:solidFill>
            <a:ln>
              <a:noFill/>
            </a:ln>
            <a:effectLst/>
          </c:spPr>
          <c:invertIfNegative val="0"/>
          <c:dPt>
            <c:idx val="0"/>
            <c:invertIfNegative val="0"/>
            <c:bubble3D val="0"/>
            <c:extLst>
              <c:ext xmlns:c16="http://schemas.microsoft.com/office/drawing/2014/chart" uri="{C3380CC4-5D6E-409C-BE32-E72D297353CC}">
                <c16:uniqueId val="{00000000-7954-43A1-AC6F-913583033750}"/>
              </c:ext>
            </c:extLst>
          </c:dPt>
          <c:cat>
            <c:numRef>
              <c:f>'For chart'!$C$18:$V$18</c:f>
              <c:numCache>
                <c:formatCode>yyyy\-mm\-dd;@</c:formatCode>
                <c:ptCount val="20"/>
                <c:pt idx="0">
                  <c:v>0</c:v>
                </c:pt>
                <c:pt idx="1">
                  <c:v>0</c:v>
                </c:pt>
                <c:pt idx="2">
                  <c:v>0</c:v>
                </c:pt>
                <c:pt idx="3">
                  <c:v>0</c:v>
                </c:pt>
                <c:pt idx="4">
                  <c:v>0</c:v>
                </c:pt>
                <c:pt idx="5">
                  <c:v>0</c:v>
                </c:pt>
                <c:pt idx="6">
                  <c:v>0</c:v>
                </c:pt>
                <c:pt idx="7">
                  <c:v>0</c:v>
                </c:pt>
                <c:pt idx="8">
                  <c:v>0</c:v>
                </c:pt>
                <c:pt idx="9">
                  <c:v>42004</c:v>
                </c:pt>
                <c:pt idx="10">
                  <c:v>42369</c:v>
                </c:pt>
                <c:pt idx="11">
                  <c:v>42735</c:v>
                </c:pt>
                <c:pt idx="12">
                  <c:v>43100</c:v>
                </c:pt>
                <c:pt idx="13">
                  <c:v>43465</c:v>
                </c:pt>
                <c:pt idx="14">
                  <c:v>43830</c:v>
                </c:pt>
                <c:pt idx="15">
                  <c:v>44196</c:v>
                </c:pt>
                <c:pt idx="16">
                  <c:v>44561</c:v>
                </c:pt>
                <c:pt idx="17">
                  <c:v>44926</c:v>
                </c:pt>
                <c:pt idx="18">
                  <c:v>45291</c:v>
                </c:pt>
                <c:pt idx="19">
                  <c:v>45657</c:v>
                </c:pt>
              </c:numCache>
            </c:numRef>
          </c:cat>
          <c:val>
            <c:numRef>
              <c:f>'Income statement'!$C$83:$V$83</c:f>
              <c:numCache>
                <c:formatCode>#,##0.00</c:formatCode>
                <c:ptCount val="20"/>
                <c:pt idx="0">
                  <c:v>0</c:v>
                </c:pt>
                <c:pt idx="1">
                  <c:v>0</c:v>
                </c:pt>
                <c:pt idx="2">
                  <c:v>0</c:v>
                </c:pt>
                <c:pt idx="3">
                  <c:v>0</c:v>
                </c:pt>
                <c:pt idx="4">
                  <c:v>0</c:v>
                </c:pt>
                <c:pt idx="5">
                  <c:v>0</c:v>
                </c:pt>
                <c:pt idx="6">
                  <c:v>0</c:v>
                </c:pt>
                <c:pt idx="7">
                  <c:v>0</c:v>
                </c:pt>
                <c:pt idx="8">
                  <c:v>0</c:v>
                </c:pt>
                <c:pt idx="9">
                  <c:v>0</c:v>
                </c:pt>
                <c:pt idx="10">
                  <c:v>1.6799999999999999E-2</c:v>
                </c:pt>
                <c:pt idx="11">
                  <c:v>-0.14599999999999999</c:v>
                </c:pt>
                <c:pt idx="12">
                  <c:v>0.115</c:v>
                </c:pt>
                <c:pt idx="13">
                  <c:v>0.1925</c:v>
                </c:pt>
                <c:pt idx="14">
                  <c:v>0.2266</c:v>
                </c:pt>
                <c:pt idx="15">
                  <c:v>0.49459999999999998</c:v>
                </c:pt>
                <c:pt idx="16">
                  <c:v>0.27629999999999999</c:v>
                </c:pt>
                <c:pt idx="17">
                  <c:v>0.10680000000000001</c:v>
                </c:pt>
                <c:pt idx="18">
                  <c:v>0.35780000000000001</c:v>
                </c:pt>
                <c:pt idx="19">
                  <c:v>0.78310000000000002</c:v>
                </c:pt>
              </c:numCache>
            </c:numRef>
          </c:val>
          <c:extLst>
            <c:ext xmlns:c16="http://schemas.microsoft.com/office/drawing/2014/chart" uri="{C3380CC4-5D6E-409C-BE32-E72D297353CC}">
              <c16:uniqueId val="{00000001-8D5A-4E55-85E8-D71751067242}"/>
            </c:ext>
          </c:extLst>
        </c:ser>
        <c:ser>
          <c:idx val="2"/>
          <c:order val="2"/>
          <c:tx>
            <c:strRef>
              <c:f>'Income statement'!$B$86</c:f>
              <c:strCache>
                <c:ptCount val="1"/>
                <c:pt idx="0">
                  <c:v>(FCF - WCa)/share</c:v>
                </c:pt>
              </c:strCache>
            </c:strRef>
          </c:tx>
          <c:spPr>
            <a:solidFill>
              <a:srgbClr val="FFFF99"/>
            </a:solidFill>
            <a:ln>
              <a:noFill/>
            </a:ln>
            <a:effectLst/>
          </c:spPr>
          <c:invertIfNegative val="0"/>
          <c:cat>
            <c:numRef>
              <c:f>'For chart'!$C$18:$V$18</c:f>
              <c:numCache>
                <c:formatCode>yyyy\-mm\-dd;@</c:formatCode>
                <c:ptCount val="20"/>
                <c:pt idx="0">
                  <c:v>0</c:v>
                </c:pt>
                <c:pt idx="1">
                  <c:v>0</c:v>
                </c:pt>
                <c:pt idx="2">
                  <c:v>0</c:v>
                </c:pt>
                <c:pt idx="3">
                  <c:v>0</c:v>
                </c:pt>
                <c:pt idx="4">
                  <c:v>0</c:v>
                </c:pt>
                <c:pt idx="5">
                  <c:v>0</c:v>
                </c:pt>
                <c:pt idx="6">
                  <c:v>0</c:v>
                </c:pt>
                <c:pt idx="7">
                  <c:v>0</c:v>
                </c:pt>
                <c:pt idx="8">
                  <c:v>0</c:v>
                </c:pt>
                <c:pt idx="9">
                  <c:v>42004</c:v>
                </c:pt>
                <c:pt idx="10">
                  <c:v>42369</c:v>
                </c:pt>
                <c:pt idx="11">
                  <c:v>42735</c:v>
                </c:pt>
                <c:pt idx="12">
                  <c:v>43100</c:v>
                </c:pt>
                <c:pt idx="13">
                  <c:v>43465</c:v>
                </c:pt>
                <c:pt idx="14">
                  <c:v>43830</c:v>
                </c:pt>
                <c:pt idx="15">
                  <c:v>44196</c:v>
                </c:pt>
                <c:pt idx="16">
                  <c:v>44561</c:v>
                </c:pt>
                <c:pt idx="17">
                  <c:v>44926</c:v>
                </c:pt>
                <c:pt idx="18">
                  <c:v>45291</c:v>
                </c:pt>
                <c:pt idx="19">
                  <c:v>45657</c:v>
                </c:pt>
              </c:numCache>
            </c:numRef>
          </c:cat>
          <c:val>
            <c:numRef>
              <c:f>'Income statement'!$C$86:$V$86</c:f>
              <c:numCache>
                <c:formatCode>#,##0.00</c:formatCode>
                <c:ptCount val="20"/>
                <c:pt idx="1">
                  <c:v>0</c:v>
                </c:pt>
                <c:pt idx="2">
                  <c:v>0</c:v>
                </c:pt>
                <c:pt idx="3">
                  <c:v>0</c:v>
                </c:pt>
                <c:pt idx="4">
                  <c:v>0</c:v>
                </c:pt>
                <c:pt idx="5">
                  <c:v>0</c:v>
                </c:pt>
                <c:pt idx="6">
                  <c:v>0</c:v>
                </c:pt>
                <c:pt idx="7">
                  <c:v>0</c:v>
                </c:pt>
                <c:pt idx="8">
                  <c:v>0</c:v>
                </c:pt>
                <c:pt idx="9">
                  <c:v>0</c:v>
                </c:pt>
                <c:pt idx="10">
                  <c:v>0.16695929264286571</c:v>
                </c:pt>
                <c:pt idx="11">
                  <c:v>3.8243960631530009E-2</c:v>
                </c:pt>
                <c:pt idx="12">
                  <c:v>0.34440531955852166</c:v>
                </c:pt>
                <c:pt idx="13">
                  <c:v>0.35379970839964814</c:v>
                </c:pt>
                <c:pt idx="14">
                  <c:v>0.60129007788544753</c:v>
                </c:pt>
                <c:pt idx="15">
                  <c:v>0.54425532574333113</c:v>
                </c:pt>
                <c:pt idx="16">
                  <c:v>1.1803671516157102</c:v>
                </c:pt>
                <c:pt idx="17">
                  <c:v>1.2700595413960429</c:v>
                </c:pt>
                <c:pt idx="18">
                  <c:v>1.4474696207505797</c:v>
                </c:pt>
                <c:pt idx="19">
                  <c:v>1.8985541449706913</c:v>
                </c:pt>
              </c:numCache>
            </c:numRef>
          </c:val>
          <c:extLst>
            <c:ext xmlns:c16="http://schemas.microsoft.com/office/drawing/2014/chart" uri="{C3380CC4-5D6E-409C-BE32-E72D297353CC}">
              <c16:uniqueId val="{00000002-8D5A-4E55-85E8-D71751067242}"/>
            </c:ext>
          </c:extLst>
        </c:ser>
        <c:ser>
          <c:idx val="3"/>
          <c:order val="3"/>
          <c:tx>
            <c:strRef>
              <c:f>'Income statement'!$B$88</c:f>
              <c:strCache>
                <c:ptCount val="1"/>
                <c:pt idx="0">
                  <c:v>Payouts to shareholders</c:v>
                </c:pt>
              </c:strCache>
            </c:strRef>
          </c:tx>
          <c:spPr>
            <a:solidFill>
              <a:schemeClr val="accent1">
                <a:lumMod val="20000"/>
                <a:lumOff val="80000"/>
              </a:schemeClr>
            </a:solidFill>
            <a:ln>
              <a:noFill/>
            </a:ln>
            <a:effectLst/>
          </c:spPr>
          <c:invertIfNegative val="0"/>
          <c:cat>
            <c:numRef>
              <c:f>'For chart'!$C$18:$V$18</c:f>
              <c:numCache>
                <c:formatCode>yyyy\-mm\-dd;@</c:formatCode>
                <c:ptCount val="20"/>
                <c:pt idx="0">
                  <c:v>0</c:v>
                </c:pt>
                <c:pt idx="1">
                  <c:v>0</c:v>
                </c:pt>
                <c:pt idx="2">
                  <c:v>0</c:v>
                </c:pt>
                <c:pt idx="3">
                  <c:v>0</c:v>
                </c:pt>
                <c:pt idx="4">
                  <c:v>0</c:v>
                </c:pt>
                <c:pt idx="5">
                  <c:v>0</c:v>
                </c:pt>
                <c:pt idx="6">
                  <c:v>0</c:v>
                </c:pt>
                <c:pt idx="7">
                  <c:v>0</c:v>
                </c:pt>
                <c:pt idx="8">
                  <c:v>0</c:v>
                </c:pt>
                <c:pt idx="9">
                  <c:v>42004</c:v>
                </c:pt>
                <c:pt idx="10">
                  <c:v>42369</c:v>
                </c:pt>
                <c:pt idx="11">
                  <c:v>42735</c:v>
                </c:pt>
                <c:pt idx="12">
                  <c:v>43100</c:v>
                </c:pt>
                <c:pt idx="13">
                  <c:v>43465</c:v>
                </c:pt>
                <c:pt idx="14">
                  <c:v>43830</c:v>
                </c:pt>
                <c:pt idx="15">
                  <c:v>44196</c:v>
                </c:pt>
                <c:pt idx="16">
                  <c:v>44561</c:v>
                </c:pt>
                <c:pt idx="17">
                  <c:v>44926</c:v>
                </c:pt>
                <c:pt idx="18">
                  <c:v>45291</c:v>
                </c:pt>
                <c:pt idx="19">
                  <c:v>45657</c:v>
                </c:pt>
              </c:numCache>
            </c:numRef>
          </c:cat>
          <c:val>
            <c:numRef>
              <c:f>'Income statement'!$C$88:$V$88</c:f>
              <c:numCache>
                <c:formatCode>#,##0.00</c:formatCode>
                <c:ptCount val="20"/>
                <c:pt idx="1">
                  <c:v>0</c:v>
                </c:pt>
                <c:pt idx="2">
                  <c:v>0</c:v>
                </c:pt>
                <c:pt idx="3">
                  <c:v>0</c:v>
                </c:pt>
                <c:pt idx="4">
                  <c:v>0</c:v>
                </c:pt>
                <c:pt idx="5">
                  <c:v>0</c:v>
                </c:pt>
                <c:pt idx="6">
                  <c:v>0</c:v>
                </c:pt>
                <c:pt idx="7">
                  <c:v>0</c:v>
                </c:pt>
                <c:pt idx="8">
                  <c:v>0</c:v>
                </c:pt>
                <c:pt idx="9">
                  <c:v>0</c:v>
                </c:pt>
                <c:pt idx="10">
                  <c:v>-1.5079926627109002E-5</c:v>
                </c:pt>
                <c:pt idx="11">
                  <c:v>-0.29061449205958423</c:v>
                </c:pt>
                <c:pt idx="12">
                  <c:v>-3.0678901437371661E-2</c:v>
                </c:pt>
                <c:pt idx="13">
                  <c:v>-3.8172934590256988E-2</c:v>
                </c:pt>
                <c:pt idx="14">
                  <c:v>-9.9616448893684761E-2</c:v>
                </c:pt>
                <c:pt idx="15">
                  <c:v>-0.20211376738227574</c:v>
                </c:pt>
                <c:pt idx="16">
                  <c:v>-0.18353533922826326</c:v>
                </c:pt>
                <c:pt idx="17">
                  <c:v>-0.16142178243603933</c:v>
                </c:pt>
                <c:pt idx="18">
                  <c:v>1.0950628282773742</c:v>
                </c:pt>
                <c:pt idx="19">
                  <c:v>-6.283965967672081E-2</c:v>
                </c:pt>
              </c:numCache>
            </c:numRef>
          </c:val>
          <c:extLst>
            <c:ext xmlns:c16="http://schemas.microsoft.com/office/drawing/2014/chart" uri="{C3380CC4-5D6E-409C-BE32-E72D297353CC}">
              <c16:uniqueId val="{00000003-8D5A-4E55-85E8-D71751067242}"/>
            </c:ext>
          </c:extLst>
        </c:ser>
        <c:ser>
          <c:idx val="4"/>
          <c:order val="4"/>
          <c:tx>
            <c:strRef>
              <c:f>'For chart'!$B$19</c:f>
              <c:strCache>
                <c:ptCount val="1"/>
                <c:pt idx="0">
                  <c:v>TNAV/share</c:v>
                </c:pt>
              </c:strCache>
            </c:strRef>
          </c:tx>
          <c:spPr>
            <a:solidFill>
              <a:schemeClr val="accent5">
                <a:lumMod val="20000"/>
                <a:lumOff val="80000"/>
              </a:schemeClr>
            </a:solidFill>
            <a:ln>
              <a:noFill/>
            </a:ln>
            <a:effectLst/>
          </c:spPr>
          <c:invertIfNegative val="0"/>
          <c:cat>
            <c:numRef>
              <c:f>'For chart'!$C$18:$V$18</c:f>
              <c:numCache>
                <c:formatCode>yyyy\-mm\-dd;@</c:formatCode>
                <c:ptCount val="20"/>
                <c:pt idx="0">
                  <c:v>0</c:v>
                </c:pt>
                <c:pt idx="1">
                  <c:v>0</c:v>
                </c:pt>
                <c:pt idx="2">
                  <c:v>0</c:v>
                </c:pt>
                <c:pt idx="3">
                  <c:v>0</c:v>
                </c:pt>
                <c:pt idx="4">
                  <c:v>0</c:v>
                </c:pt>
                <c:pt idx="5">
                  <c:v>0</c:v>
                </c:pt>
                <c:pt idx="6">
                  <c:v>0</c:v>
                </c:pt>
                <c:pt idx="7">
                  <c:v>0</c:v>
                </c:pt>
                <c:pt idx="8">
                  <c:v>0</c:v>
                </c:pt>
                <c:pt idx="9">
                  <c:v>42004</c:v>
                </c:pt>
                <c:pt idx="10">
                  <c:v>42369</c:v>
                </c:pt>
                <c:pt idx="11">
                  <c:v>42735</c:v>
                </c:pt>
                <c:pt idx="12">
                  <c:v>43100</c:v>
                </c:pt>
                <c:pt idx="13">
                  <c:v>43465</c:v>
                </c:pt>
                <c:pt idx="14">
                  <c:v>43830</c:v>
                </c:pt>
                <c:pt idx="15">
                  <c:v>44196</c:v>
                </c:pt>
                <c:pt idx="16">
                  <c:v>44561</c:v>
                </c:pt>
                <c:pt idx="17">
                  <c:v>44926</c:v>
                </c:pt>
                <c:pt idx="18">
                  <c:v>45291</c:v>
                </c:pt>
                <c:pt idx="19">
                  <c:v>45657</c:v>
                </c:pt>
              </c:numCache>
            </c:numRef>
          </c:cat>
          <c:val>
            <c:numRef>
              <c:f>'For chart'!$C$19:$V$19</c:f>
              <c:numCache>
                <c:formatCode>#,##0.00</c:formatCode>
                <c:ptCount val="20"/>
                <c:pt idx="0">
                  <c:v>0</c:v>
                </c:pt>
                <c:pt idx="1">
                  <c:v>0</c:v>
                </c:pt>
                <c:pt idx="2">
                  <c:v>0</c:v>
                </c:pt>
                <c:pt idx="3">
                  <c:v>0</c:v>
                </c:pt>
                <c:pt idx="4">
                  <c:v>0</c:v>
                </c:pt>
                <c:pt idx="5">
                  <c:v>0</c:v>
                </c:pt>
                <c:pt idx="6">
                  <c:v>0</c:v>
                </c:pt>
                <c:pt idx="7">
                  <c:v>0</c:v>
                </c:pt>
                <c:pt idx="8">
                  <c:v>0</c:v>
                </c:pt>
                <c:pt idx="9">
                  <c:v>5.4956279271394237E-2</c:v>
                </c:pt>
                <c:pt idx="10">
                  <c:v>9.7099647551954896E-2</c:v>
                </c:pt>
                <c:pt idx="11">
                  <c:v>0.8841356673960612</c:v>
                </c:pt>
                <c:pt idx="12">
                  <c:v>0.5474487016524423</c:v>
                </c:pt>
                <c:pt idx="13">
                  <c:v>0.84394121372262165</c:v>
                </c:pt>
                <c:pt idx="14">
                  <c:v>1.2622578755804712</c:v>
                </c:pt>
                <c:pt idx="15">
                  <c:v>2.044663999346779</c:v>
                </c:pt>
                <c:pt idx="16">
                  <c:v>3.0348056324467443</c:v>
                </c:pt>
                <c:pt idx="17">
                  <c:v>4.1942191328699305</c:v>
                </c:pt>
                <c:pt idx="18">
                  <c:v>4.2930733213110432</c:v>
                </c:pt>
                <c:pt idx="19">
                  <c:v>5.8465504737769063</c:v>
                </c:pt>
              </c:numCache>
            </c:numRef>
          </c:val>
          <c:extLst>
            <c:ext xmlns:c16="http://schemas.microsoft.com/office/drawing/2014/chart" uri="{C3380CC4-5D6E-409C-BE32-E72D297353CC}">
              <c16:uniqueId val="{00000004-8D5A-4E55-85E8-D71751067242}"/>
            </c:ext>
          </c:extLst>
        </c:ser>
        <c:ser>
          <c:idx val="5"/>
          <c:order val="5"/>
          <c:tx>
            <c:strRef>
              <c:f>'For chart'!$B$20</c:f>
              <c:strCache>
                <c:ptCount val="1"/>
                <c:pt idx="0">
                  <c:v>Revenue/share / 10</c:v>
                </c:pt>
              </c:strCache>
            </c:strRef>
          </c:tx>
          <c:spPr>
            <a:solidFill>
              <a:schemeClr val="accent6">
                <a:lumMod val="20000"/>
                <a:lumOff val="80000"/>
              </a:schemeClr>
            </a:solidFill>
            <a:ln>
              <a:noFill/>
            </a:ln>
            <a:effectLst/>
          </c:spPr>
          <c:invertIfNegative val="0"/>
          <c:cat>
            <c:numRef>
              <c:f>'For chart'!$C$18:$V$18</c:f>
              <c:numCache>
                <c:formatCode>yyyy\-mm\-dd;@</c:formatCode>
                <c:ptCount val="20"/>
                <c:pt idx="0">
                  <c:v>0</c:v>
                </c:pt>
                <c:pt idx="1">
                  <c:v>0</c:v>
                </c:pt>
                <c:pt idx="2">
                  <c:v>0</c:v>
                </c:pt>
                <c:pt idx="3">
                  <c:v>0</c:v>
                </c:pt>
                <c:pt idx="4">
                  <c:v>0</c:v>
                </c:pt>
                <c:pt idx="5">
                  <c:v>0</c:v>
                </c:pt>
                <c:pt idx="6">
                  <c:v>0</c:v>
                </c:pt>
                <c:pt idx="7">
                  <c:v>0</c:v>
                </c:pt>
                <c:pt idx="8">
                  <c:v>0</c:v>
                </c:pt>
                <c:pt idx="9">
                  <c:v>42004</c:v>
                </c:pt>
                <c:pt idx="10">
                  <c:v>42369</c:v>
                </c:pt>
                <c:pt idx="11">
                  <c:v>42735</c:v>
                </c:pt>
                <c:pt idx="12">
                  <c:v>43100</c:v>
                </c:pt>
                <c:pt idx="13">
                  <c:v>43465</c:v>
                </c:pt>
                <c:pt idx="14">
                  <c:v>43830</c:v>
                </c:pt>
                <c:pt idx="15">
                  <c:v>44196</c:v>
                </c:pt>
                <c:pt idx="16">
                  <c:v>44561</c:v>
                </c:pt>
                <c:pt idx="17">
                  <c:v>44926</c:v>
                </c:pt>
                <c:pt idx="18">
                  <c:v>45291</c:v>
                </c:pt>
                <c:pt idx="19">
                  <c:v>45657</c:v>
                </c:pt>
              </c:numCache>
            </c:numRef>
          </c:cat>
          <c:val>
            <c:numRef>
              <c:f>'For chart'!$C$20:$AB$20</c:f>
              <c:numCache>
                <c:formatCode>#,##0.00</c:formatCode>
                <c:ptCount val="26"/>
                <c:pt idx="0">
                  <c:v>0</c:v>
                </c:pt>
                <c:pt idx="1">
                  <c:v>0</c:v>
                </c:pt>
                <c:pt idx="2">
                  <c:v>0</c:v>
                </c:pt>
                <c:pt idx="3">
                  <c:v>0</c:v>
                </c:pt>
                <c:pt idx="4">
                  <c:v>0</c:v>
                </c:pt>
                <c:pt idx="5">
                  <c:v>0</c:v>
                </c:pt>
                <c:pt idx="6">
                  <c:v>0</c:v>
                </c:pt>
                <c:pt idx="7">
                  <c:v>0</c:v>
                </c:pt>
                <c:pt idx="8">
                  <c:v>0</c:v>
                </c:pt>
                <c:pt idx="9">
                  <c:v>1.119634285640753E-2</c:v>
                </c:pt>
                <c:pt idx="10">
                  <c:v>2.8730778874188973E-2</c:v>
                </c:pt>
                <c:pt idx="11">
                  <c:v>0.11100984682713347</c:v>
                </c:pt>
                <c:pt idx="12">
                  <c:v>6.9960277828218634E-2</c:v>
                </c:pt>
                <c:pt idx="13">
                  <c:v>0.10422859388989583</c:v>
                </c:pt>
                <c:pt idx="14">
                  <c:v>0.13827929548592227</c:v>
                </c:pt>
                <c:pt idx="15">
                  <c:v>0.17066077406711849</c:v>
                </c:pt>
                <c:pt idx="16">
                  <c:v>0.23999418301440206</c:v>
                </c:pt>
                <c:pt idx="17">
                  <c:v>0.31560634095114265</c:v>
                </c:pt>
                <c:pt idx="18">
                  <c:v>0.38908237401585821</c:v>
                </c:pt>
                <c:pt idx="19">
                  <c:v>0.48709187048238378</c:v>
                </c:pt>
                <c:pt idx="20">
                  <c:v>0.62958419186586201</c:v>
                </c:pt>
                <c:pt idx="21">
                  <c:v>0.76015574289316878</c:v>
                </c:pt>
                <c:pt idx="22">
                  <c:v>0.88459069622110209</c:v>
                </c:pt>
                <c:pt idx="23">
                  <c:v>0.99074157976763466</c:v>
                </c:pt>
                <c:pt idx="24">
                  <c:v>1.1096305693397508</c:v>
                </c:pt>
                <c:pt idx="25">
                  <c:v>1.242786237660521</c:v>
                </c:pt>
              </c:numCache>
            </c:numRef>
          </c:val>
          <c:extLst>
            <c:ext xmlns:c16="http://schemas.microsoft.com/office/drawing/2014/chart" uri="{C3380CC4-5D6E-409C-BE32-E72D297353CC}">
              <c16:uniqueId val="{00000005-8D5A-4E55-85E8-D71751067242}"/>
            </c:ext>
          </c:extLst>
        </c:ser>
        <c:dLbls>
          <c:showLegendKey val="0"/>
          <c:showVal val="0"/>
          <c:showCatName val="0"/>
          <c:showSerName val="0"/>
          <c:showPercent val="0"/>
          <c:showBubbleSize val="0"/>
        </c:dLbls>
        <c:gapWidth val="150"/>
        <c:axId val="183527423"/>
        <c:axId val="183528863"/>
      </c:barChart>
      <c:lineChart>
        <c:grouping val="standard"/>
        <c:varyColors val="0"/>
        <c:ser>
          <c:idx val="0"/>
          <c:order val="0"/>
          <c:tx>
            <c:strRef>
              <c:f>'Share price history'!$G$4</c:f>
              <c:strCache>
                <c:ptCount val="1"/>
                <c:pt idx="0">
                  <c:v>Adjusted Price</c:v>
                </c:pt>
              </c:strCache>
            </c:strRef>
          </c:tx>
          <c:spPr>
            <a:ln w="12700" cap="rnd">
              <a:solidFill>
                <a:schemeClr val="tx1"/>
              </a:solidFill>
              <a:round/>
            </a:ln>
            <a:effectLst/>
          </c:spPr>
          <c:marker>
            <c:symbol val="none"/>
          </c:marker>
          <c:cat>
            <c:numRef>
              <c:f>'Share price history'!$D$6:$D$6980</c:f>
              <c:numCache>
                <c:formatCode>yyyy\-mm\-dd;@</c:formatCode>
                <c:ptCount val="6975"/>
                <c:pt idx="0">
                  <c:v>45821</c:v>
                </c:pt>
                <c:pt idx="1">
                  <c:v>45820</c:v>
                </c:pt>
                <c:pt idx="2">
                  <c:v>45819</c:v>
                </c:pt>
                <c:pt idx="3">
                  <c:v>45818</c:v>
                </c:pt>
                <c:pt idx="4">
                  <c:v>45817</c:v>
                </c:pt>
                <c:pt idx="5">
                  <c:v>45816</c:v>
                </c:pt>
                <c:pt idx="6">
                  <c:v>45815</c:v>
                </c:pt>
                <c:pt idx="7">
                  <c:v>45814</c:v>
                </c:pt>
                <c:pt idx="8">
                  <c:v>45813</c:v>
                </c:pt>
                <c:pt idx="9">
                  <c:v>45812</c:v>
                </c:pt>
                <c:pt idx="10">
                  <c:v>45811</c:v>
                </c:pt>
                <c:pt idx="11">
                  <c:v>45810</c:v>
                </c:pt>
                <c:pt idx="12">
                  <c:v>45809</c:v>
                </c:pt>
                <c:pt idx="13">
                  <c:v>45808</c:v>
                </c:pt>
                <c:pt idx="14">
                  <c:v>45807</c:v>
                </c:pt>
                <c:pt idx="15">
                  <c:v>45806</c:v>
                </c:pt>
                <c:pt idx="16">
                  <c:v>45805</c:v>
                </c:pt>
                <c:pt idx="17">
                  <c:v>45804</c:v>
                </c:pt>
                <c:pt idx="18">
                  <c:v>45803</c:v>
                </c:pt>
                <c:pt idx="19">
                  <c:v>45802</c:v>
                </c:pt>
                <c:pt idx="20">
                  <c:v>45801</c:v>
                </c:pt>
                <c:pt idx="21">
                  <c:v>45800</c:v>
                </c:pt>
                <c:pt idx="22">
                  <c:v>45799</c:v>
                </c:pt>
                <c:pt idx="23">
                  <c:v>45798</c:v>
                </c:pt>
                <c:pt idx="24">
                  <c:v>45797</c:v>
                </c:pt>
                <c:pt idx="25">
                  <c:v>45796</c:v>
                </c:pt>
                <c:pt idx="26">
                  <c:v>45795</c:v>
                </c:pt>
                <c:pt idx="27">
                  <c:v>45794</c:v>
                </c:pt>
                <c:pt idx="28">
                  <c:v>45793</c:v>
                </c:pt>
                <c:pt idx="29">
                  <c:v>45792</c:v>
                </c:pt>
                <c:pt idx="30">
                  <c:v>45791</c:v>
                </c:pt>
                <c:pt idx="31">
                  <c:v>45790</c:v>
                </c:pt>
                <c:pt idx="32">
                  <c:v>45789</c:v>
                </c:pt>
                <c:pt idx="33">
                  <c:v>45788</c:v>
                </c:pt>
                <c:pt idx="34">
                  <c:v>45787</c:v>
                </c:pt>
                <c:pt idx="35">
                  <c:v>45786</c:v>
                </c:pt>
                <c:pt idx="36">
                  <c:v>45785</c:v>
                </c:pt>
                <c:pt idx="37">
                  <c:v>45784</c:v>
                </c:pt>
                <c:pt idx="38">
                  <c:v>45783</c:v>
                </c:pt>
                <c:pt idx="39">
                  <c:v>45782</c:v>
                </c:pt>
                <c:pt idx="40">
                  <c:v>45781</c:v>
                </c:pt>
                <c:pt idx="41">
                  <c:v>45780</c:v>
                </c:pt>
                <c:pt idx="42">
                  <c:v>45779</c:v>
                </c:pt>
                <c:pt idx="43">
                  <c:v>45778</c:v>
                </c:pt>
                <c:pt idx="44">
                  <c:v>45777</c:v>
                </c:pt>
                <c:pt idx="45">
                  <c:v>45776</c:v>
                </c:pt>
                <c:pt idx="46">
                  <c:v>45775</c:v>
                </c:pt>
                <c:pt idx="47">
                  <c:v>45774</c:v>
                </c:pt>
                <c:pt idx="48">
                  <c:v>45773</c:v>
                </c:pt>
                <c:pt idx="49">
                  <c:v>45772</c:v>
                </c:pt>
                <c:pt idx="50">
                  <c:v>45771</c:v>
                </c:pt>
                <c:pt idx="51">
                  <c:v>45770</c:v>
                </c:pt>
                <c:pt idx="52">
                  <c:v>45769</c:v>
                </c:pt>
                <c:pt idx="53">
                  <c:v>45768</c:v>
                </c:pt>
                <c:pt idx="54">
                  <c:v>45767</c:v>
                </c:pt>
                <c:pt idx="55">
                  <c:v>45766</c:v>
                </c:pt>
                <c:pt idx="56">
                  <c:v>45765</c:v>
                </c:pt>
                <c:pt idx="57">
                  <c:v>45764</c:v>
                </c:pt>
                <c:pt idx="58">
                  <c:v>45763</c:v>
                </c:pt>
                <c:pt idx="59">
                  <c:v>45762</c:v>
                </c:pt>
                <c:pt idx="60">
                  <c:v>45761</c:v>
                </c:pt>
                <c:pt idx="61">
                  <c:v>45760</c:v>
                </c:pt>
                <c:pt idx="62">
                  <c:v>45759</c:v>
                </c:pt>
                <c:pt idx="63">
                  <c:v>45758</c:v>
                </c:pt>
                <c:pt idx="64">
                  <c:v>45757</c:v>
                </c:pt>
                <c:pt idx="65">
                  <c:v>45756</c:v>
                </c:pt>
                <c:pt idx="66">
                  <c:v>45755</c:v>
                </c:pt>
                <c:pt idx="67">
                  <c:v>45754</c:v>
                </c:pt>
                <c:pt idx="68">
                  <c:v>45753</c:v>
                </c:pt>
                <c:pt idx="69">
                  <c:v>45752</c:v>
                </c:pt>
                <c:pt idx="70">
                  <c:v>45751</c:v>
                </c:pt>
                <c:pt idx="71">
                  <c:v>45750</c:v>
                </c:pt>
                <c:pt idx="72">
                  <c:v>45749</c:v>
                </c:pt>
                <c:pt idx="73">
                  <c:v>45748</c:v>
                </c:pt>
                <c:pt idx="74">
                  <c:v>45747</c:v>
                </c:pt>
                <c:pt idx="75">
                  <c:v>45746</c:v>
                </c:pt>
                <c:pt idx="76">
                  <c:v>45745</c:v>
                </c:pt>
                <c:pt idx="77">
                  <c:v>45744</c:v>
                </c:pt>
                <c:pt idx="78">
                  <c:v>45743</c:v>
                </c:pt>
                <c:pt idx="79">
                  <c:v>45742</c:v>
                </c:pt>
                <c:pt idx="80">
                  <c:v>45741</c:v>
                </c:pt>
                <c:pt idx="81">
                  <c:v>45740</c:v>
                </c:pt>
                <c:pt idx="82">
                  <c:v>45739</c:v>
                </c:pt>
                <c:pt idx="83">
                  <c:v>45738</c:v>
                </c:pt>
                <c:pt idx="84">
                  <c:v>45737</c:v>
                </c:pt>
                <c:pt idx="85">
                  <c:v>45736</c:v>
                </c:pt>
                <c:pt idx="86">
                  <c:v>45735</c:v>
                </c:pt>
                <c:pt idx="87">
                  <c:v>45734</c:v>
                </c:pt>
                <c:pt idx="88">
                  <c:v>45733</c:v>
                </c:pt>
                <c:pt idx="89">
                  <c:v>45732</c:v>
                </c:pt>
                <c:pt idx="90">
                  <c:v>45731</c:v>
                </c:pt>
                <c:pt idx="91">
                  <c:v>45730</c:v>
                </c:pt>
                <c:pt idx="92">
                  <c:v>45729</c:v>
                </c:pt>
                <c:pt idx="93">
                  <c:v>45728</c:v>
                </c:pt>
                <c:pt idx="94">
                  <c:v>45727</c:v>
                </c:pt>
                <c:pt idx="95">
                  <c:v>45726</c:v>
                </c:pt>
                <c:pt idx="96">
                  <c:v>45725</c:v>
                </c:pt>
                <c:pt idx="97">
                  <c:v>45724</c:v>
                </c:pt>
                <c:pt idx="98">
                  <c:v>45723</c:v>
                </c:pt>
                <c:pt idx="99">
                  <c:v>45722</c:v>
                </c:pt>
                <c:pt idx="100">
                  <c:v>45721</c:v>
                </c:pt>
                <c:pt idx="101">
                  <c:v>45720</c:v>
                </c:pt>
                <c:pt idx="102">
                  <c:v>45719</c:v>
                </c:pt>
                <c:pt idx="103">
                  <c:v>45718</c:v>
                </c:pt>
                <c:pt idx="104">
                  <c:v>45717</c:v>
                </c:pt>
                <c:pt idx="105">
                  <c:v>45716</c:v>
                </c:pt>
                <c:pt idx="106">
                  <c:v>45715</c:v>
                </c:pt>
                <c:pt idx="107">
                  <c:v>45714</c:v>
                </c:pt>
                <c:pt idx="108">
                  <c:v>45713</c:v>
                </c:pt>
                <c:pt idx="109">
                  <c:v>45712</c:v>
                </c:pt>
                <c:pt idx="110">
                  <c:v>45711</c:v>
                </c:pt>
                <c:pt idx="111">
                  <c:v>45710</c:v>
                </c:pt>
                <c:pt idx="112">
                  <c:v>45709</c:v>
                </c:pt>
                <c:pt idx="113">
                  <c:v>45708</c:v>
                </c:pt>
                <c:pt idx="114">
                  <c:v>45707</c:v>
                </c:pt>
                <c:pt idx="115">
                  <c:v>45706</c:v>
                </c:pt>
                <c:pt idx="116">
                  <c:v>45705</c:v>
                </c:pt>
                <c:pt idx="117">
                  <c:v>45704</c:v>
                </c:pt>
                <c:pt idx="118">
                  <c:v>45703</c:v>
                </c:pt>
                <c:pt idx="119">
                  <c:v>45702</c:v>
                </c:pt>
                <c:pt idx="120">
                  <c:v>45701</c:v>
                </c:pt>
                <c:pt idx="121">
                  <c:v>45700</c:v>
                </c:pt>
                <c:pt idx="122">
                  <c:v>45699</c:v>
                </c:pt>
                <c:pt idx="123">
                  <c:v>45698</c:v>
                </c:pt>
                <c:pt idx="124">
                  <c:v>45697</c:v>
                </c:pt>
                <c:pt idx="125">
                  <c:v>45696</c:v>
                </c:pt>
                <c:pt idx="126">
                  <c:v>45695</c:v>
                </c:pt>
                <c:pt idx="127">
                  <c:v>45694</c:v>
                </c:pt>
                <c:pt idx="128">
                  <c:v>45693</c:v>
                </c:pt>
                <c:pt idx="129">
                  <c:v>45692</c:v>
                </c:pt>
                <c:pt idx="130">
                  <c:v>45691</c:v>
                </c:pt>
                <c:pt idx="131">
                  <c:v>45690</c:v>
                </c:pt>
                <c:pt idx="132">
                  <c:v>45689</c:v>
                </c:pt>
                <c:pt idx="133">
                  <c:v>45688</c:v>
                </c:pt>
                <c:pt idx="134">
                  <c:v>45687</c:v>
                </c:pt>
                <c:pt idx="135">
                  <c:v>45686</c:v>
                </c:pt>
                <c:pt idx="136">
                  <c:v>45685</c:v>
                </c:pt>
                <c:pt idx="137">
                  <c:v>45684</c:v>
                </c:pt>
                <c:pt idx="138">
                  <c:v>45683</c:v>
                </c:pt>
                <c:pt idx="139">
                  <c:v>45682</c:v>
                </c:pt>
                <c:pt idx="140">
                  <c:v>45681</c:v>
                </c:pt>
                <c:pt idx="141">
                  <c:v>45680</c:v>
                </c:pt>
                <c:pt idx="142">
                  <c:v>45679</c:v>
                </c:pt>
                <c:pt idx="143">
                  <c:v>45678</c:v>
                </c:pt>
                <c:pt idx="144">
                  <c:v>45677</c:v>
                </c:pt>
                <c:pt idx="145">
                  <c:v>45676</c:v>
                </c:pt>
                <c:pt idx="146">
                  <c:v>45675</c:v>
                </c:pt>
                <c:pt idx="147">
                  <c:v>45674</c:v>
                </c:pt>
                <c:pt idx="148">
                  <c:v>45673</c:v>
                </c:pt>
                <c:pt idx="149">
                  <c:v>45672</c:v>
                </c:pt>
                <c:pt idx="150">
                  <c:v>45671</c:v>
                </c:pt>
                <c:pt idx="151">
                  <c:v>45670</c:v>
                </c:pt>
                <c:pt idx="152">
                  <c:v>45669</c:v>
                </c:pt>
                <c:pt idx="153">
                  <c:v>45668</c:v>
                </c:pt>
                <c:pt idx="154">
                  <c:v>45667</c:v>
                </c:pt>
                <c:pt idx="155">
                  <c:v>45666</c:v>
                </c:pt>
                <c:pt idx="156">
                  <c:v>45665</c:v>
                </c:pt>
                <c:pt idx="157">
                  <c:v>45664</c:v>
                </c:pt>
                <c:pt idx="158">
                  <c:v>45663</c:v>
                </c:pt>
                <c:pt idx="159">
                  <c:v>45662</c:v>
                </c:pt>
                <c:pt idx="160">
                  <c:v>45661</c:v>
                </c:pt>
                <c:pt idx="161">
                  <c:v>45660</c:v>
                </c:pt>
                <c:pt idx="162">
                  <c:v>45659</c:v>
                </c:pt>
                <c:pt idx="163">
                  <c:v>45658</c:v>
                </c:pt>
                <c:pt idx="164">
                  <c:v>45657</c:v>
                </c:pt>
                <c:pt idx="165">
                  <c:v>45656</c:v>
                </c:pt>
                <c:pt idx="166">
                  <c:v>45655</c:v>
                </c:pt>
                <c:pt idx="167">
                  <c:v>45654</c:v>
                </c:pt>
                <c:pt idx="168">
                  <c:v>45653</c:v>
                </c:pt>
                <c:pt idx="169">
                  <c:v>45652</c:v>
                </c:pt>
                <c:pt idx="170">
                  <c:v>45651</c:v>
                </c:pt>
                <c:pt idx="171">
                  <c:v>45650</c:v>
                </c:pt>
                <c:pt idx="172">
                  <c:v>45649</c:v>
                </c:pt>
                <c:pt idx="173">
                  <c:v>45648</c:v>
                </c:pt>
                <c:pt idx="174">
                  <c:v>45647</c:v>
                </c:pt>
                <c:pt idx="175">
                  <c:v>45646</c:v>
                </c:pt>
                <c:pt idx="176">
                  <c:v>45645</c:v>
                </c:pt>
                <c:pt idx="177">
                  <c:v>45644</c:v>
                </c:pt>
                <c:pt idx="178">
                  <c:v>45643</c:v>
                </c:pt>
                <c:pt idx="179">
                  <c:v>45642</c:v>
                </c:pt>
                <c:pt idx="180">
                  <c:v>45641</c:v>
                </c:pt>
                <c:pt idx="181">
                  <c:v>45640</c:v>
                </c:pt>
                <c:pt idx="182">
                  <c:v>45639</c:v>
                </c:pt>
                <c:pt idx="183">
                  <c:v>45638</c:v>
                </c:pt>
                <c:pt idx="184">
                  <c:v>45637</c:v>
                </c:pt>
                <c:pt idx="185">
                  <c:v>45636</c:v>
                </c:pt>
                <c:pt idx="186">
                  <c:v>45635</c:v>
                </c:pt>
                <c:pt idx="187">
                  <c:v>45634</c:v>
                </c:pt>
                <c:pt idx="188">
                  <c:v>45633</c:v>
                </c:pt>
                <c:pt idx="189">
                  <c:v>45632</c:v>
                </c:pt>
                <c:pt idx="190">
                  <c:v>45631</c:v>
                </c:pt>
                <c:pt idx="191">
                  <c:v>45630</c:v>
                </c:pt>
                <c:pt idx="192">
                  <c:v>45629</c:v>
                </c:pt>
                <c:pt idx="193">
                  <c:v>45628</c:v>
                </c:pt>
                <c:pt idx="194">
                  <c:v>45627</c:v>
                </c:pt>
                <c:pt idx="195">
                  <c:v>45626</c:v>
                </c:pt>
                <c:pt idx="196">
                  <c:v>45625</c:v>
                </c:pt>
                <c:pt idx="197">
                  <c:v>45624</c:v>
                </c:pt>
                <c:pt idx="198">
                  <c:v>45623</c:v>
                </c:pt>
                <c:pt idx="199">
                  <c:v>45622</c:v>
                </c:pt>
                <c:pt idx="200">
                  <c:v>45621</c:v>
                </c:pt>
                <c:pt idx="201">
                  <c:v>45620</c:v>
                </c:pt>
                <c:pt idx="202">
                  <c:v>45619</c:v>
                </c:pt>
                <c:pt idx="203">
                  <c:v>45618</c:v>
                </c:pt>
                <c:pt idx="204">
                  <c:v>45617</c:v>
                </c:pt>
                <c:pt idx="205">
                  <c:v>45616</c:v>
                </c:pt>
                <c:pt idx="206">
                  <c:v>45615</c:v>
                </c:pt>
                <c:pt idx="207">
                  <c:v>45614</c:v>
                </c:pt>
                <c:pt idx="208">
                  <c:v>45613</c:v>
                </c:pt>
                <c:pt idx="209">
                  <c:v>45612</c:v>
                </c:pt>
                <c:pt idx="210">
                  <c:v>45611</c:v>
                </c:pt>
                <c:pt idx="211">
                  <c:v>45610</c:v>
                </c:pt>
                <c:pt idx="212">
                  <c:v>45609</c:v>
                </c:pt>
                <c:pt idx="213">
                  <c:v>45608</c:v>
                </c:pt>
                <c:pt idx="214">
                  <c:v>45607</c:v>
                </c:pt>
                <c:pt idx="215">
                  <c:v>45606</c:v>
                </c:pt>
                <c:pt idx="216">
                  <c:v>45605</c:v>
                </c:pt>
                <c:pt idx="217">
                  <c:v>45604</c:v>
                </c:pt>
                <c:pt idx="218">
                  <c:v>45603</c:v>
                </c:pt>
                <c:pt idx="219">
                  <c:v>45602</c:v>
                </c:pt>
                <c:pt idx="220">
                  <c:v>45601</c:v>
                </c:pt>
                <c:pt idx="221">
                  <c:v>45600</c:v>
                </c:pt>
                <c:pt idx="222">
                  <c:v>45599</c:v>
                </c:pt>
                <c:pt idx="223">
                  <c:v>45598</c:v>
                </c:pt>
                <c:pt idx="224">
                  <c:v>45597</c:v>
                </c:pt>
                <c:pt idx="225">
                  <c:v>45596</c:v>
                </c:pt>
                <c:pt idx="226">
                  <c:v>45595</c:v>
                </c:pt>
                <c:pt idx="227">
                  <c:v>45594</c:v>
                </c:pt>
                <c:pt idx="228">
                  <c:v>45593</c:v>
                </c:pt>
                <c:pt idx="229">
                  <c:v>45592</c:v>
                </c:pt>
                <c:pt idx="230">
                  <c:v>45591</c:v>
                </c:pt>
                <c:pt idx="231">
                  <c:v>45590</c:v>
                </c:pt>
                <c:pt idx="232">
                  <c:v>45589</c:v>
                </c:pt>
                <c:pt idx="233">
                  <c:v>45588</c:v>
                </c:pt>
                <c:pt idx="234">
                  <c:v>45587</c:v>
                </c:pt>
                <c:pt idx="235">
                  <c:v>45586</c:v>
                </c:pt>
                <c:pt idx="236">
                  <c:v>45585</c:v>
                </c:pt>
                <c:pt idx="237">
                  <c:v>45584</c:v>
                </c:pt>
                <c:pt idx="238">
                  <c:v>45583</c:v>
                </c:pt>
                <c:pt idx="239">
                  <c:v>45582</c:v>
                </c:pt>
                <c:pt idx="240">
                  <c:v>45581</c:v>
                </c:pt>
                <c:pt idx="241">
                  <c:v>45580</c:v>
                </c:pt>
                <c:pt idx="242">
                  <c:v>45579</c:v>
                </c:pt>
                <c:pt idx="243">
                  <c:v>45578</c:v>
                </c:pt>
                <c:pt idx="244">
                  <c:v>45577</c:v>
                </c:pt>
                <c:pt idx="245">
                  <c:v>45576</c:v>
                </c:pt>
                <c:pt idx="246">
                  <c:v>45575</c:v>
                </c:pt>
                <c:pt idx="247">
                  <c:v>45574</c:v>
                </c:pt>
                <c:pt idx="248">
                  <c:v>45573</c:v>
                </c:pt>
                <c:pt idx="249">
                  <c:v>45572</c:v>
                </c:pt>
                <c:pt idx="250">
                  <c:v>45571</c:v>
                </c:pt>
                <c:pt idx="251">
                  <c:v>45570</c:v>
                </c:pt>
                <c:pt idx="252">
                  <c:v>45569</c:v>
                </c:pt>
                <c:pt idx="253">
                  <c:v>45568</c:v>
                </c:pt>
                <c:pt idx="254">
                  <c:v>45567</c:v>
                </c:pt>
                <c:pt idx="255">
                  <c:v>45566</c:v>
                </c:pt>
                <c:pt idx="256">
                  <c:v>45565</c:v>
                </c:pt>
                <c:pt idx="257">
                  <c:v>45564</c:v>
                </c:pt>
                <c:pt idx="258">
                  <c:v>45563</c:v>
                </c:pt>
                <c:pt idx="259">
                  <c:v>45562</c:v>
                </c:pt>
                <c:pt idx="260">
                  <c:v>45561</c:v>
                </c:pt>
                <c:pt idx="261">
                  <c:v>45560</c:v>
                </c:pt>
                <c:pt idx="262">
                  <c:v>45559</c:v>
                </c:pt>
                <c:pt idx="263">
                  <c:v>45558</c:v>
                </c:pt>
                <c:pt idx="264">
                  <c:v>45557</c:v>
                </c:pt>
                <c:pt idx="265">
                  <c:v>45556</c:v>
                </c:pt>
                <c:pt idx="266">
                  <c:v>45555</c:v>
                </c:pt>
                <c:pt idx="267">
                  <c:v>45554</c:v>
                </c:pt>
                <c:pt idx="268">
                  <c:v>45553</c:v>
                </c:pt>
                <c:pt idx="269">
                  <c:v>45552</c:v>
                </c:pt>
                <c:pt idx="270">
                  <c:v>45551</c:v>
                </c:pt>
                <c:pt idx="271">
                  <c:v>45550</c:v>
                </c:pt>
                <c:pt idx="272">
                  <c:v>45549</c:v>
                </c:pt>
                <c:pt idx="273">
                  <c:v>45548</c:v>
                </c:pt>
                <c:pt idx="274">
                  <c:v>45547</c:v>
                </c:pt>
                <c:pt idx="275">
                  <c:v>45546</c:v>
                </c:pt>
                <c:pt idx="276">
                  <c:v>45545</c:v>
                </c:pt>
                <c:pt idx="277">
                  <c:v>45544</c:v>
                </c:pt>
                <c:pt idx="278">
                  <c:v>45543</c:v>
                </c:pt>
                <c:pt idx="279">
                  <c:v>45542</c:v>
                </c:pt>
                <c:pt idx="280">
                  <c:v>45541</c:v>
                </c:pt>
                <c:pt idx="281">
                  <c:v>45540</c:v>
                </c:pt>
                <c:pt idx="282">
                  <c:v>45539</c:v>
                </c:pt>
                <c:pt idx="283">
                  <c:v>45538</c:v>
                </c:pt>
                <c:pt idx="284">
                  <c:v>45537</c:v>
                </c:pt>
                <c:pt idx="285">
                  <c:v>45536</c:v>
                </c:pt>
                <c:pt idx="286">
                  <c:v>45535</c:v>
                </c:pt>
                <c:pt idx="287">
                  <c:v>45534</c:v>
                </c:pt>
                <c:pt idx="288">
                  <c:v>45533</c:v>
                </c:pt>
                <c:pt idx="289">
                  <c:v>45532</c:v>
                </c:pt>
                <c:pt idx="290">
                  <c:v>45531</c:v>
                </c:pt>
                <c:pt idx="291">
                  <c:v>45530</c:v>
                </c:pt>
                <c:pt idx="292">
                  <c:v>45529</c:v>
                </c:pt>
                <c:pt idx="293">
                  <c:v>45528</c:v>
                </c:pt>
                <c:pt idx="294">
                  <c:v>45527</c:v>
                </c:pt>
                <c:pt idx="295">
                  <c:v>45526</c:v>
                </c:pt>
                <c:pt idx="296">
                  <c:v>45525</c:v>
                </c:pt>
                <c:pt idx="297">
                  <c:v>45524</c:v>
                </c:pt>
                <c:pt idx="298">
                  <c:v>45523</c:v>
                </c:pt>
                <c:pt idx="299">
                  <c:v>45522</c:v>
                </c:pt>
                <c:pt idx="300">
                  <c:v>45521</c:v>
                </c:pt>
                <c:pt idx="301">
                  <c:v>45520</c:v>
                </c:pt>
                <c:pt idx="302">
                  <c:v>45519</c:v>
                </c:pt>
                <c:pt idx="303">
                  <c:v>45518</c:v>
                </c:pt>
                <c:pt idx="304">
                  <c:v>45517</c:v>
                </c:pt>
                <c:pt idx="305">
                  <c:v>45516</c:v>
                </c:pt>
                <c:pt idx="306">
                  <c:v>45515</c:v>
                </c:pt>
                <c:pt idx="307">
                  <c:v>45514</c:v>
                </c:pt>
                <c:pt idx="308">
                  <c:v>45513</c:v>
                </c:pt>
                <c:pt idx="309">
                  <c:v>45512</c:v>
                </c:pt>
                <c:pt idx="310">
                  <c:v>45511</c:v>
                </c:pt>
                <c:pt idx="311">
                  <c:v>45510</c:v>
                </c:pt>
                <c:pt idx="312">
                  <c:v>45509</c:v>
                </c:pt>
                <c:pt idx="313">
                  <c:v>45508</c:v>
                </c:pt>
                <c:pt idx="314">
                  <c:v>45507</c:v>
                </c:pt>
                <c:pt idx="315">
                  <c:v>45506</c:v>
                </c:pt>
                <c:pt idx="316">
                  <c:v>45505</c:v>
                </c:pt>
                <c:pt idx="317">
                  <c:v>45504</c:v>
                </c:pt>
                <c:pt idx="318">
                  <c:v>45503</c:v>
                </c:pt>
                <c:pt idx="319">
                  <c:v>45502</c:v>
                </c:pt>
                <c:pt idx="320">
                  <c:v>45501</c:v>
                </c:pt>
                <c:pt idx="321">
                  <c:v>45500</c:v>
                </c:pt>
                <c:pt idx="322">
                  <c:v>45499</c:v>
                </c:pt>
                <c:pt idx="323">
                  <c:v>45498</c:v>
                </c:pt>
                <c:pt idx="324">
                  <c:v>45497</c:v>
                </c:pt>
                <c:pt idx="325">
                  <c:v>45496</c:v>
                </c:pt>
                <c:pt idx="326">
                  <c:v>45495</c:v>
                </c:pt>
                <c:pt idx="327">
                  <c:v>45494</c:v>
                </c:pt>
                <c:pt idx="328">
                  <c:v>45493</c:v>
                </c:pt>
                <c:pt idx="329">
                  <c:v>45492</c:v>
                </c:pt>
                <c:pt idx="330">
                  <c:v>45491</c:v>
                </c:pt>
                <c:pt idx="331">
                  <c:v>45490</c:v>
                </c:pt>
                <c:pt idx="332">
                  <c:v>45489</c:v>
                </c:pt>
                <c:pt idx="333">
                  <c:v>45488</c:v>
                </c:pt>
                <c:pt idx="334">
                  <c:v>45487</c:v>
                </c:pt>
                <c:pt idx="335">
                  <c:v>45486</c:v>
                </c:pt>
                <c:pt idx="336">
                  <c:v>45485</c:v>
                </c:pt>
                <c:pt idx="337">
                  <c:v>45484</c:v>
                </c:pt>
                <c:pt idx="338">
                  <c:v>45483</c:v>
                </c:pt>
                <c:pt idx="339">
                  <c:v>45482</c:v>
                </c:pt>
                <c:pt idx="340">
                  <c:v>45481</c:v>
                </c:pt>
                <c:pt idx="341">
                  <c:v>45480</c:v>
                </c:pt>
                <c:pt idx="342">
                  <c:v>45479</c:v>
                </c:pt>
                <c:pt idx="343">
                  <c:v>45478</c:v>
                </c:pt>
                <c:pt idx="344">
                  <c:v>45477</c:v>
                </c:pt>
                <c:pt idx="345">
                  <c:v>45476</c:v>
                </c:pt>
                <c:pt idx="346">
                  <c:v>45475</c:v>
                </c:pt>
                <c:pt idx="347">
                  <c:v>45474</c:v>
                </c:pt>
                <c:pt idx="348">
                  <c:v>45473</c:v>
                </c:pt>
                <c:pt idx="349">
                  <c:v>45472</c:v>
                </c:pt>
                <c:pt idx="350">
                  <c:v>45471</c:v>
                </c:pt>
                <c:pt idx="351">
                  <c:v>45470</c:v>
                </c:pt>
                <c:pt idx="352">
                  <c:v>45469</c:v>
                </c:pt>
                <c:pt idx="353">
                  <c:v>45468</c:v>
                </c:pt>
                <c:pt idx="354">
                  <c:v>45467</c:v>
                </c:pt>
                <c:pt idx="355">
                  <c:v>45466</c:v>
                </c:pt>
                <c:pt idx="356">
                  <c:v>45465</c:v>
                </c:pt>
                <c:pt idx="357">
                  <c:v>45464</c:v>
                </c:pt>
                <c:pt idx="358">
                  <c:v>45463</c:v>
                </c:pt>
                <c:pt idx="359">
                  <c:v>45462</c:v>
                </c:pt>
                <c:pt idx="360">
                  <c:v>45461</c:v>
                </c:pt>
                <c:pt idx="361">
                  <c:v>45460</c:v>
                </c:pt>
                <c:pt idx="362">
                  <c:v>45459</c:v>
                </c:pt>
                <c:pt idx="363">
                  <c:v>45458</c:v>
                </c:pt>
                <c:pt idx="364">
                  <c:v>45457</c:v>
                </c:pt>
                <c:pt idx="365">
                  <c:v>45456</c:v>
                </c:pt>
                <c:pt idx="366">
                  <c:v>45455</c:v>
                </c:pt>
                <c:pt idx="367">
                  <c:v>45454</c:v>
                </c:pt>
                <c:pt idx="368">
                  <c:v>45453</c:v>
                </c:pt>
                <c:pt idx="369">
                  <c:v>45452</c:v>
                </c:pt>
                <c:pt idx="370">
                  <c:v>45451</c:v>
                </c:pt>
                <c:pt idx="371">
                  <c:v>45450</c:v>
                </c:pt>
                <c:pt idx="372">
                  <c:v>45449</c:v>
                </c:pt>
                <c:pt idx="373">
                  <c:v>45448</c:v>
                </c:pt>
                <c:pt idx="374">
                  <c:v>45447</c:v>
                </c:pt>
                <c:pt idx="375">
                  <c:v>45446</c:v>
                </c:pt>
                <c:pt idx="376">
                  <c:v>45445</c:v>
                </c:pt>
                <c:pt idx="377">
                  <c:v>45444</c:v>
                </c:pt>
                <c:pt idx="378">
                  <c:v>45443</c:v>
                </c:pt>
                <c:pt idx="379">
                  <c:v>45442</c:v>
                </c:pt>
                <c:pt idx="380">
                  <c:v>45441</c:v>
                </c:pt>
                <c:pt idx="381">
                  <c:v>45440</c:v>
                </c:pt>
                <c:pt idx="382">
                  <c:v>45439</c:v>
                </c:pt>
                <c:pt idx="383">
                  <c:v>45438</c:v>
                </c:pt>
                <c:pt idx="384">
                  <c:v>45437</c:v>
                </c:pt>
                <c:pt idx="385">
                  <c:v>45436</c:v>
                </c:pt>
                <c:pt idx="386">
                  <c:v>45435</c:v>
                </c:pt>
                <c:pt idx="387">
                  <c:v>45434</c:v>
                </c:pt>
                <c:pt idx="388">
                  <c:v>45433</c:v>
                </c:pt>
                <c:pt idx="389">
                  <c:v>45432</c:v>
                </c:pt>
                <c:pt idx="390">
                  <c:v>45431</c:v>
                </c:pt>
                <c:pt idx="391">
                  <c:v>45430</c:v>
                </c:pt>
                <c:pt idx="392">
                  <c:v>45429</c:v>
                </c:pt>
                <c:pt idx="393">
                  <c:v>45428</c:v>
                </c:pt>
                <c:pt idx="394">
                  <c:v>45427</c:v>
                </c:pt>
                <c:pt idx="395">
                  <c:v>45426</c:v>
                </c:pt>
                <c:pt idx="396">
                  <c:v>45425</c:v>
                </c:pt>
                <c:pt idx="397">
                  <c:v>45424</c:v>
                </c:pt>
                <c:pt idx="398">
                  <c:v>45423</c:v>
                </c:pt>
                <c:pt idx="399">
                  <c:v>45422</c:v>
                </c:pt>
                <c:pt idx="400">
                  <c:v>45421</c:v>
                </c:pt>
                <c:pt idx="401">
                  <c:v>45420</c:v>
                </c:pt>
                <c:pt idx="402">
                  <c:v>45419</c:v>
                </c:pt>
                <c:pt idx="403">
                  <c:v>45418</c:v>
                </c:pt>
                <c:pt idx="404">
                  <c:v>45417</c:v>
                </c:pt>
                <c:pt idx="405">
                  <c:v>45416</c:v>
                </c:pt>
                <c:pt idx="406">
                  <c:v>45415</c:v>
                </c:pt>
                <c:pt idx="407">
                  <c:v>45414</c:v>
                </c:pt>
                <c:pt idx="408">
                  <c:v>45413</c:v>
                </c:pt>
                <c:pt idx="409">
                  <c:v>45412</c:v>
                </c:pt>
                <c:pt idx="410">
                  <c:v>45411</c:v>
                </c:pt>
                <c:pt idx="411">
                  <c:v>45410</c:v>
                </c:pt>
                <c:pt idx="412">
                  <c:v>45409</c:v>
                </c:pt>
                <c:pt idx="413">
                  <c:v>45408</c:v>
                </c:pt>
                <c:pt idx="414">
                  <c:v>45407</c:v>
                </c:pt>
                <c:pt idx="415">
                  <c:v>45406</c:v>
                </c:pt>
                <c:pt idx="416">
                  <c:v>45405</c:v>
                </c:pt>
                <c:pt idx="417">
                  <c:v>45404</c:v>
                </c:pt>
                <c:pt idx="418">
                  <c:v>45403</c:v>
                </c:pt>
                <c:pt idx="419">
                  <c:v>45402</c:v>
                </c:pt>
                <c:pt idx="420">
                  <c:v>45401</c:v>
                </c:pt>
                <c:pt idx="421">
                  <c:v>45400</c:v>
                </c:pt>
                <c:pt idx="422">
                  <c:v>45399</c:v>
                </c:pt>
                <c:pt idx="423">
                  <c:v>45398</c:v>
                </c:pt>
                <c:pt idx="424">
                  <c:v>45397</c:v>
                </c:pt>
                <c:pt idx="425">
                  <c:v>45396</c:v>
                </c:pt>
                <c:pt idx="426">
                  <c:v>45395</c:v>
                </c:pt>
                <c:pt idx="427">
                  <c:v>45394</c:v>
                </c:pt>
                <c:pt idx="428">
                  <c:v>45393</c:v>
                </c:pt>
                <c:pt idx="429">
                  <c:v>45392</c:v>
                </c:pt>
                <c:pt idx="430">
                  <c:v>45391</c:v>
                </c:pt>
                <c:pt idx="431">
                  <c:v>45390</c:v>
                </c:pt>
                <c:pt idx="432">
                  <c:v>45389</c:v>
                </c:pt>
                <c:pt idx="433">
                  <c:v>45388</c:v>
                </c:pt>
                <c:pt idx="434">
                  <c:v>45387</c:v>
                </c:pt>
                <c:pt idx="435">
                  <c:v>45386</c:v>
                </c:pt>
                <c:pt idx="436">
                  <c:v>45385</c:v>
                </c:pt>
                <c:pt idx="437">
                  <c:v>45384</c:v>
                </c:pt>
                <c:pt idx="438">
                  <c:v>45383</c:v>
                </c:pt>
                <c:pt idx="439">
                  <c:v>45382</c:v>
                </c:pt>
                <c:pt idx="440">
                  <c:v>45381</c:v>
                </c:pt>
                <c:pt idx="441">
                  <c:v>45380</c:v>
                </c:pt>
                <c:pt idx="442">
                  <c:v>45379</c:v>
                </c:pt>
                <c:pt idx="443">
                  <c:v>45378</c:v>
                </c:pt>
                <c:pt idx="444">
                  <c:v>45377</c:v>
                </c:pt>
                <c:pt idx="445">
                  <c:v>45376</c:v>
                </c:pt>
                <c:pt idx="446">
                  <c:v>45375</c:v>
                </c:pt>
                <c:pt idx="447">
                  <c:v>45374</c:v>
                </c:pt>
                <c:pt idx="448">
                  <c:v>45373</c:v>
                </c:pt>
                <c:pt idx="449">
                  <c:v>45372</c:v>
                </c:pt>
                <c:pt idx="450">
                  <c:v>45371</c:v>
                </c:pt>
                <c:pt idx="451">
                  <c:v>45370</c:v>
                </c:pt>
                <c:pt idx="452">
                  <c:v>45369</c:v>
                </c:pt>
                <c:pt idx="453">
                  <c:v>45368</c:v>
                </c:pt>
                <c:pt idx="454">
                  <c:v>45367</c:v>
                </c:pt>
                <c:pt idx="455">
                  <c:v>45366</c:v>
                </c:pt>
                <c:pt idx="456">
                  <c:v>45365</c:v>
                </c:pt>
                <c:pt idx="457">
                  <c:v>45364</c:v>
                </c:pt>
                <c:pt idx="458">
                  <c:v>45363</c:v>
                </c:pt>
                <c:pt idx="459">
                  <c:v>45362</c:v>
                </c:pt>
                <c:pt idx="460">
                  <c:v>45361</c:v>
                </c:pt>
                <c:pt idx="461">
                  <c:v>45360</c:v>
                </c:pt>
                <c:pt idx="462">
                  <c:v>45359</c:v>
                </c:pt>
                <c:pt idx="463">
                  <c:v>45358</c:v>
                </c:pt>
                <c:pt idx="464">
                  <c:v>45357</c:v>
                </c:pt>
                <c:pt idx="465">
                  <c:v>45356</c:v>
                </c:pt>
                <c:pt idx="466">
                  <c:v>45355</c:v>
                </c:pt>
                <c:pt idx="467">
                  <c:v>45354</c:v>
                </c:pt>
                <c:pt idx="468">
                  <c:v>45353</c:v>
                </c:pt>
                <c:pt idx="469">
                  <c:v>45352</c:v>
                </c:pt>
                <c:pt idx="470">
                  <c:v>45351</c:v>
                </c:pt>
                <c:pt idx="471">
                  <c:v>45350</c:v>
                </c:pt>
                <c:pt idx="472">
                  <c:v>45349</c:v>
                </c:pt>
                <c:pt idx="473">
                  <c:v>45348</c:v>
                </c:pt>
                <c:pt idx="474">
                  <c:v>45347</c:v>
                </c:pt>
                <c:pt idx="475">
                  <c:v>45346</c:v>
                </c:pt>
                <c:pt idx="476">
                  <c:v>45345</c:v>
                </c:pt>
                <c:pt idx="477">
                  <c:v>45344</c:v>
                </c:pt>
                <c:pt idx="478">
                  <c:v>45343</c:v>
                </c:pt>
                <c:pt idx="479">
                  <c:v>45342</c:v>
                </c:pt>
                <c:pt idx="480">
                  <c:v>45341</c:v>
                </c:pt>
                <c:pt idx="481">
                  <c:v>45340</c:v>
                </c:pt>
                <c:pt idx="482">
                  <c:v>45339</c:v>
                </c:pt>
                <c:pt idx="483">
                  <c:v>45338</c:v>
                </c:pt>
                <c:pt idx="484">
                  <c:v>45337</c:v>
                </c:pt>
                <c:pt idx="485">
                  <c:v>45336</c:v>
                </c:pt>
                <c:pt idx="486">
                  <c:v>45335</c:v>
                </c:pt>
                <c:pt idx="487">
                  <c:v>45334</c:v>
                </c:pt>
                <c:pt idx="488">
                  <c:v>45333</c:v>
                </c:pt>
                <c:pt idx="489">
                  <c:v>45332</c:v>
                </c:pt>
                <c:pt idx="490">
                  <c:v>45331</c:v>
                </c:pt>
                <c:pt idx="491">
                  <c:v>45330</c:v>
                </c:pt>
                <c:pt idx="492">
                  <c:v>45329</c:v>
                </c:pt>
                <c:pt idx="493">
                  <c:v>45328</c:v>
                </c:pt>
                <c:pt idx="494">
                  <c:v>45327</c:v>
                </c:pt>
                <c:pt idx="495">
                  <c:v>45326</c:v>
                </c:pt>
                <c:pt idx="496">
                  <c:v>45325</c:v>
                </c:pt>
                <c:pt idx="497">
                  <c:v>45324</c:v>
                </c:pt>
                <c:pt idx="498">
                  <c:v>45323</c:v>
                </c:pt>
                <c:pt idx="499">
                  <c:v>45322</c:v>
                </c:pt>
                <c:pt idx="500">
                  <c:v>45321</c:v>
                </c:pt>
                <c:pt idx="501">
                  <c:v>45320</c:v>
                </c:pt>
                <c:pt idx="502">
                  <c:v>45319</c:v>
                </c:pt>
                <c:pt idx="503">
                  <c:v>45318</c:v>
                </c:pt>
                <c:pt idx="504">
                  <c:v>45317</c:v>
                </c:pt>
                <c:pt idx="505">
                  <c:v>45316</c:v>
                </c:pt>
                <c:pt idx="506">
                  <c:v>45315</c:v>
                </c:pt>
                <c:pt idx="507">
                  <c:v>45314</c:v>
                </c:pt>
                <c:pt idx="508">
                  <c:v>45313</c:v>
                </c:pt>
                <c:pt idx="509">
                  <c:v>45312</c:v>
                </c:pt>
                <c:pt idx="510">
                  <c:v>45311</c:v>
                </c:pt>
                <c:pt idx="511">
                  <c:v>45310</c:v>
                </c:pt>
                <c:pt idx="512">
                  <c:v>45309</c:v>
                </c:pt>
                <c:pt idx="513">
                  <c:v>45308</c:v>
                </c:pt>
                <c:pt idx="514">
                  <c:v>45307</c:v>
                </c:pt>
                <c:pt idx="515">
                  <c:v>45306</c:v>
                </c:pt>
                <c:pt idx="516">
                  <c:v>45305</c:v>
                </c:pt>
                <c:pt idx="517">
                  <c:v>45304</c:v>
                </c:pt>
                <c:pt idx="518">
                  <c:v>45303</c:v>
                </c:pt>
                <c:pt idx="519">
                  <c:v>45302</c:v>
                </c:pt>
                <c:pt idx="520">
                  <c:v>45301</c:v>
                </c:pt>
                <c:pt idx="521">
                  <c:v>45300</c:v>
                </c:pt>
                <c:pt idx="522">
                  <c:v>45299</c:v>
                </c:pt>
                <c:pt idx="523">
                  <c:v>45298</c:v>
                </c:pt>
                <c:pt idx="524">
                  <c:v>45297</c:v>
                </c:pt>
                <c:pt idx="525">
                  <c:v>45296</c:v>
                </c:pt>
                <c:pt idx="526">
                  <c:v>45295</c:v>
                </c:pt>
                <c:pt idx="527">
                  <c:v>45294</c:v>
                </c:pt>
                <c:pt idx="528">
                  <c:v>45293</c:v>
                </c:pt>
                <c:pt idx="529">
                  <c:v>45292</c:v>
                </c:pt>
                <c:pt idx="530">
                  <c:v>45291</c:v>
                </c:pt>
                <c:pt idx="531">
                  <c:v>45290</c:v>
                </c:pt>
                <c:pt idx="532">
                  <c:v>45289</c:v>
                </c:pt>
                <c:pt idx="533">
                  <c:v>45288</c:v>
                </c:pt>
                <c:pt idx="534">
                  <c:v>45287</c:v>
                </c:pt>
                <c:pt idx="535">
                  <c:v>45286</c:v>
                </c:pt>
                <c:pt idx="536">
                  <c:v>45285</c:v>
                </c:pt>
                <c:pt idx="537">
                  <c:v>45284</c:v>
                </c:pt>
                <c:pt idx="538">
                  <c:v>45283</c:v>
                </c:pt>
                <c:pt idx="539">
                  <c:v>45282</c:v>
                </c:pt>
                <c:pt idx="540">
                  <c:v>45281</c:v>
                </c:pt>
                <c:pt idx="541">
                  <c:v>45280</c:v>
                </c:pt>
                <c:pt idx="542">
                  <c:v>45279</c:v>
                </c:pt>
                <c:pt idx="543">
                  <c:v>45278</c:v>
                </c:pt>
                <c:pt idx="544">
                  <c:v>45277</c:v>
                </c:pt>
                <c:pt idx="545">
                  <c:v>45276</c:v>
                </c:pt>
                <c:pt idx="546">
                  <c:v>45275</c:v>
                </c:pt>
                <c:pt idx="547">
                  <c:v>45274</c:v>
                </c:pt>
                <c:pt idx="548">
                  <c:v>45273</c:v>
                </c:pt>
                <c:pt idx="549">
                  <c:v>45272</c:v>
                </c:pt>
                <c:pt idx="550">
                  <c:v>45271</c:v>
                </c:pt>
                <c:pt idx="551">
                  <c:v>45270</c:v>
                </c:pt>
                <c:pt idx="552">
                  <c:v>45269</c:v>
                </c:pt>
                <c:pt idx="553">
                  <c:v>45268</c:v>
                </c:pt>
                <c:pt idx="554">
                  <c:v>45267</c:v>
                </c:pt>
                <c:pt idx="555">
                  <c:v>45266</c:v>
                </c:pt>
                <c:pt idx="556">
                  <c:v>45265</c:v>
                </c:pt>
                <c:pt idx="557">
                  <c:v>45264</c:v>
                </c:pt>
                <c:pt idx="558">
                  <c:v>45263</c:v>
                </c:pt>
                <c:pt idx="559">
                  <c:v>45262</c:v>
                </c:pt>
                <c:pt idx="560">
                  <c:v>45261</c:v>
                </c:pt>
                <c:pt idx="561">
                  <c:v>45260</c:v>
                </c:pt>
                <c:pt idx="562">
                  <c:v>45259</c:v>
                </c:pt>
                <c:pt idx="563">
                  <c:v>45258</c:v>
                </c:pt>
                <c:pt idx="564">
                  <c:v>45257</c:v>
                </c:pt>
                <c:pt idx="565">
                  <c:v>45256</c:v>
                </c:pt>
                <c:pt idx="566">
                  <c:v>45255</c:v>
                </c:pt>
                <c:pt idx="567">
                  <c:v>45254</c:v>
                </c:pt>
                <c:pt idx="568">
                  <c:v>45253</c:v>
                </c:pt>
                <c:pt idx="569">
                  <c:v>45252</c:v>
                </c:pt>
                <c:pt idx="570">
                  <c:v>45251</c:v>
                </c:pt>
                <c:pt idx="571">
                  <c:v>45250</c:v>
                </c:pt>
                <c:pt idx="572">
                  <c:v>45249</c:v>
                </c:pt>
                <c:pt idx="573">
                  <c:v>45248</c:v>
                </c:pt>
                <c:pt idx="574">
                  <c:v>45247</c:v>
                </c:pt>
                <c:pt idx="575">
                  <c:v>45246</c:v>
                </c:pt>
                <c:pt idx="576">
                  <c:v>45245</c:v>
                </c:pt>
                <c:pt idx="577">
                  <c:v>45244</c:v>
                </c:pt>
                <c:pt idx="578">
                  <c:v>45243</c:v>
                </c:pt>
                <c:pt idx="579">
                  <c:v>45242</c:v>
                </c:pt>
                <c:pt idx="580">
                  <c:v>45241</c:v>
                </c:pt>
                <c:pt idx="581">
                  <c:v>45240</c:v>
                </c:pt>
                <c:pt idx="582">
                  <c:v>45239</c:v>
                </c:pt>
                <c:pt idx="583">
                  <c:v>45238</c:v>
                </c:pt>
                <c:pt idx="584">
                  <c:v>45237</c:v>
                </c:pt>
                <c:pt idx="585">
                  <c:v>45236</c:v>
                </c:pt>
                <c:pt idx="586">
                  <c:v>45235</c:v>
                </c:pt>
                <c:pt idx="587">
                  <c:v>45234</c:v>
                </c:pt>
                <c:pt idx="588">
                  <c:v>45233</c:v>
                </c:pt>
                <c:pt idx="589">
                  <c:v>45232</c:v>
                </c:pt>
                <c:pt idx="590">
                  <c:v>45231</c:v>
                </c:pt>
                <c:pt idx="591">
                  <c:v>45230</c:v>
                </c:pt>
                <c:pt idx="592">
                  <c:v>45229</c:v>
                </c:pt>
                <c:pt idx="593">
                  <c:v>45228</c:v>
                </c:pt>
                <c:pt idx="594">
                  <c:v>45227</c:v>
                </c:pt>
                <c:pt idx="595">
                  <c:v>45226</c:v>
                </c:pt>
                <c:pt idx="596">
                  <c:v>45225</c:v>
                </c:pt>
                <c:pt idx="597">
                  <c:v>45224</c:v>
                </c:pt>
                <c:pt idx="598">
                  <c:v>45223</c:v>
                </c:pt>
                <c:pt idx="599">
                  <c:v>45222</c:v>
                </c:pt>
                <c:pt idx="600">
                  <c:v>45221</c:v>
                </c:pt>
                <c:pt idx="601">
                  <c:v>45220</c:v>
                </c:pt>
                <c:pt idx="602">
                  <c:v>45219</c:v>
                </c:pt>
                <c:pt idx="603">
                  <c:v>45218</c:v>
                </c:pt>
                <c:pt idx="604">
                  <c:v>45217</c:v>
                </c:pt>
                <c:pt idx="605">
                  <c:v>45216</c:v>
                </c:pt>
                <c:pt idx="606">
                  <c:v>45215</c:v>
                </c:pt>
                <c:pt idx="607">
                  <c:v>45214</c:v>
                </c:pt>
                <c:pt idx="608">
                  <c:v>45213</c:v>
                </c:pt>
                <c:pt idx="609">
                  <c:v>45212</c:v>
                </c:pt>
                <c:pt idx="610">
                  <c:v>45211</c:v>
                </c:pt>
                <c:pt idx="611">
                  <c:v>45210</c:v>
                </c:pt>
                <c:pt idx="612">
                  <c:v>45209</c:v>
                </c:pt>
                <c:pt idx="613">
                  <c:v>45208</c:v>
                </c:pt>
                <c:pt idx="614">
                  <c:v>45207</c:v>
                </c:pt>
                <c:pt idx="615">
                  <c:v>45206</c:v>
                </c:pt>
                <c:pt idx="616">
                  <c:v>45205</c:v>
                </c:pt>
                <c:pt idx="617">
                  <c:v>45204</c:v>
                </c:pt>
                <c:pt idx="618">
                  <c:v>45203</c:v>
                </c:pt>
                <c:pt idx="619">
                  <c:v>45202</c:v>
                </c:pt>
                <c:pt idx="620">
                  <c:v>45201</c:v>
                </c:pt>
                <c:pt idx="621">
                  <c:v>45200</c:v>
                </c:pt>
                <c:pt idx="622">
                  <c:v>45199</c:v>
                </c:pt>
                <c:pt idx="623">
                  <c:v>45198</c:v>
                </c:pt>
                <c:pt idx="624">
                  <c:v>45197</c:v>
                </c:pt>
                <c:pt idx="625">
                  <c:v>45196</c:v>
                </c:pt>
                <c:pt idx="626">
                  <c:v>45195</c:v>
                </c:pt>
                <c:pt idx="627">
                  <c:v>45194</c:v>
                </c:pt>
                <c:pt idx="628">
                  <c:v>45193</c:v>
                </c:pt>
                <c:pt idx="629">
                  <c:v>45192</c:v>
                </c:pt>
                <c:pt idx="630">
                  <c:v>45191</c:v>
                </c:pt>
                <c:pt idx="631">
                  <c:v>45190</c:v>
                </c:pt>
                <c:pt idx="632">
                  <c:v>45189</c:v>
                </c:pt>
                <c:pt idx="633">
                  <c:v>45188</c:v>
                </c:pt>
                <c:pt idx="634">
                  <c:v>45187</c:v>
                </c:pt>
                <c:pt idx="635">
                  <c:v>45186</c:v>
                </c:pt>
                <c:pt idx="636">
                  <c:v>45185</c:v>
                </c:pt>
                <c:pt idx="637">
                  <c:v>45184</c:v>
                </c:pt>
                <c:pt idx="638">
                  <c:v>45183</c:v>
                </c:pt>
                <c:pt idx="639">
                  <c:v>45182</c:v>
                </c:pt>
                <c:pt idx="640">
                  <c:v>45181</c:v>
                </c:pt>
                <c:pt idx="641">
                  <c:v>45180</c:v>
                </c:pt>
                <c:pt idx="642">
                  <c:v>45179</c:v>
                </c:pt>
                <c:pt idx="643">
                  <c:v>45178</c:v>
                </c:pt>
                <c:pt idx="644">
                  <c:v>45177</c:v>
                </c:pt>
                <c:pt idx="645">
                  <c:v>45176</c:v>
                </c:pt>
                <c:pt idx="646">
                  <c:v>45175</c:v>
                </c:pt>
                <c:pt idx="647">
                  <c:v>45174</c:v>
                </c:pt>
                <c:pt idx="648">
                  <c:v>45173</c:v>
                </c:pt>
                <c:pt idx="649">
                  <c:v>45172</c:v>
                </c:pt>
                <c:pt idx="650">
                  <c:v>45171</c:v>
                </c:pt>
                <c:pt idx="651">
                  <c:v>45170</c:v>
                </c:pt>
                <c:pt idx="652">
                  <c:v>45169</c:v>
                </c:pt>
                <c:pt idx="653">
                  <c:v>45168</c:v>
                </c:pt>
                <c:pt idx="654">
                  <c:v>45167</c:v>
                </c:pt>
                <c:pt idx="655">
                  <c:v>45166</c:v>
                </c:pt>
                <c:pt idx="656">
                  <c:v>45165</c:v>
                </c:pt>
                <c:pt idx="657">
                  <c:v>45164</c:v>
                </c:pt>
                <c:pt idx="658">
                  <c:v>45163</c:v>
                </c:pt>
                <c:pt idx="659">
                  <c:v>45162</c:v>
                </c:pt>
                <c:pt idx="660">
                  <c:v>45161</c:v>
                </c:pt>
                <c:pt idx="661">
                  <c:v>45160</c:v>
                </c:pt>
                <c:pt idx="662">
                  <c:v>45159</c:v>
                </c:pt>
                <c:pt idx="663">
                  <c:v>45158</c:v>
                </c:pt>
                <c:pt idx="664">
                  <c:v>45157</c:v>
                </c:pt>
                <c:pt idx="665">
                  <c:v>45156</c:v>
                </c:pt>
                <c:pt idx="666">
                  <c:v>45155</c:v>
                </c:pt>
                <c:pt idx="667">
                  <c:v>45154</c:v>
                </c:pt>
                <c:pt idx="668">
                  <c:v>45153</c:v>
                </c:pt>
                <c:pt idx="669">
                  <c:v>45152</c:v>
                </c:pt>
                <c:pt idx="670">
                  <c:v>45151</c:v>
                </c:pt>
                <c:pt idx="671">
                  <c:v>45150</c:v>
                </c:pt>
                <c:pt idx="672">
                  <c:v>45149</c:v>
                </c:pt>
                <c:pt idx="673">
                  <c:v>45148</c:v>
                </c:pt>
                <c:pt idx="674">
                  <c:v>45147</c:v>
                </c:pt>
                <c:pt idx="675">
                  <c:v>45146</c:v>
                </c:pt>
                <c:pt idx="676">
                  <c:v>45145</c:v>
                </c:pt>
                <c:pt idx="677">
                  <c:v>45144</c:v>
                </c:pt>
                <c:pt idx="678">
                  <c:v>45143</c:v>
                </c:pt>
                <c:pt idx="679">
                  <c:v>45142</c:v>
                </c:pt>
                <c:pt idx="680">
                  <c:v>45141</c:v>
                </c:pt>
                <c:pt idx="681">
                  <c:v>45140</c:v>
                </c:pt>
                <c:pt idx="682">
                  <c:v>45139</c:v>
                </c:pt>
                <c:pt idx="683">
                  <c:v>45138</c:v>
                </c:pt>
                <c:pt idx="684">
                  <c:v>45137</c:v>
                </c:pt>
                <c:pt idx="685">
                  <c:v>45136</c:v>
                </c:pt>
                <c:pt idx="686">
                  <c:v>45135</c:v>
                </c:pt>
                <c:pt idx="687">
                  <c:v>45134</c:v>
                </c:pt>
                <c:pt idx="688">
                  <c:v>45133</c:v>
                </c:pt>
                <c:pt idx="689">
                  <c:v>45132</c:v>
                </c:pt>
                <c:pt idx="690">
                  <c:v>45131</c:v>
                </c:pt>
                <c:pt idx="691">
                  <c:v>45130</c:v>
                </c:pt>
                <c:pt idx="692">
                  <c:v>45129</c:v>
                </c:pt>
                <c:pt idx="693">
                  <c:v>45128</c:v>
                </c:pt>
                <c:pt idx="694">
                  <c:v>45127</c:v>
                </c:pt>
                <c:pt idx="695">
                  <c:v>45126</c:v>
                </c:pt>
                <c:pt idx="696">
                  <c:v>45125</c:v>
                </c:pt>
                <c:pt idx="697">
                  <c:v>45124</c:v>
                </c:pt>
                <c:pt idx="698">
                  <c:v>45123</c:v>
                </c:pt>
                <c:pt idx="699">
                  <c:v>45122</c:v>
                </c:pt>
                <c:pt idx="700">
                  <c:v>45121</c:v>
                </c:pt>
                <c:pt idx="701">
                  <c:v>45120</c:v>
                </c:pt>
                <c:pt idx="702">
                  <c:v>45119</c:v>
                </c:pt>
                <c:pt idx="703">
                  <c:v>45118</c:v>
                </c:pt>
                <c:pt idx="704">
                  <c:v>45117</c:v>
                </c:pt>
                <c:pt idx="705">
                  <c:v>45116</c:v>
                </c:pt>
                <c:pt idx="706">
                  <c:v>45115</c:v>
                </c:pt>
                <c:pt idx="707">
                  <c:v>45114</c:v>
                </c:pt>
                <c:pt idx="708">
                  <c:v>45113</c:v>
                </c:pt>
                <c:pt idx="709">
                  <c:v>45112</c:v>
                </c:pt>
                <c:pt idx="710">
                  <c:v>45111</c:v>
                </c:pt>
                <c:pt idx="711">
                  <c:v>45110</c:v>
                </c:pt>
                <c:pt idx="712">
                  <c:v>45109</c:v>
                </c:pt>
                <c:pt idx="713">
                  <c:v>45108</c:v>
                </c:pt>
                <c:pt idx="714">
                  <c:v>45107</c:v>
                </c:pt>
                <c:pt idx="715">
                  <c:v>45106</c:v>
                </c:pt>
                <c:pt idx="716">
                  <c:v>45105</c:v>
                </c:pt>
                <c:pt idx="717">
                  <c:v>45104</c:v>
                </c:pt>
                <c:pt idx="718">
                  <c:v>45103</c:v>
                </c:pt>
                <c:pt idx="719">
                  <c:v>45102</c:v>
                </c:pt>
                <c:pt idx="720">
                  <c:v>45101</c:v>
                </c:pt>
                <c:pt idx="721">
                  <c:v>45100</c:v>
                </c:pt>
                <c:pt idx="722">
                  <c:v>45099</c:v>
                </c:pt>
                <c:pt idx="723">
                  <c:v>45098</c:v>
                </c:pt>
                <c:pt idx="724">
                  <c:v>45097</c:v>
                </c:pt>
                <c:pt idx="725">
                  <c:v>45096</c:v>
                </c:pt>
                <c:pt idx="726">
                  <c:v>45095</c:v>
                </c:pt>
                <c:pt idx="727">
                  <c:v>45094</c:v>
                </c:pt>
                <c:pt idx="728">
                  <c:v>45093</c:v>
                </c:pt>
                <c:pt idx="729">
                  <c:v>45092</c:v>
                </c:pt>
                <c:pt idx="730">
                  <c:v>45091</c:v>
                </c:pt>
                <c:pt idx="731">
                  <c:v>45090</c:v>
                </c:pt>
                <c:pt idx="732">
                  <c:v>45089</c:v>
                </c:pt>
                <c:pt idx="733">
                  <c:v>45088</c:v>
                </c:pt>
                <c:pt idx="734">
                  <c:v>45087</c:v>
                </c:pt>
                <c:pt idx="735">
                  <c:v>45086</c:v>
                </c:pt>
                <c:pt idx="736">
                  <c:v>45085</c:v>
                </c:pt>
                <c:pt idx="737">
                  <c:v>45084</c:v>
                </c:pt>
                <c:pt idx="738">
                  <c:v>45083</c:v>
                </c:pt>
                <c:pt idx="739">
                  <c:v>45082</c:v>
                </c:pt>
                <c:pt idx="740">
                  <c:v>45081</c:v>
                </c:pt>
                <c:pt idx="741">
                  <c:v>45080</c:v>
                </c:pt>
                <c:pt idx="742">
                  <c:v>45079</c:v>
                </c:pt>
                <c:pt idx="743">
                  <c:v>45078</c:v>
                </c:pt>
                <c:pt idx="744">
                  <c:v>45077</c:v>
                </c:pt>
                <c:pt idx="745">
                  <c:v>45076</c:v>
                </c:pt>
                <c:pt idx="746">
                  <c:v>45075</c:v>
                </c:pt>
                <c:pt idx="747">
                  <c:v>45074</c:v>
                </c:pt>
                <c:pt idx="748">
                  <c:v>45073</c:v>
                </c:pt>
                <c:pt idx="749">
                  <c:v>45072</c:v>
                </c:pt>
                <c:pt idx="750">
                  <c:v>45071</c:v>
                </c:pt>
                <c:pt idx="751">
                  <c:v>45070</c:v>
                </c:pt>
                <c:pt idx="752">
                  <c:v>45069</c:v>
                </c:pt>
                <c:pt idx="753">
                  <c:v>45068</c:v>
                </c:pt>
                <c:pt idx="754">
                  <c:v>45067</c:v>
                </c:pt>
                <c:pt idx="755">
                  <c:v>45066</c:v>
                </c:pt>
                <c:pt idx="756">
                  <c:v>45065</c:v>
                </c:pt>
                <c:pt idx="757">
                  <c:v>45064</c:v>
                </c:pt>
                <c:pt idx="758">
                  <c:v>45063</c:v>
                </c:pt>
                <c:pt idx="759">
                  <c:v>45062</c:v>
                </c:pt>
                <c:pt idx="760">
                  <c:v>45061</c:v>
                </c:pt>
                <c:pt idx="761">
                  <c:v>45060</c:v>
                </c:pt>
                <c:pt idx="762">
                  <c:v>45059</c:v>
                </c:pt>
                <c:pt idx="763">
                  <c:v>45058</c:v>
                </c:pt>
                <c:pt idx="764">
                  <c:v>45057</c:v>
                </c:pt>
                <c:pt idx="765">
                  <c:v>45056</c:v>
                </c:pt>
                <c:pt idx="766">
                  <c:v>45055</c:v>
                </c:pt>
                <c:pt idx="767">
                  <c:v>45054</c:v>
                </c:pt>
                <c:pt idx="768">
                  <c:v>45053</c:v>
                </c:pt>
                <c:pt idx="769">
                  <c:v>45052</c:v>
                </c:pt>
                <c:pt idx="770">
                  <c:v>45051</c:v>
                </c:pt>
                <c:pt idx="771">
                  <c:v>45050</c:v>
                </c:pt>
                <c:pt idx="772">
                  <c:v>45049</c:v>
                </c:pt>
                <c:pt idx="773">
                  <c:v>45048</c:v>
                </c:pt>
                <c:pt idx="774">
                  <c:v>45047</c:v>
                </c:pt>
                <c:pt idx="775">
                  <c:v>45046</c:v>
                </c:pt>
                <c:pt idx="776">
                  <c:v>45045</c:v>
                </c:pt>
                <c:pt idx="777">
                  <c:v>45044</c:v>
                </c:pt>
                <c:pt idx="778">
                  <c:v>45043</c:v>
                </c:pt>
                <c:pt idx="779">
                  <c:v>45042</c:v>
                </c:pt>
                <c:pt idx="780">
                  <c:v>45041</c:v>
                </c:pt>
                <c:pt idx="781">
                  <c:v>45040</c:v>
                </c:pt>
                <c:pt idx="782">
                  <c:v>45039</c:v>
                </c:pt>
                <c:pt idx="783">
                  <c:v>45038</c:v>
                </c:pt>
                <c:pt idx="784">
                  <c:v>45037</c:v>
                </c:pt>
                <c:pt idx="785">
                  <c:v>45036</c:v>
                </c:pt>
                <c:pt idx="786">
                  <c:v>45035</c:v>
                </c:pt>
                <c:pt idx="787">
                  <c:v>45034</c:v>
                </c:pt>
                <c:pt idx="788">
                  <c:v>45033</c:v>
                </c:pt>
                <c:pt idx="789">
                  <c:v>45032</c:v>
                </c:pt>
                <c:pt idx="790">
                  <c:v>45031</c:v>
                </c:pt>
                <c:pt idx="791">
                  <c:v>45030</c:v>
                </c:pt>
                <c:pt idx="792">
                  <c:v>45029</c:v>
                </c:pt>
                <c:pt idx="793">
                  <c:v>45028</c:v>
                </c:pt>
                <c:pt idx="794">
                  <c:v>45027</c:v>
                </c:pt>
                <c:pt idx="795">
                  <c:v>45026</c:v>
                </c:pt>
                <c:pt idx="796">
                  <c:v>45025</c:v>
                </c:pt>
                <c:pt idx="797">
                  <c:v>45024</c:v>
                </c:pt>
                <c:pt idx="798">
                  <c:v>45023</c:v>
                </c:pt>
                <c:pt idx="799">
                  <c:v>45022</c:v>
                </c:pt>
                <c:pt idx="800">
                  <c:v>45021</c:v>
                </c:pt>
                <c:pt idx="801">
                  <c:v>45020</c:v>
                </c:pt>
                <c:pt idx="802">
                  <c:v>45019</c:v>
                </c:pt>
                <c:pt idx="803">
                  <c:v>45018</c:v>
                </c:pt>
                <c:pt idx="804">
                  <c:v>45017</c:v>
                </c:pt>
                <c:pt idx="805">
                  <c:v>45016</c:v>
                </c:pt>
                <c:pt idx="806">
                  <c:v>45015</c:v>
                </c:pt>
                <c:pt idx="807">
                  <c:v>45014</c:v>
                </c:pt>
                <c:pt idx="808">
                  <c:v>45013</c:v>
                </c:pt>
                <c:pt idx="809">
                  <c:v>45012</c:v>
                </c:pt>
                <c:pt idx="810">
                  <c:v>45011</c:v>
                </c:pt>
                <c:pt idx="811">
                  <c:v>45010</c:v>
                </c:pt>
                <c:pt idx="812">
                  <c:v>45009</c:v>
                </c:pt>
                <c:pt idx="813">
                  <c:v>45008</c:v>
                </c:pt>
                <c:pt idx="814">
                  <c:v>45007</c:v>
                </c:pt>
                <c:pt idx="815">
                  <c:v>45006</c:v>
                </c:pt>
                <c:pt idx="816">
                  <c:v>45005</c:v>
                </c:pt>
                <c:pt idx="817">
                  <c:v>45004</c:v>
                </c:pt>
                <c:pt idx="818">
                  <c:v>45003</c:v>
                </c:pt>
                <c:pt idx="819">
                  <c:v>45002</c:v>
                </c:pt>
                <c:pt idx="820">
                  <c:v>45001</c:v>
                </c:pt>
                <c:pt idx="821">
                  <c:v>45000</c:v>
                </c:pt>
                <c:pt idx="822">
                  <c:v>44999</c:v>
                </c:pt>
                <c:pt idx="823">
                  <c:v>44998</c:v>
                </c:pt>
                <c:pt idx="824">
                  <c:v>44997</c:v>
                </c:pt>
                <c:pt idx="825">
                  <c:v>44996</c:v>
                </c:pt>
                <c:pt idx="826">
                  <c:v>44995</c:v>
                </c:pt>
                <c:pt idx="827">
                  <c:v>44994</c:v>
                </c:pt>
                <c:pt idx="828">
                  <c:v>44993</c:v>
                </c:pt>
                <c:pt idx="829">
                  <c:v>44992</c:v>
                </c:pt>
                <c:pt idx="830">
                  <c:v>44991</c:v>
                </c:pt>
                <c:pt idx="831">
                  <c:v>44990</c:v>
                </c:pt>
                <c:pt idx="832">
                  <c:v>44989</c:v>
                </c:pt>
                <c:pt idx="833">
                  <c:v>44988</c:v>
                </c:pt>
                <c:pt idx="834">
                  <c:v>44987</c:v>
                </c:pt>
                <c:pt idx="835">
                  <c:v>44986</c:v>
                </c:pt>
                <c:pt idx="836">
                  <c:v>44985</c:v>
                </c:pt>
                <c:pt idx="837">
                  <c:v>44984</c:v>
                </c:pt>
                <c:pt idx="838">
                  <c:v>44983</c:v>
                </c:pt>
                <c:pt idx="839">
                  <c:v>44982</c:v>
                </c:pt>
                <c:pt idx="840">
                  <c:v>44981</c:v>
                </c:pt>
                <c:pt idx="841">
                  <c:v>44980</c:v>
                </c:pt>
                <c:pt idx="842">
                  <c:v>44979</c:v>
                </c:pt>
                <c:pt idx="843">
                  <c:v>44978</c:v>
                </c:pt>
                <c:pt idx="844">
                  <c:v>44977</c:v>
                </c:pt>
                <c:pt idx="845">
                  <c:v>44976</c:v>
                </c:pt>
                <c:pt idx="846">
                  <c:v>44975</c:v>
                </c:pt>
                <c:pt idx="847">
                  <c:v>44974</c:v>
                </c:pt>
                <c:pt idx="848">
                  <c:v>44973</c:v>
                </c:pt>
                <c:pt idx="849">
                  <c:v>44972</c:v>
                </c:pt>
                <c:pt idx="850">
                  <c:v>44971</c:v>
                </c:pt>
                <c:pt idx="851">
                  <c:v>44970</c:v>
                </c:pt>
                <c:pt idx="852">
                  <c:v>44969</c:v>
                </c:pt>
                <c:pt idx="853">
                  <c:v>44968</c:v>
                </c:pt>
                <c:pt idx="854">
                  <c:v>44967</c:v>
                </c:pt>
                <c:pt idx="855">
                  <c:v>44966</c:v>
                </c:pt>
                <c:pt idx="856">
                  <c:v>44965</c:v>
                </c:pt>
                <c:pt idx="857">
                  <c:v>44964</c:v>
                </c:pt>
                <c:pt idx="858">
                  <c:v>44963</c:v>
                </c:pt>
                <c:pt idx="859">
                  <c:v>44962</c:v>
                </c:pt>
                <c:pt idx="860">
                  <c:v>44961</c:v>
                </c:pt>
                <c:pt idx="861">
                  <c:v>44960</c:v>
                </c:pt>
                <c:pt idx="862">
                  <c:v>44959</c:v>
                </c:pt>
                <c:pt idx="863">
                  <c:v>44958</c:v>
                </c:pt>
                <c:pt idx="864">
                  <c:v>44957</c:v>
                </c:pt>
                <c:pt idx="865">
                  <c:v>44956</c:v>
                </c:pt>
                <c:pt idx="866">
                  <c:v>44955</c:v>
                </c:pt>
                <c:pt idx="867">
                  <c:v>44954</c:v>
                </c:pt>
                <c:pt idx="868">
                  <c:v>44953</c:v>
                </c:pt>
                <c:pt idx="869">
                  <c:v>44952</c:v>
                </c:pt>
                <c:pt idx="870">
                  <c:v>44951</c:v>
                </c:pt>
                <c:pt idx="871">
                  <c:v>44950</c:v>
                </c:pt>
                <c:pt idx="872">
                  <c:v>44949</c:v>
                </c:pt>
                <c:pt idx="873">
                  <c:v>44948</c:v>
                </c:pt>
                <c:pt idx="874">
                  <c:v>44947</c:v>
                </c:pt>
                <c:pt idx="875">
                  <c:v>44946</c:v>
                </c:pt>
                <c:pt idx="876">
                  <c:v>44945</c:v>
                </c:pt>
                <c:pt idx="877">
                  <c:v>44944</c:v>
                </c:pt>
                <c:pt idx="878">
                  <c:v>44943</c:v>
                </c:pt>
                <c:pt idx="879">
                  <c:v>44942</c:v>
                </c:pt>
                <c:pt idx="880">
                  <c:v>44941</c:v>
                </c:pt>
                <c:pt idx="881">
                  <c:v>44940</c:v>
                </c:pt>
                <c:pt idx="882">
                  <c:v>44939</c:v>
                </c:pt>
                <c:pt idx="883">
                  <c:v>44938</c:v>
                </c:pt>
                <c:pt idx="884">
                  <c:v>44937</c:v>
                </c:pt>
                <c:pt idx="885">
                  <c:v>44936</c:v>
                </c:pt>
                <c:pt idx="886">
                  <c:v>44935</c:v>
                </c:pt>
                <c:pt idx="887">
                  <c:v>44934</c:v>
                </c:pt>
                <c:pt idx="888">
                  <c:v>44933</c:v>
                </c:pt>
                <c:pt idx="889">
                  <c:v>44932</c:v>
                </c:pt>
                <c:pt idx="890">
                  <c:v>44931</c:v>
                </c:pt>
                <c:pt idx="891">
                  <c:v>44930</c:v>
                </c:pt>
                <c:pt idx="892">
                  <c:v>44929</c:v>
                </c:pt>
                <c:pt idx="893">
                  <c:v>44928</c:v>
                </c:pt>
                <c:pt idx="894">
                  <c:v>44927</c:v>
                </c:pt>
                <c:pt idx="895">
                  <c:v>44926</c:v>
                </c:pt>
                <c:pt idx="896">
                  <c:v>44925</c:v>
                </c:pt>
                <c:pt idx="897">
                  <c:v>44924</c:v>
                </c:pt>
                <c:pt idx="898">
                  <c:v>44923</c:v>
                </c:pt>
                <c:pt idx="899">
                  <c:v>44922</c:v>
                </c:pt>
                <c:pt idx="900">
                  <c:v>44921</c:v>
                </c:pt>
                <c:pt idx="901">
                  <c:v>44920</c:v>
                </c:pt>
                <c:pt idx="902">
                  <c:v>44919</c:v>
                </c:pt>
                <c:pt idx="903">
                  <c:v>44918</c:v>
                </c:pt>
                <c:pt idx="904">
                  <c:v>44917</c:v>
                </c:pt>
                <c:pt idx="905">
                  <c:v>44916</c:v>
                </c:pt>
                <c:pt idx="906">
                  <c:v>44915</c:v>
                </c:pt>
                <c:pt idx="907">
                  <c:v>44914</c:v>
                </c:pt>
                <c:pt idx="908">
                  <c:v>44913</c:v>
                </c:pt>
                <c:pt idx="909">
                  <c:v>44912</c:v>
                </c:pt>
                <c:pt idx="910">
                  <c:v>44911</c:v>
                </c:pt>
                <c:pt idx="911">
                  <c:v>44910</c:v>
                </c:pt>
                <c:pt idx="912">
                  <c:v>44909</c:v>
                </c:pt>
                <c:pt idx="913">
                  <c:v>44908</c:v>
                </c:pt>
                <c:pt idx="914">
                  <c:v>44907</c:v>
                </c:pt>
                <c:pt idx="915">
                  <c:v>44906</c:v>
                </c:pt>
                <c:pt idx="916">
                  <c:v>44905</c:v>
                </c:pt>
                <c:pt idx="917">
                  <c:v>44904</c:v>
                </c:pt>
                <c:pt idx="918">
                  <c:v>44903</c:v>
                </c:pt>
                <c:pt idx="919">
                  <c:v>44902</c:v>
                </c:pt>
                <c:pt idx="920">
                  <c:v>44901</c:v>
                </c:pt>
                <c:pt idx="921">
                  <c:v>44900</c:v>
                </c:pt>
                <c:pt idx="922">
                  <c:v>44899</c:v>
                </c:pt>
                <c:pt idx="923">
                  <c:v>44898</c:v>
                </c:pt>
                <c:pt idx="924">
                  <c:v>44897</c:v>
                </c:pt>
                <c:pt idx="925">
                  <c:v>44896</c:v>
                </c:pt>
                <c:pt idx="926">
                  <c:v>44895</c:v>
                </c:pt>
                <c:pt idx="927">
                  <c:v>44894</c:v>
                </c:pt>
                <c:pt idx="928">
                  <c:v>44893</c:v>
                </c:pt>
                <c:pt idx="929">
                  <c:v>44892</c:v>
                </c:pt>
                <c:pt idx="930">
                  <c:v>44891</c:v>
                </c:pt>
                <c:pt idx="931">
                  <c:v>44890</c:v>
                </c:pt>
                <c:pt idx="932">
                  <c:v>44889</c:v>
                </c:pt>
                <c:pt idx="933">
                  <c:v>44888</c:v>
                </c:pt>
                <c:pt idx="934">
                  <c:v>44887</c:v>
                </c:pt>
                <c:pt idx="935">
                  <c:v>44886</c:v>
                </c:pt>
                <c:pt idx="936">
                  <c:v>44885</c:v>
                </c:pt>
                <c:pt idx="937">
                  <c:v>44884</c:v>
                </c:pt>
                <c:pt idx="938">
                  <c:v>44883</c:v>
                </c:pt>
                <c:pt idx="939">
                  <c:v>44882</c:v>
                </c:pt>
                <c:pt idx="940">
                  <c:v>44881</c:v>
                </c:pt>
                <c:pt idx="941">
                  <c:v>44880</c:v>
                </c:pt>
                <c:pt idx="942">
                  <c:v>44879</c:v>
                </c:pt>
                <c:pt idx="943">
                  <c:v>44878</c:v>
                </c:pt>
                <c:pt idx="944">
                  <c:v>44877</c:v>
                </c:pt>
                <c:pt idx="945">
                  <c:v>44876</c:v>
                </c:pt>
                <c:pt idx="946">
                  <c:v>44875</c:v>
                </c:pt>
                <c:pt idx="947">
                  <c:v>44874</c:v>
                </c:pt>
                <c:pt idx="948">
                  <c:v>44873</c:v>
                </c:pt>
                <c:pt idx="949">
                  <c:v>44872</c:v>
                </c:pt>
                <c:pt idx="950">
                  <c:v>44871</c:v>
                </c:pt>
                <c:pt idx="951">
                  <c:v>44870</c:v>
                </c:pt>
                <c:pt idx="952">
                  <c:v>44869</c:v>
                </c:pt>
                <c:pt idx="953">
                  <c:v>44868</c:v>
                </c:pt>
                <c:pt idx="954">
                  <c:v>44867</c:v>
                </c:pt>
                <c:pt idx="955">
                  <c:v>44866</c:v>
                </c:pt>
                <c:pt idx="956">
                  <c:v>44865</c:v>
                </c:pt>
                <c:pt idx="957">
                  <c:v>44864</c:v>
                </c:pt>
                <c:pt idx="958">
                  <c:v>44863</c:v>
                </c:pt>
                <c:pt idx="959">
                  <c:v>44862</c:v>
                </c:pt>
                <c:pt idx="960">
                  <c:v>44861</c:v>
                </c:pt>
                <c:pt idx="961">
                  <c:v>44860</c:v>
                </c:pt>
                <c:pt idx="962">
                  <c:v>44859</c:v>
                </c:pt>
                <c:pt idx="963">
                  <c:v>44858</c:v>
                </c:pt>
                <c:pt idx="964">
                  <c:v>44857</c:v>
                </c:pt>
                <c:pt idx="965">
                  <c:v>44856</c:v>
                </c:pt>
                <c:pt idx="966">
                  <c:v>44855</c:v>
                </c:pt>
                <c:pt idx="967">
                  <c:v>44854</c:v>
                </c:pt>
                <c:pt idx="968">
                  <c:v>44853</c:v>
                </c:pt>
                <c:pt idx="969">
                  <c:v>44852</c:v>
                </c:pt>
                <c:pt idx="970">
                  <c:v>44851</c:v>
                </c:pt>
                <c:pt idx="971">
                  <c:v>44850</c:v>
                </c:pt>
                <c:pt idx="972">
                  <c:v>44849</c:v>
                </c:pt>
                <c:pt idx="973">
                  <c:v>44848</c:v>
                </c:pt>
                <c:pt idx="974">
                  <c:v>44847</c:v>
                </c:pt>
                <c:pt idx="975">
                  <c:v>44846</c:v>
                </c:pt>
                <c:pt idx="976">
                  <c:v>44845</c:v>
                </c:pt>
                <c:pt idx="977">
                  <c:v>44844</c:v>
                </c:pt>
                <c:pt idx="978">
                  <c:v>44843</c:v>
                </c:pt>
                <c:pt idx="979">
                  <c:v>44842</c:v>
                </c:pt>
                <c:pt idx="980">
                  <c:v>44841</c:v>
                </c:pt>
                <c:pt idx="981">
                  <c:v>44840</c:v>
                </c:pt>
                <c:pt idx="982">
                  <c:v>44839</c:v>
                </c:pt>
                <c:pt idx="983">
                  <c:v>44838</c:v>
                </c:pt>
                <c:pt idx="984">
                  <c:v>44837</c:v>
                </c:pt>
                <c:pt idx="985">
                  <c:v>44836</c:v>
                </c:pt>
                <c:pt idx="986">
                  <c:v>44835</c:v>
                </c:pt>
                <c:pt idx="987">
                  <c:v>44834</c:v>
                </c:pt>
                <c:pt idx="988">
                  <c:v>44833</c:v>
                </c:pt>
                <c:pt idx="989">
                  <c:v>44832</c:v>
                </c:pt>
                <c:pt idx="990">
                  <c:v>44831</c:v>
                </c:pt>
                <c:pt idx="991">
                  <c:v>44830</c:v>
                </c:pt>
                <c:pt idx="992">
                  <c:v>44829</c:v>
                </c:pt>
                <c:pt idx="993">
                  <c:v>44828</c:v>
                </c:pt>
                <c:pt idx="994">
                  <c:v>44827</c:v>
                </c:pt>
                <c:pt idx="995">
                  <c:v>44826</c:v>
                </c:pt>
                <c:pt idx="996">
                  <c:v>44825</c:v>
                </c:pt>
                <c:pt idx="997">
                  <c:v>44824</c:v>
                </c:pt>
                <c:pt idx="998">
                  <c:v>44823</c:v>
                </c:pt>
                <c:pt idx="999">
                  <c:v>44822</c:v>
                </c:pt>
                <c:pt idx="1000">
                  <c:v>44821</c:v>
                </c:pt>
                <c:pt idx="1001">
                  <c:v>44820</c:v>
                </c:pt>
                <c:pt idx="1002">
                  <c:v>44819</c:v>
                </c:pt>
                <c:pt idx="1003">
                  <c:v>44818</c:v>
                </c:pt>
                <c:pt idx="1004">
                  <c:v>44817</c:v>
                </c:pt>
                <c:pt idx="1005">
                  <c:v>44816</c:v>
                </c:pt>
                <c:pt idx="1006">
                  <c:v>44815</c:v>
                </c:pt>
                <c:pt idx="1007">
                  <c:v>44814</c:v>
                </c:pt>
                <c:pt idx="1008">
                  <c:v>44813</c:v>
                </c:pt>
                <c:pt idx="1009">
                  <c:v>44812</c:v>
                </c:pt>
                <c:pt idx="1010">
                  <c:v>44811</c:v>
                </c:pt>
                <c:pt idx="1011">
                  <c:v>44810</c:v>
                </c:pt>
                <c:pt idx="1012">
                  <c:v>44809</c:v>
                </c:pt>
                <c:pt idx="1013">
                  <c:v>44808</c:v>
                </c:pt>
                <c:pt idx="1014">
                  <c:v>44807</c:v>
                </c:pt>
                <c:pt idx="1015">
                  <c:v>44806</c:v>
                </c:pt>
                <c:pt idx="1016">
                  <c:v>44805</c:v>
                </c:pt>
                <c:pt idx="1017">
                  <c:v>44804</c:v>
                </c:pt>
                <c:pt idx="1018">
                  <c:v>44803</c:v>
                </c:pt>
                <c:pt idx="1019">
                  <c:v>44802</c:v>
                </c:pt>
                <c:pt idx="1020">
                  <c:v>44801</c:v>
                </c:pt>
                <c:pt idx="1021">
                  <c:v>44800</c:v>
                </c:pt>
                <c:pt idx="1022">
                  <c:v>44799</c:v>
                </c:pt>
                <c:pt idx="1023">
                  <c:v>44798</c:v>
                </c:pt>
                <c:pt idx="1024">
                  <c:v>44797</c:v>
                </c:pt>
                <c:pt idx="1025">
                  <c:v>44796</c:v>
                </c:pt>
                <c:pt idx="1026">
                  <c:v>44795</c:v>
                </c:pt>
                <c:pt idx="1027">
                  <c:v>44794</c:v>
                </c:pt>
                <c:pt idx="1028">
                  <c:v>44793</c:v>
                </c:pt>
                <c:pt idx="1029">
                  <c:v>44792</c:v>
                </c:pt>
                <c:pt idx="1030">
                  <c:v>44791</c:v>
                </c:pt>
                <c:pt idx="1031">
                  <c:v>44790</c:v>
                </c:pt>
                <c:pt idx="1032">
                  <c:v>44789</c:v>
                </c:pt>
                <c:pt idx="1033">
                  <c:v>44788</c:v>
                </c:pt>
                <c:pt idx="1034">
                  <c:v>44787</c:v>
                </c:pt>
                <c:pt idx="1035">
                  <c:v>44786</c:v>
                </c:pt>
                <c:pt idx="1036">
                  <c:v>44785</c:v>
                </c:pt>
                <c:pt idx="1037">
                  <c:v>44784</c:v>
                </c:pt>
                <c:pt idx="1038">
                  <c:v>44783</c:v>
                </c:pt>
                <c:pt idx="1039">
                  <c:v>44782</c:v>
                </c:pt>
                <c:pt idx="1040">
                  <c:v>44781</c:v>
                </c:pt>
                <c:pt idx="1041">
                  <c:v>44780</c:v>
                </c:pt>
                <c:pt idx="1042">
                  <c:v>44779</c:v>
                </c:pt>
                <c:pt idx="1043">
                  <c:v>44778</c:v>
                </c:pt>
                <c:pt idx="1044">
                  <c:v>44777</c:v>
                </c:pt>
                <c:pt idx="1045">
                  <c:v>44776</c:v>
                </c:pt>
                <c:pt idx="1046">
                  <c:v>44775</c:v>
                </c:pt>
                <c:pt idx="1047">
                  <c:v>44774</c:v>
                </c:pt>
                <c:pt idx="1048">
                  <c:v>44773</c:v>
                </c:pt>
                <c:pt idx="1049">
                  <c:v>44772</c:v>
                </c:pt>
                <c:pt idx="1050">
                  <c:v>44771</c:v>
                </c:pt>
                <c:pt idx="1051">
                  <c:v>44770</c:v>
                </c:pt>
                <c:pt idx="1052">
                  <c:v>44769</c:v>
                </c:pt>
                <c:pt idx="1053">
                  <c:v>44768</c:v>
                </c:pt>
                <c:pt idx="1054">
                  <c:v>44767</c:v>
                </c:pt>
                <c:pt idx="1055">
                  <c:v>44766</c:v>
                </c:pt>
                <c:pt idx="1056">
                  <c:v>44765</c:v>
                </c:pt>
                <c:pt idx="1057">
                  <c:v>44764</c:v>
                </c:pt>
                <c:pt idx="1058">
                  <c:v>44763</c:v>
                </c:pt>
                <c:pt idx="1059">
                  <c:v>44762</c:v>
                </c:pt>
                <c:pt idx="1060">
                  <c:v>44761</c:v>
                </c:pt>
                <c:pt idx="1061">
                  <c:v>44760</c:v>
                </c:pt>
                <c:pt idx="1062">
                  <c:v>44759</c:v>
                </c:pt>
                <c:pt idx="1063">
                  <c:v>44758</c:v>
                </c:pt>
                <c:pt idx="1064">
                  <c:v>44757</c:v>
                </c:pt>
                <c:pt idx="1065">
                  <c:v>44756</c:v>
                </c:pt>
                <c:pt idx="1066">
                  <c:v>44755</c:v>
                </c:pt>
                <c:pt idx="1067">
                  <c:v>44754</c:v>
                </c:pt>
                <c:pt idx="1068">
                  <c:v>44753</c:v>
                </c:pt>
                <c:pt idx="1069">
                  <c:v>44752</c:v>
                </c:pt>
                <c:pt idx="1070">
                  <c:v>44751</c:v>
                </c:pt>
                <c:pt idx="1071">
                  <c:v>44750</c:v>
                </c:pt>
                <c:pt idx="1072">
                  <c:v>44749</c:v>
                </c:pt>
                <c:pt idx="1073">
                  <c:v>44748</c:v>
                </c:pt>
                <c:pt idx="1074">
                  <c:v>44747</c:v>
                </c:pt>
                <c:pt idx="1075">
                  <c:v>44746</c:v>
                </c:pt>
                <c:pt idx="1076">
                  <c:v>44745</c:v>
                </c:pt>
                <c:pt idx="1077">
                  <c:v>44744</c:v>
                </c:pt>
                <c:pt idx="1078">
                  <c:v>44743</c:v>
                </c:pt>
                <c:pt idx="1079">
                  <c:v>44742</c:v>
                </c:pt>
                <c:pt idx="1080">
                  <c:v>44741</c:v>
                </c:pt>
                <c:pt idx="1081">
                  <c:v>44740</c:v>
                </c:pt>
                <c:pt idx="1082">
                  <c:v>44739</c:v>
                </c:pt>
                <c:pt idx="1083">
                  <c:v>44738</c:v>
                </c:pt>
                <c:pt idx="1084">
                  <c:v>44737</c:v>
                </c:pt>
                <c:pt idx="1085">
                  <c:v>44736</c:v>
                </c:pt>
                <c:pt idx="1086">
                  <c:v>44735</c:v>
                </c:pt>
                <c:pt idx="1087">
                  <c:v>44734</c:v>
                </c:pt>
                <c:pt idx="1088">
                  <c:v>44733</c:v>
                </c:pt>
                <c:pt idx="1089">
                  <c:v>44732</c:v>
                </c:pt>
                <c:pt idx="1090">
                  <c:v>44731</c:v>
                </c:pt>
                <c:pt idx="1091">
                  <c:v>44730</c:v>
                </c:pt>
                <c:pt idx="1092">
                  <c:v>44729</c:v>
                </c:pt>
                <c:pt idx="1093">
                  <c:v>44728</c:v>
                </c:pt>
                <c:pt idx="1094">
                  <c:v>44727</c:v>
                </c:pt>
                <c:pt idx="1095">
                  <c:v>44726</c:v>
                </c:pt>
                <c:pt idx="1096">
                  <c:v>44725</c:v>
                </c:pt>
                <c:pt idx="1097">
                  <c:v>44724</c:v>
                </c:pt>
                <c:pt idx="1098">
                  <c:v>44723</c:v>
                </c:pt>
                <c:pt idx="1099">
                  <c:v>44722</c:v>
                </c:pt>
                <c:pt idx="1100">
                  <c:v>44721</c:v>
                </c:pt>
                <c:pt idx="1101">
                  <c:v>44720</c:v>
                </c:pt>
                <c:pt idx="1102">
                  <c:v>44719</c:v>
                </c:pt>
                <c:pt idx="1103">
                  <c:v>44718</c:v>
                </c:pt>
                <c:pt idx="1104">
                  <c:v>44717</c:v>
                </c:pt>
                <c:pt idx="1105">
                  <c:v>44716</c:v>
                </c:pt>
                <c:pt idx="1106">
                  <c:v>44715</c:v>
                </c:pt>
                <c:pt idx="1107">
                  <c:v>44714</c:v>
                </c:pt>
                <c:pt idx="1108">
                  <c:v>44713</c:v>
                </c:pt>
                <c:pt idx="1109">
                  <c:v>44712</c:v>
                </c:pt>
                <c:pt idx="1110">
                  <c:v>44711</c:v>
                </c:pt>
                <c:pt idx="1111">
                  <c:v>44710</c:v>
                </c:pt>
                <c:pt idx="1112">
                  <c:v>44709</c:v>
                </c:pt>
                <c:pt idx="1113">
                  <c:v>44708</c:v>
                </c:pt>
                <c:pt idx="1114">
                  <c:v>44707</c:v>
                </c:pt>
                <c:pt idx="1115">
                  <c:v>44706</c:v>
                </c:pt>
                <c:pt idx="1116">
                  <c:v>44705</c:v>
                </c:pt>
                <c:pt idx="1117">
                  <c:v>44704</c:v>
                </c:pt>
                <c:pt idx="1118">
                  <c:v>44703</c:v>
                </c:pt>
                <c:pt idx="1119">
                  <c:v>44702</c:v>
                </c:pt>
                <c:pt idx="1120">
                  <c:v>44701</c:v>
                </c:pt>
                <c:pt idx="1121">
                  <c:v>44700</c:v>
                </c:pt>
                <c:pt idx="1122">
                  <c:v>44699</c:v>
                </c:pt>
                <c:pt idx="1123">
                  <c:v>44698</c:v>
                </c:pt>
                <c:pt idx="1124">
                  <c:v>44697</c:v>
                </c:pt>
                <c:pt idx="1125">
                  <c:v>44696</c:v>
                </c:pt>
                <c:pt idx="1126">
                  <c:v>44695</c:v>
                </c:pt>
                <c:pt idx="1127">
                  <c:v>44694</c:v>
                </c:pt>
                <c:pt idx="1128">
                  <c:v>44693</c:v>
                </c:pt>
                <c:pt idx="1129">
                  <c:v>44692</c:v>
                </c:pt>
                <c:pt idx="1130">
                  <c:v>44691</c:v>
                </c:pt>
                <c:pt idx="1131">
                  <c:v>44690</c:v>
                </c:pt>
                <c:pt idx="1132">
                  <c:v>44689</c:v>
                </c:pt>
                <c:pt idx="1133">
                  <c:v>44688</c:v>
                </c:pt>
                <c:pt idx="1134">
                  <c:v>44687</c:v>
                </c:pt>
                <c:pt idx="1135">
                  <c:v>44686</c:v>
                </c:pt>
                <c:pt idx="1136">
                  <c:v>44685</c:v>
                </c:pt>
                <c:pt idx="1137">
                  <c:v>44684</c:v>
                </c:pt>
                <c:pt idx="1138">
                  <c:v>44683</c:v>
                </c:pt>
                <c:pt idx="1139">
                  <c:v>44682</c:v>
                </c:pt>
                <c:pt idx="1140">
                  <c:v>44681</c:v>
                </c:pt>
                <c:pt idx="1141">
                  <c:v>44680</c:v>
                </c:pt>
                <c:pt idx="1142">
                  <c:v>44679</c:v>
                </c:pt>
                <c:pt idx="1143">
                  <c:v>44678</c:v>
                </c:pt>
                <c:pt idx="1144">
                  <c:v>44677</c:v>
                </c:pt>
                <c:pt idx="1145">
                  <c:v>44676</c:v>
                </c:pt>
                <c:pt idx="1146">
                  <c:v>44675</c:v>
                </c:pt>
                <c:pt idx="1147">
                  <c:v>44674</c:v>
                </c:pt>
                <c:pt idx="1148">
                  <c:v>44673</c:v>
                </c:pt>
                <c:pt idx="1149">
                  <c:v>44672</c:v>
                </c:pt>
                <c:pt idx="1150">
                  <c:v>44671</c:v>
                </c:pt>
                <c:pt idx="1151">
                  <c:v>44670</c:v>
                </c:pt>
                <c:pt idx="1152">
                  <c:v>44669</c:v>
                </c:pt>
                <c:pt idx="1153">
                  <c:v>44668</c:v>
                </c:pt>
                <c:pt idx="1154">
                  <c:v>44667</c:v>
                </c:pt>
                <c:pt idx="1155">
                  <c:v>44666</c:v>
                </c:pt>
                <c:pt idx="1156">
                  <c:v>44665</c:v>
                </c:pt>
                <c:pt idx="1157">
                  <c:v>44664</c:v>
                </c:pt>
                <c:pt idx="1158">
                  <c:v>44663</c:v>
                </c:pt>
                <c:pt idx="1159">
                  <c:v>44662</c:v>
                </c:pt>
                <c:pt idx="1160">
                  <c:v>44661</c:v>
                </c:pt>
                <c:pt idx="1161">
                  <c:v>44660</c:v>
                </c:pt>
                <c:pt idx="1162">
                  <c:v>44659</c:v>
                </c:pt>
                <c:pt idx="1163">
                  <c:v>44658</c:v>
                </c:pt>
                <c:pt idx="1164">
                  <c:v>44657</c:v>
                </c:pt>
                <c:pt idx="1165">
                  <c:v>44656</c:v>
                </c:pt>
                <c:pt idx="1166">
                  <c:v>44655</c:v>
                </c:pt>
                <c:pt idx="1167">
                  <c:v>44654</c:v>
                </c:pt>
                <c:pt idx="1168">
                  <c:v>44653</c:v>
                </c:pt>
                <c:pt idx="1169">
                  <c:v>44652</c:v>
                </c:pt>
                <c:pt idx="1170">
                  <c:v>44651</c:v>
                </c:pt>
                <c:pt idx="1171">
                  <c:v>44650</c:v>
                </c:pt>
                <c:pt idx="1172">
                  <c:v>44649</c:v>
                </c:pt>
                <c:pt idx="1173">
                  <c:v>44648</c:v>
                </c:pt>
                <c:pt idx="1174">
                  <c:v>44647</c:v>
                </c:pt>
                <c:pt idx="1175">
                  <c:v>44646</c:v>
                </c:pt>
                <c:pt idx="1176">
                  <c:v>44645</c:v>
                </c:pt>
                <c:pt idx="1177">
                  <c:v>44644</c:v>
                </c:pt>
                <c:pt idx="1178">
                  <c:v>44643</c:v>
                </c:pt>
                <c:pt idx="1179">
                  <c:v>44642</c:v>
                </c:pt>
                <c:pt idx="1180">
                  <c:v>44641</c:v>
                </c:pt>
                <c:pt idx="1181">
                  <c:v>44640</c:v>
                </c:pt>
                <c:pt idx="1182">
                  <c:v>44639</c:v>
                </c:pt>
                <c:pt idx="1183">
                  <c:v>44638</c:v>
                </c:pt>
                <c:pt idx="1184">
                  <c:v>44637</c:v>
                </c:pt>
                <c:pt idx="1185">
                  <c:v>44636</c:v>
                </c:pt>
                <c:pt idx="1186">
                  <c:v>44635</c:v>
                </c:pt>
                <c:pt idx="1187">
                  <c:v>44634</c:v>
                </c:pt>
                <c:pt idx="1188">
                  <c:v>44633</c:v>
                </c:pt>
                <c:pt idx="1189">
                  <c:v>44632</c:v>
                </c:pt>
                <c:pt idx="1190">
                  <c:v>44631</c:v>
                </c:pt>
                <c:pt idx="1191">
                  <c:v>44630</c:v>
                </c:pt>
                <c:pt idx="1192">
                  <c:v>44629</c:v>
                </c:pt>
                <c:pt idx="1193">
                  <c:v>44628</c:v>
                </c:pt>
                <c:pt idx="1194">
                  <c:v>44627</c:v>
                </c:pt>
                <c:pt idx="1195">
                  <c:v>44626</c:v>
                </c:pt>
                <c:pt idx="1196">
                  <c:v>44625</c:v>
                </c:pt>
                <c:pt idx="1197">
                  <c:v>44624</c:v>
                </c:pt>
                <c:pt idx="1198">
                  <c:v>44623</c:v>
                </c:pt>
                <c:pt idx="1199">
                  <c:v>44622</c:v>
                </c:pt>
                <c:pt idx="1200">
                  <c:v>44621</c:v>
                </c:pt>
                <c:pt idx="1201">
                  <c:v>44620</c:v>
                </c:pt>
                <c:pt idx="1202">
                  <c:v>44619</c:v>
                </c:pt>
                <c:pt idx="1203">
                  <c:v>44618</c:v>
                </c:pt>
                <c:pt idx="1204">
                  <c:v>44617</c:v>
                </c:pt>
                <c:pt idx="1205">
                  <c:v>44616</c:v>
                </c:pt>
                <c:pt idx="1206">
                  <c:v>44615</c:v>
                </c:pt>
                <c:pt idx="1207">
                  <c:v>44614</c:v>
                </c:pt>
                <c:pt idx="1208">
                  <c:v>44613</c:v>
                </c:pt>
                <c:pt idx="1209">
                  <c:v>44612</c:v>
                </c:pt>
                <c:pt idx="1210">
                  <c:v>44611</c:v>
                </c:pt>
                <c:pt idx="1211">
                  <c:v>44610</c:v>
                </c:pt>
                <c:pt idx="1212">
                  <c:v>44609</c:v>
                </c:pt>
                <c:pt idx="1213">
                  <c:v>44608</c:v>
                </c:pt>
                <c:pt idx="1214">
                  <c:v>44607</c:v>
                </c:pt>
                <c:pt idx="1215">
                  <c:v>44606</c:v>
                </c:pt>
                <c:pt idx="1216">
                  <c:v>44605</c:v>
                </c:pt>
                <c:pt idx="1217">
                  <c:v>44604</c:v>
                </c:pt>
                <c:pt idx="1218">
                  <c:v>44603</c:v>
                </c:pt>
                <c:pt idx="1219">
                  <c:v>44602</c:v>
                </c:pt>
                <c:pt idx="1220">
                  <c:v>44601</c:v>
                </c:pt>
                <c:pt idx="1221">
                  <c:v>44600</c:v>
                </c:pt>
                <c:pt idx="1222">
                  <c:v>44599</c:v>
                </c:pt>
                <c:pt idx="1223">
                  <c:v>44598</c:v>
                </c:pt>
                <c:pt idx="1224">
                  <c:v>44597</c:v>
                </c:pt>
                <c:pt idx="1225">
                  <c:v>44596</c:v>
                </c:pt>
                <c:pt idx="1226">
                  <c:v>44595</c:v>
                </c:pt>
                <c:pt idx="1227">
                  <c:v>44594</c:v>
                </c:pt>
                <c:pt idx="1228">
                  <c:v>44593</c:v>
                </c:pt>
                <c:pt idx="1229">
                  <c:v>44592</c:v>
                </c:pt>
                <c:pt idx="1230">
                  <c:v>44591</c:v>
                </c:pt>
                <c:pt idx="1231">
                  <c:v>44590</c:v>
                </c:pt>
                <c:pt idx="1232">
                  <c:v>44589</c:v>
                </c:pt>
                <c:pt idx="1233">
                  <c:v>44588</c:v>
                </c:pt>
                <c:pt idx="1234">
                  <c:v>44587</c:v>
                </c:pt>
                <c:pt idx="1235">
                  <c:v>44586</c:v>
                </c:pt>
                <c:pt idx="1236">
                  <c:v>44585</c:v>
                </c:pt>
                <c:pt idx="1237">
                  <c:v>44584</c:v>
                </c:pt>
                <c:pt idx="1238">
                  <c:v>44583</c:v>
                </c:pt>
                <c:pt idx="1239">
                  <c:v>44582</c:v>
                </c:pt>
                <c:pt idx="1240">
                  <c:v>44581</c:v>
                </c:pt>
                <c:pt idx="1241">
                  <c:v>44580</c:v>
                </c:pt>
                <c:pt idx="1242">
                  <c:v>44579</c:v>
                </c:pt>
                <c:pt idx="1243">
                  <c:v>44578</c:v>
                </c:pt>
                <c:pt idx="1244">
                  <c:v>44577</c:v>
                </c:pt>
                <c:pt idx="1245">
                  <c:v>44576</c:v>
                </c:pt>
                <c:pt idx="1246">
                  <c:v>44575</c:v>
                </c:pt>
                <c:pt idx="1247">
                  <c:v>44574</c:v>
                </c:pt>
                <c:pt idx="1248">
                  <c:v>44573</c:v>
                </c:pt>
                <c:pt idx="1249">
                  <c:v>44572</c:v>
                </c:pt>
                <c:pt idx="1250">
                  <c:v>44571</c:v>
                </c:pt>
                <c:pt idx="1251">
                  <c:v>44570</c:v>
                </c:pt>
                <c:pt idx="1252">
                  <c:v>44569</c:v>
                </c:pt>
                <c:pt idx="1253">
                  <c:v>44568</c:v>
                </c:pt>
                <c:pt idx="1254">
                  <c:v>44567</c:v>
                </c:pt>
                <c:pt idx="1255">
                  <c:v>44566</c:v>
                </c:pt>
                <c:pt idx="1256">
                  <c:v>44565</c:v>
                </c:pt>
                <c:pt idx="1257">
                  <c:v>44564</c:v>
                </c:pt>
                <c:pt idx="1258">
                  <c:v>44563</c:v>
                </c:pt>
                <c:pt idx="1259">
                  <c:v>44562</c:v>
                </c:pt>
                <c:pt idx="1260">
                  <c:v>44561</c:v>
                </c:pt>
                <c:pt idx="1261">
                  <c:v>44560</c:v>
                </c:pt>
                <c:pt idx="1262">
                  <c:v>44559</c:v>
                </c:pt>
                <c:pt idx="1263">
                  <c:v>44558</c:v>
                </c:pt>
                <c:pt idx="1264">
                  <c:v>44557</c:v>
                </c:pt>
                <c:pt idx="1265">
                  <c:v>44556</c:v>
                </c:pt>
                <c:pt idx="1266">
                  <c:v>44555</c:v>
                </c:pt>
                <c:pt idx="1267">
                  <c:v>44554</c:v>
                </c:pt>
                <c:pt idx="1268">
                  <c:v>44553</c:v>
                </c:pt>
                <c:pt idx="1269">
                  <c:v>44552</c:v>
                </c:pt>
                <c:pt idx="1270">
                  <c:v>44551</c:v>
                </c:pt>
                <c:pt idx="1271">
                  <c:v>44550</c:v>
                </c:pt>
                <c:pt idx="1272">
                  <c:v>44549</c:v>
                </c:pt>
                <c:pt idx="1273">
                  <c:v>44548</c:v>
                </c:pt>
                <c:pt idx="1274">
                  <c:v>44547</c:v>
                </c:pt>
                <c:pt idx="1275">
                  <c:v>44546</c:v>
                </c:pt>
                <c:pt idx="1276">
                  <c:v>44545</c:v>
                </c:pt>
                <c:pt idx="1277">
                  <c:v>44544</c:v>
                </c:pt>
                <c:pt idx="1278">
                  <c:v>44543</c:v>
                </c:pt>
                <c:pt idx="1279">
                  <c:v>44542</c:v>
                </c:pt>
                <c:pt idx="1280">
                  <c:v>44541</c:v>
                </c:pt>
                <c:pt idx="1281">
                  <c:v>44540</c:v>
                </c:pt>
                <c:pt idx="1282">
                  <c:v>44539</c:v>
                </c:pt>
                <c:pt idx="1283">
                  <c:v>44538</c:v>
                </c:pt>
                <c:pt idx="1284">
                  <c:v>44537</c:v>
                </c:pt>
                <c:pt idx="1285">
                  <c:v>44536</c:v>
                </c:pt>
                <c:pt idx="1286">
                  <c:v>44535</c:v>
                </c:pt>
                <c:pt idx="1287">
                  <c:v>44534</c:v>
                </c:pt>
                <c:pt idx="1288">
                  <c:v>44533</c:v>
                </c:pt>
                <c:pt idx="1289">
                  <c:v>44532</c:v>
                </c:pt>
                <c:pt idx="1290">
                  <c:v>44531</c:v>
                </c:pt>
                <c:pt idx="1291">
                  <c:v>44530</c:v>
                </c:pt>
                <c:pt idx="1292">
                  <c:v>44529</c:v>
                </c:pt>
                <c:pt idx="1293">
                  <c:v>44528</c:v>
                </c:pt>
                <c:pt idx="1294">
                  <c:v>44527</c:v>
                </c:pt>
                <c:pt idx="1295">
                  <c:v>44526</c:v>
                </c:pt>
                <c:pt idx="1296">
                  <c:v>44525</c:v>
                </c:pt>
                <c:pt idx="1297">
                  <c:v>44524</c:v>
                </c:pt>
                <c:pt idx="1298">
                  <c:v>44523</c:v>
                </c:pt>
                <c:pt idx="1299">
                  <c:v>44522</c:v>
                </c:pt>
                <c:pt idx="1300">
                  <c:v>44521</c:v>
                </c:pt>
                <c:pt idx="1301">
                  <c:v>44520</c:v>
                </c:pt>
                <c:pt idx="1302">
                  <c:v>44519</c:v>
                </c:pt>
                <c:pt idx="1303">
                  <c:v>44518</c:v>
                </c:pt>
                <c:pt idx="1304">
                  <c:v>44517</c:v>
                </c:pt>
                <c:pt idx="1305">
                  <c:v>44516</c:v>
                </c:pt>
                <c:pt idx="1306">
                  <c:v>44515</c:v>
                </c:pt>
                <c:pt idx="1307">
                  <c:v>44514</c:v>
                </c:pt>
                <c:pt idx="1308">
                  <c:v>44513</c:v>
                </c:pt>
                <c:pt idx="1309">
                  <c:v>44512</c:v>
                </c:pt>
                <c:pt idx="1310">
                  <c:v>44511</c:v>
                </c:pt>
                <c:pt idx="1311">
                  <c:v>44510</c:v>
                </c:pt>
                <c:pt idx="1312">
                  <c:v>44509</c:v>
                </c:pt>
                <c:pt idx="1313">
                  <c:v>44508</c:v>
                </c:pt>
                <c:pt idx="1314">
                  <c:v>44507</c:v>
                </c:pt>
                <c:pt idx="1315">
                  <c:v>44506</c:v>
                </c:pt>
                <c:pt idx="1316">
                  <c:v>44505</c:v>
                </c:pt>
                <c:pt idx="1317">
                  <c:v>44504</c:v>
                </c:pt>
                <c:pt idx="1318">
                  <c:v>44503</c:v>
                </c:pt>
                <c:pt idx="1319">
                  <c:v>44502</c:v>
                </c:pt>
                <c:pt idx="1320">
                  <c:v>44501</c:v>
                </c:pt>
                <c:pt idx="1321">
                  <c:v>44500</c:v>
                </c:pt>
                <c:pt idx="1322">
                  <c:v>44499</c:v>
                </c:pt>
                <c:pt idx="1323">
                  <c:v>44498</c:v>
                </c:pt>
                <c:pt idx="1324">
                  <c:v>44497</c:v>
                </c:pt>
                <c:pt idx="1325">
                  <c:v>44496</c:v>
                </c:pt>
                <c:pt idx="1326">
                  <c:v>44495</c:v>
                </c:pt>
                <c:pt idx="1327">
                  <c:v>44494</c:v>
                </c:pt>
                <c:pt idx="1328">
                  <c:v>44493</c:v>
                </c:pt>
                <c:pt idx="1329">
                  <c:v>44492</c:v>
                </c:pt>
                <c:pt idx="1330">
                  <c:v>44491</c:v>
                </c:pt>
                <c:pt idx="1331">
                  <c:v>44490</c:v>
                </c:pt>
                <c:pt idx="1332">
                  <c:v>44489</c:v>
                </c:pt>
                <c:pt idx="1333">
                  <c:v>44488</c:v>
                </c:pt>
                <c:pt idx="1334">
                  <c:v>44487</c:v>
                </c:pt>
                <c:pt idx="1335">
                  <c:v>44486</c:v>
                </c:pt>
                <c:pt idx="1336">
                  <c:v>44485</c:v>
                </c:pt>
                <c:pt idx="1337">
                  <c:v>44484</c:v>
                </c:pt>
                <c:pt idx="1338">
                  <c:v>44483</c:v>
                </c:pt>
                <c:pt idx="1339">
                  <c:v>44482</c:v>
                </c:pt>
                <c:pt idx="1340">
                  <c:v>44481</c:v>
                </c:pt>
                <c:pt idx="1341">
                  <c:v>44480</c:v>
                </c:pt>
                <c:pt idx="1342">
                  <c:v>44479</c:v>
                </c:pt>
                <c:pt idx="1343">
                  <c:v>44478</c:v>
                </c:pt>
                <c:pt idx="1344">
                  <c:v>44477</c:v>
                </c:pt>
                <c:pt idx="1345">
                  <c:v>44476</c:v>
                </c:pt>
                <c:pt idx="1346">
                  <c:v>44475</c:v>
                </c:pt>
                <c:pt idx="1347">
                  <c:v>44474</c:v>
                </c:pt>
                <c:pt idx="1348">
                  <c:v>44473</c:v>
                </c:pt>
                <c:pt idx="1349">
                  <c:v>44472</c:v>
                </c:pt>
                <c:pt idx="1350">
                  <c:v>44471</c:v>
                </c:pt>
                <c:pt idx="1351">
                  <c:v>44470</c:v>
                </c:pt>
                <c:pt idx="1352">
                  <c:v>44469</c:v>
                </c:pt>
                <c:pt idx="1353">
                  <c:v>44468</c:v>
                </c:pt>
                <c:pt idx="1354">
                  <c:v>44467</c:v>
                </c:pt>
                <c:pt idx="1355">
                  <c:v>44466</c:v>
                </c:pt>
                <c:pt idx="1356">
                  <c:v>44465</c:v>
                </c:pt>
                <c:pt idx="1357">
                  <c:v>44464</c:v>
                </c:pt>
                <c:pt idx="1358">
                  <c:v>44463</c:v>
                </c:pt>
                <c:pt idx="1359">
                  <c:v>44462</c:v>
                </c:pt>
                <c:pt idx="1360">
                  <c:v>44461</c:v>
                </c:pt>
                <c:pt idx="1361">
                  <c:v>44460</c:v>
                </c:pt>
                <c:pt idx="1362">
                  <c:v>44459</c:v>
                </c:pt>
                <c:pt idx="1363">
                  <c:v>44458</c:v>
                </c:pt>
                <c:pt idx="1364">
                  <c:v>44457</c:v>
                </c:pt>
                <c:pt idx="1365">
                  <c:v>44456</c:v>
                </c:pt>
                <c:pt idx="1366">
                  <c:v>44455</c:v>
                </c:pt>
                <c:pt idx="1367">
                  <c:v>44454</c:v>
                </c:pt>
                <c:pt idx="1368">
                  <c:v>44453</c:v>
                </c:pt>
                <c:pt idx="1369">
                  <c:v>44452</c:v>
                </c:pt>
                <c:pt idx="1370">
                  <c:v>44451</c:v>
                </c:pt>
                <c:pt idx="1371">
                  <c:v>44450</c:v>
                </c:pt>
                <c:pt idx="1372">
                  <c:v>44449</c:v>
                </c:pt>
                <c:pt idx="1373">
                  <c:v>44448</c:v>
                </c:pt>
                <c:pt idx="1374">
                  <c:v>44447</c:v>
                </c:pt>
                <c:pt idx="1375">
                  <c:v>44446</c:v>
                </c:pt>
                <c:pt idx="1376">
                  <c:v>44445</c:v>
                </c:pt>
                <c:pt idx="1377">
                  <c:v>44444</c:v>
                </c:pt>
                <c:pt idx="1378">
                  <c:v>44443</c:v>
                </c:pt>
                <c:pt idx="1379">
                  <c:v>44442</c:v>
                </c:pt>
                <c:pt idx="1380">
                  <c:v>44441</c:v>
                </c:pt>
                <c:pt idx="1381">
                  <c:v>44440</c:v>
                </c:pt>
                <c:pt idx="1382">
                  <c:v>44439</c:v>
                </c:pt>
                <c:pt idx="1383">
                  <c:v>44438</c:v>
                </c:pt>
                <c:pt idx="1384">
                  <c:v>44437</c:v>
                </c:pt>
                <c:pt idx="1385">
                  <c:v>44436</c:v>
                </c:pt>
                <c:pt idx="1386">
                  <c:v>44435</c:v>
                </c:pt>
                <c:pt idx="1387">
                  <c:v>44434</c:v>
                </c:pt>
                <c:pt idx="1388">
                  <c:v>44433</c:v>
                </c:pt>
                <c:pt idx="1389">
                  <c:v>44432</c:v>
                </c:pt>
                <c:pt idx="1390">
                  <c:v>44431</c:v>
                </c:pt>
                <c:pt idx="1391">
                  <c:v>44430</c:v>
                </c:pt>
                <c:pt idx="1392">
                  <c:v>44429</c:v>
                </c:pt>
                <c:pt idx="1393">
                  <c:v>44428</c:v>
                </c:pt>
                <c:pt idx="1394">
                  <c:v>44427</c:v>
                </c:pt>
                <c:pt idx="1395">
                  <c:v>44426</c:v>
                </c:pt>
                <c:pt idx="1396">
                  <c:v>44425</c:v>
                </c:pt>
                <c:pt idx="1397">
                  <c:v>44424</c:v>
                </c:pt>
                <c:pt idx="1398">
                  <c:v>44423</c:v>
                </c:pt>
                <c:pt idx="1399">
                  <c:v>44422</c:v>
                </c:pt>
                <c:pt idx="1400">
                  <c:v>44421</c:v>
                </c:pt>
                <c:pt idx="1401">
                  <c:v>44420</c:v>
                </c:pt>
                <c:pt idx="1402">
                  <c:v>44419</c:v>
                </c:pt>
                <c:pt idx="1403">
                  <c:v>44418</c:v>
                </c:pt>
                <c:pt idx="1404">
                  <c:v>44417</c:v>
                </c:pt>
                <c:pt idx="1405">
                  <c:v>44416</c:v>
                </c:pt>
                <c:pt idx="1406">
                  <c:v>44415</c:v>
                </c:pt>
                <c:pt idx="1407">
                  <c:v>44414</c:v>
                </c:pt>
                <c:pt idx="1408">
                  <c:v>44413</c:v>
                </c:pt>
                <c:pt idx="1409">
                  <c:v>44412</c:v>
                </c:pt>
                <c:pt idx="1410">
                  <c:v>44411</c:v>
                </c:pt>
                <c:pt idx="1411">
                  <c:v>44410</c:v>
                </c:pt>
                <c:pt idx="1412">
                  <c:v>44409</c:v>
                </c:pt>
                <c:pt idx="1413">
                  <c:v>44408</c:v>
                </c:pt>
                <c:pt idx="1414">
                  <c:v>44407</c:v>
                </c:pt>
                <c:pt idx="1415">
                  <c:v>44406</c:v>
                </c:pt>
                <c:pt idx="1416">
                  <c:v>44405</c:v>
                </c:pt>
                <c:pt idx="1417">
                  <c:v>44404</c:v>
                </c:pt>
                <c:pt idx="1418">
                  <c:v>44403</c:v>
                </c:pt>
                <c:pt idx="1419">
                  <c:v>44402</c:v>
                </c:pt>
                <c:pt idx="1420">
                  <c:v>44401</c:v>
                </c:pt>
                <c:pt idx="1421">
                  <c:v>44400</c:v>
                </c:pt>
                <c:pt idx="1422">
                  <c:v>44399</c:v>
                </c:pt>
                <c:pt idx="1423">
                  <c:v>44398</c:v>
                </c:pt>
                <c:pt idx="1424">
                  <c:v>44397</c:v>
                </c:pt>
                <c:pt idx="1425">
                  <c:v>44396</c:v>
                </c:pt>
                <c:pt idx="1426">
                  <c:v>44395</c:v>
                </c:pt>
                <c:pt idx="1427">
                  <c:v>44394</c:v>
                </c:pt>
                <c:pt idx="1428">
                  <c:v>44393</c:v>
                </c:pt>
                <c:pt idx="1429">
                  <c:v>44392</c:v>
                </c:pt>
                <c:pt idx="1430">
                  <c:v>44391</c:v>
                </c:pt>
                <c:pt idx="1431">
                  <c:v>44390</c:v>
                </c:pt>
                <c:pt idx="1432">
                  <c:v>44389</c:v>
                </c:pt>
                <c:pt idx="1433">
                  <c:v>44388</c:v>
                </c:pt>
                <c:pt idx="1434">
                  <c:v>44387</c:v>
                </c:pt>
                <c:pt idx="1435">
                  <c:v>44386</c:v>
                </c:pt>
                <c:pt idx="1436">
                  <c:v>44385</c:v>
                </c:pt>
                <c:pt idx="1437">
                  <c:v>44384</c:v>
                </c:pt>
                <c:pt idx="1438">
                  <c:v>44383</c:v>
                </c:pt>
                <c:pt idx="1439">
                  <c:v>44382</c:v>
                </c:pt>
                <c:pt idx="1440">
                  <c:v>44381</c:v>
                </c:pt>
                <c:pt idx="1441">
                  <c:v>44380</c:v>
                </c:pt>
                <c:pt idx="1442">
                  <c:v>44379</c:v>
                </c:pt>
                <c:pt idx="1443">
                  <c:v>44378</c:v>
                </c:pt>
                <c:pt idx="1444">
                  <c:v>44377</c:v>
                </c:pt>
                <c:pt idx="1445">
                  <c:v>44376</c:v>
                </c:pt>
                <c:pt idx="1446">
                  <c:v>44375</c:v>
                </c:pt>
                <c:pt idx="1447">
                  <c:v>44374</c:v>
                </c:pt>
                <c:pt idx="1448">
                  <c:v>44373</c:v>
                </c:pt>
                <c:pt idx="1449">
                  <c:v>44372</c:v>
                </c:pt>
                <c:pt idx="1450">
                  <c:v>44371</c:v>
                </c:pt>
                <c:pt idx="1451">
                  <c:v>44370</c:v>
                </c:pt>
                <c:pt idx="1452">
                  <c:v>44369</c:v>
                </c:pt>
                <c:pt idx="1453">
                  <c:v>44368</c:v>
                </c:pt>
                <c:pt idx="1454">
                  <c:v>44367</c:v>
                </c:pt>
                <c:pt idx="1455">
                  <c:v>44366</c:v>
                </c:pt>
                <c:pt idx="1456">
                  <c:v>44365</c:v>
                </c:pt>
                <c:pt idx="1457">
                  <c:v>44364</c:v>
                </c:pt>
                <c:pt idx="1458">
                  <c:v>44363</c:v>
                </c:pt>
                <c:pt idx="1459">
                  <c:v>44362</c:v>
                </c:pt>
                <c:pt idx="1460">
                  <c:v>44361</c:v>
                </c:pt>
                <c:pt idx="1461">
                  <c:v>44360</c:v>
                </c:pt>
                <c:pt idx="1462">
                  <c:v>44359</c:v>
                </c:pt>
                <c:pt idx="1463">
                  <c:v>44358</c:v>
                </c:pt>
                <c:pt idx="1464">
                  <c:v>44357</c:v>
                </c:pt>
                <c:pt idx="1465">
                  <c:v>44356</c:v>
                </c:pt>
                <c:pt idx="1466">
                  <c:v>44355</c:v>
                </c:pt>
                <c:pt idx="1467">
                  <c:v>44354</c:v>
                </c:pt>
                <c:pt idx="1468">
                  <c:v>44353</c:v>
                </c:pt>
                <c:pt idx="1469">
                  <c:v>44352</c:v>
                </c:pt>
                <c:pt idx="1470">
                  <c:v>44351</c:v>
                </c:pt>
                <c:pt idx="1471">
                  <c:v>44350</c:v>
                </c:pt>
                <c:pt idx="1472">
                  <c:v>44349</c:v>
                </c:pt>
                <c:pt idx="1473">
                  <c:v>44348</c:v>
                </c:pt>
                <c:pt idx="1474">
                  <c:v>44347</c:v>
                </c:pt>
                <c:pt idx="1475">
                  <c:v>44346</c:v>
                </c:pt>
                <c:pt idx="1476">
                  <c:v>44345</c:v>
                </c:pt>
                <c:pt idx="1477">
                  <c:v>44344</c:v>
                </c:pt>
                <c:pt idx="1478">
                  <c:v>44343</c:v>
                </c:pt>
                <c:pt idx="1479">
                  <c:v>44342</c:v>
                </c:pt>
                <c:pt idx="1480">
                  <c:v>44341</c:v>
                </c:pt>
                <c:pt idx="1481">
                  <c:v>44340</c:v>
                </c:pt>
                <c:pt idx="1482">
                  <c:v>44339</c:v>
                </c:pt>
                <c:pt idx="1483">
                  <c:v>44338</c:v>
                </c:pt>
                <c:pt idx="1484">
                  <c:v>44337</c:v>
                </c:pt>
                <c:pt idx="1485">
                  <c:v>44336</c:v>
                </c:pt>
                <c:pt idx="1486">
                  <c:v>44335</c:v>
                </c:pt>
                <c:pt idx="1487">
                  <c:v>44334</c:v>
                </c:pt>
                <c:pt idx="1488">
                  <c:v>44333</c:v>
                </c:pt>
                <c:pt idx="1489">
                  <c:v>44332</c:v>
                </c:pt>
                <c:pt idx="1490">
                  <c:v>44331</c:v>
                </c:pt>
                <c:pt idx="1491">
                  <c:v>44330</c:v>
                </c:pt>
                <c:pt idx="1492">
                  <c:v>44329</c:v>
                </c:pt>
                <c:pt idx="1493">
                  <c:v>44328</c:v>
                </c:pt>
                <c:pt idx="1494">
                  <c:v>44327</c:v>
                </c:pt>
                <c:pt idx="1495">
                  <c:v>44326</c:v>
                </c:pt>
                <c:pt idx="1496">
                  <c:v>44325</c:v>
                </c:pt>
                <c:pt idx="1497">
                  <c:v>44324</c:v>
                </c:pt>
                <c:pt idx="1498">
                  <c:v>44323</c:v>
                </c:pt>
                <c:pt idx="1499">
                  <c:v>44322</c:v>
                </c:pt>
                <c:pt idx="1500">
                  <c:v>44321</c:v>
                </c:pt>
                <c:pt idx="1501">
                  <c:v>44320</c:v>
                </c:pt>
                <c:pt idx="1502">
                  <c:v>44319</c:v>
                </c:pt>
                <c:pt idx="1503">
                  <c:v>44318</c:v>
                </c:pt>
                <c:pt idx="1504">
                  <c:v>44317</c:v>
                </c:pt>
                <c:pt idx="1505">
                  <c:v>44316</c:v>
                </c:pt>
                <c:pt idx="1506">
                  <c:v>44315</c:v>
                </c:pt>
                <c:pt idx="1507">
                  <c:v>44314</c:v>
                </c:pt>
                <c:pt idx="1508">
                  <c:v>44313</c:v>
                </c:pt>
                <c:pt idx="1509">
                  <c:v>44312</c:v>
                </c:pt>
                <c:pt idx="1510">
                  <c:v>44311</c:v>
                </c:pt>
                <c:pt idx="1511">
                  <c:v>44310</c:v>
                </c:pt>
                <c:pt idx="1512">
                  <c:v>44309</c:v>
                </c:pt>
                <c:pt idx="1513">
                  <c:v>44308</c:v>
                </c:pt>
                <c:pt idx="1514">
                  <c:v>44307</c:v>
                </c:pt>
                <c:pt idx="1515">
                  <c:v>44306</c:v>
                </c:pt>
                <c:pt idx="1516">
                  <c:v>44305</c:v>
                </c:pt>
                <c:pt idx="1517">
                  <c:v>44304</c:v>
                </c:pt>
                <c:pt idx="1518">
                  <c:v>44303</c:v>
                </c:pt>
                <c:pt idx="1519">
                  <c:v>44302</c:v>
                </c:pt>
                <c:pt idx="1520">
                  <c:v>44301</c:v>
                </c:pt>
                <c:pt idx="1521">
                  <c:v>44300</c:v>
                </c:pt>
                <c:pt idx="1522">
                  <c:v>44299</c:v>
                </c:pt>
                <c:pt idx="1523">
                  <c:v>44298</c:v>
                </c:pt>
                <c:pt idx="1524">
                  <c:v>44297</c:v>
                </c:pt>
                <c:pt idx="1525">
                  <c:v>44296</c:v>
                </c:pt>
                <c:pt idx="1526">
                  <c:v>44295</c:v>
                </c:pt>
                <c:pt idx="1527">
                  <c:v>44294</c:v>
                </c:pt>
                <c:pt idx="1528">
                  <c:v>44293</c:v>
                </c:pt>
                <c:pt idx="1529">
                  <c:v>44292</c:v>
                </c:pt>
                <c:pt idx="1530">
                  <c:v>44291</c:v>
                </c:pt>
                <c:pt idx="1531">
                  <c:v>44290</c:v>
                </c:pt>
                <c:pt idx="1532">
                  <c:v>44289</c:v>
                </c:pt>
                <c:pt idx="1533">
                  <c:v>44288</c:v>
                </c:pt>
                <c:pt idx="1534">
                  <c:v>44287</c:v>
                </c:pt>
                <c:pt idx="1535">
                  <c:v>44286</c:v>
                </c:pt>
                <c:pt idx="1536">
                  <c:v>44285</c:v>
                </c:pt>
                <c:pt idx="1537">
                  <c:v>44284</c:v>
                </c:pt>
                <c:pt idx="1538">
                  <c:v>44283</c:v>
                </c:pt>
                <c:pt idx="1539">
                  <c:v>44282</c:v>
                </c:pt>
                <c:pt idx="1540">
                  <c:v>44281</c:v>
                </c:pt>
                <c:pt idx="1541">
                  <c:v>44280</c:v>
                </c:pt>
                <c:pt idx="1542">
                  <c:v>44279</c:v>
                </c:pt>
                <c:pt idx="1543">
                  <c:v>44278</c:v>
                </c:pt>
                <c:pt idx="1544">
                  <c:v>44277</c:v>
                </c:pt>
                <c:pt idx="1545">
                  <c:v>44276</c:v>
                </c:pt>
                <c:pt idx="1546">
                  <c:v>44275</c:v>
                </c:pt>
                <c:pt idx="1547">
                  <c:v>44274</c:v>
                </c:pt>
                <c:pt idx="1548">
                  <c:v>44273</c:v>
                </c:pt>
                <c:pt idx="1549">
                  <c:v>44272</c:v>
                </c:pt>
                <c:pt idx="1550">
                  <c:v>44271</c:v>
                </c:pt>
                <c:pt idx="1551">
                  <c:v>44270</c:v>
                </c:pt>
                <c:pt idx="1552">
                  <c:v>44269</c:v>
                </c:pt>
                <c:pt idx="1553">
                  <c:v>44268</c:v>
                </c:pt>
                <c:pt idx="1554">
                  <c:v>44267</c:v>
                </c:pt>
                <c:pt idx="1555">
                  <c:v>44266</c:v>
                </c:pt>
                <c:pt idx="1556">
                  <c:v>44265</c:v>
                </c:pt>
                <c:pt idx="1557">
                  <c:v>44264</c:v>
                </c:pt>
                <c:pt idx="1558">
                  <c:v>44263</c:v>
                </c:pt>
                <c:pt idx="1559">
                  <c:v>44262</c:v>
                </c:pt>
                <c:pt idx="1560">
                  <c:v>44261</c:v>
                </c:pt>
                <c:pt idx="1561">
                  <c:v>44260</c:v>
                </c:pt>
                <c:pt idx="1562">
                  <c:v>44259</c:v>
                </c:pt>
                <c:pt idx="1563">
                  <c:v>44258</c:v>
                </c:pt>
                <c:pt idx="1564">
                  <c:v>44257</c:v>
                </c:pt>
                <c:pt idx="1565">
                  <c:v>44256</c:v>
                </c:pt>
                <c:pt idx="1566">
                  <c:v>44255</c:v>
                </c:pt>
                <c:pt idx="1567">
                  <c:v>44254</c:v>
                </c:pt>
                <c:pt idx="1568">
                  <c:v>44253</c:v>
                </c:pt>
                <c:pt idx="1569">
                  <c:v>44252</c:v>
                </c:pt>
                <c:pt idx="1570">
                  <c:v>44251</c:v>
                </c:pt>
                <c:pt idx="1571">
                  <c:v>44250</c:v>
                </c:pt>
                <c:pt idx="1572">
                  <c:v>44249</c:v>
                </c:pt>
                <c:pt idx="1573">
                  <c:v>44248</c:v>
                </c:pt>
                <c:pt idx="1574">
                  <c:v>44247</c:v>
                </c:pt>
                <c:pt idx="1575">
                  <c:v>44246</c:v>
                </c:pt>
                <c:pt idx="1576">
                  <c:v>44245</c:v>
                </c:pt>
                <c:pt idx="1577">
                  <c:v>44244</c:v>
                </c:pt>
                <c:pt idx="1578">
                  <c:v>44243</c:v>
                </c:pt>
                <c:pt idx="1579">
                  <c:v>44242</c:v>
                </c:pt>
                <c:pt idx="1580">
                  <c:v>44241</c:v>
                </c:pt>
                <c:pt idx="1581">
                  <c:v>44240</c:v>
                </c:pt>
                <c:pt idx="1582">
                  <c:v>44239</c:v>
                </c:pt>
                <c:pt idx="1583">
                  <c:v>44238</c:v>
                </c:pt>
                <c:pt idx="1584">
                  <c:v>44237</c:v>
                </c:pt>
                <c:pt idx="1585">
                  <c:v>44236</c:v>
                </c:pt>
                <c:pt idx="1586">
                  <c:v>44235</c:v>
                </c:pt>
                <c:pt idx="1587">
                  <c:v>44234</c:v>
                </c:pt>
                <c:pt idx="1588">
                  <c:v>44233</c:v>
                </c:pt>
                <c:pt idx="1589">
                  <c:v>44232</c:v>
                </c:pt>
                <c:pt idx="1590">
                  <c:v>44231</c:v>
                </c:pt>
                <c:pt idx="1591">
                  <c:v>44230</c:v>
                </c:pt>
                <c:pt idx="1592">
                  <c:v>44229</c:v>
                </c:pt>
                <c:pt idx="1593">
                  <c:v>44228</c:v>
                </c:pt>
                <c:pt idx="1594">
                  <c:v>44227</c:v>
                </c:pt>
                <c:pt idx="1595">
                  <c:v>44226</c:v>
                </c:pt>
                <c:pt idx="1596">
                  <c:v>44225</c:v>
                </c:pt>
                <c:pt idx="1597">
                  <c:v>44224</c:v>
                </c:pt>
                <c:pt idx="1598">
                  <c:v>44223</c:v>
                </c:pt>
                <c:pt idx="1599">
                  <c:v>44222</c:v>
                </c:pt>
                <c:pt idx="1600">
                  <c:v>44221</c:v>
                </c:pt>
                <c:pt idx="1601">
                  <c:v>44220</c:v>
                </c:pt>
                <c:pt idx="1602">
                  <c:v>44219</c:v>
                </c:pt>
                <c:pt idx="1603">
                  <c:v>44218</c:v>
                </c:pt>
                <c:pt idx="1604">
                  <c:v>44217</c:v>
                </c:pt>
                <c:pt idx="1605">
                  <c:v>44216</c:v>
                </c:pt>
                <c:pt idx="1606">
                  <c:v>44215</c:v>
                </c:pt>
                <c:pt idx="1607">
                  <c:v>44214</c:v>
                </c:pt>
                <c:pt idx="1608">
                  <c:v>44213</c:v>
                </c:pt>
                <c:pt idx="1609">
                  <c:v>44212</c:v>
                </c:pt>
                <c:pt idx="1610">
                  <c:v>44211</c:v>
                </c:pt>
                <c:pt idx="1611">
                  <c:v>44210</c:v>
                </c:pt>
                <c:pt idx="1612">
                  <c:v>44209</c:v>
                </c:pt>
                <c:pt idx="1613">
                  <c:v>44208</c:v>
                </c:pt>
                <c:pt idx="1614">
                  <c:v>44207</c:v>
                </c:pt>
                <c:pt idx="1615">
                  <c:v>44206</c:v>
                </c:pt>
                <c:pt idx="1616">
                  <c:v>44205</c:v>
                </c:pt>
                <c:pt idx="1617">
                  <c:v>44204</c:v>
                </c:pt>
                <c:pt idx="1618">
                  <c:v>44203</c:v>
                </c:pt>
                <c:pt idx="1619">
                  <c:v>44202</c:v>
                </c:pt>
                <c:pt idx="1620">
                  <c:v>44201</c:v>
                </c:pt>
                <c:pt idx="1621">
                  <c:v>44200</c:v>
                </c:pt>
                <c:pt idx="1622">
                  <c:v>44199</c:v>
                </c:pt>
                <c:pt idx="1623">
                  <c:v>44198</c:v>
                </c:pt>
                <c:pt idx="1624">
                  <c:v>44197</c:v>
                </c:pt>
                <c:pt idx="1625">
                  <c:v>44196</c:v>
                </c:pt>
                <c:pt idx="1626">
                  <c:v>44195</c:v>
                </c:pt>
                <c:pt idx="1627">
                  <c:v>44194</c:v>
                </c:pt>
                <c:pt idx="1628">
                  <c:v>44193</c:v>
                </c:pt>
                <c:pt idx="1629">
                  <c:v>44192</c:v>
                </c:pt>
                <c:pt idx="1630">
                  <c:v>44191</c:v>
                </c:pt>
                <c:pt idx="1631">
                  <c:v>44190</c:v>
                </c:pt>
                <c:pt idx="1632">
                  <c:v>44189</c:v>
                </c:pt>
                <c:pt idx="1633">
                  <c:v>44188</c:v>
                </c:pt>
                <c:pt idx="1634">
                  <c:v>44187</c:v>
                </c:pt>
                <c:pt idx="1635">
                  <c:v>44186</c:v>
                </c:pt>
                <c:pt idx="1636">
                  <c:v>44185</c:v>
                </c:pt>
                <c:pt idx="1637">
                  <c:v>44184</c:v>
                </c:pt>
                <c:pt idx="1638">
                  <c:v>44183</c:v>
                </c:pt>
                <c:pt idx="1639">
                  <c:v>44182</c:v>
                </c:pt>
                <c:pt idx="1640">
                  <c:v>44181</c:v>
                </c:pt>
                <c:pt idx="1641">
                  <c:v>44180</c:v>
                </c:pt>
                <c:pt idx="1642">
                  <c:v>44179</c:v>
                </c:pt>
                <c:pt idx="1643">
                  <c:v>44178</c:v>
                </c:pt>
                <c:pt idx="1644">
                  <c:v>44177</c:v>
                </c:pt>
                <c:pt idx="1645">
                  <c:v>44176</c:v>
                </c:pt>
                <c:pt idx="1646">
                  <c:v>44175</c:v>
                </c:pt>
                <c:pt idx="1647">
                  <c:v>44174</c:v>
                </c:pt>
                <c:pt idx="1648">
                  <c:v>44173</c:v>
                </c:pt>
                <c:pt idx="1649">
                  <c:v>44172</c:v>
                </c:pt>
                <c:pt idx="1650">
                  <c:v>44171</c:v>
                </c:pt>
                <c:pt idx="1651">
                  <c:v>44170</c:v>
                </c:pt>
                <c:pt idx="1652">
                  <c:v>44169</c:v>
                </c:pt>
                <c:pt idx="1653">
                  <c:v>44168</c:v>
                </c:pt>
                <c:pt idx="1654">
                  <c:v>44167</c:v>
                </c:pt>
                <c:pt idx="1655">
                  <c:v>44166</c:v>
                </c:pt>
                <c:pt idx="1656">
                  <c:v>44165</c:v>
                </c:pt>
                <c:pt idx="1657">
                  <c:v>44164</c:v>
                </c:pt>
                <c:pt idx="1658">
                  <c:v>44163</c:v>
                </c:pt>
                <c:pt idx="1659">
                  <c:v>44162</c:v>
                </c:pt>
                <c:pt idx="1660">
                  <c:v>44161</c:v>
                </c:pt>
                <c:pt idx="1661">
                  <c:v>44160</c:v>
                </c:pt>
                <c:pt idx="1662">
                  <c:v>44159</c:v>
                </c:pt>
                <c:pt idx="1663">
                  <c:v>44158</c:v>
                </c:pt>
                <c:pt idx="1664">
                  <c:v>44157</c:v>
                </c:pt>
                <c:pt idx="1665">
                  <c:v>44156</c:v>
                </c:pt>
                <c:pt idx="1666">
                  <c:v>44155</c:v>
                </c:pt>
                <c:pt idx="1667">
                  <c:v>44154</c:v>
                </c:pt>
                <c:pt idx="1668">
                  <c:v>44153</c:v>
                </c:pt>
                <c:pt idx="1669">
                  <c:v>44152</c:v>
                </c:pt>
                <c:pt idx="1670">
                  <c:v>44151</c:v>
                </c:pt>
                <c:pt idx="1671">
                  <c:v>44150</c:v>
                </c:pt>
                <c:pt idx="1672">
                  <c:v>44149</c:v>
                </c:pt>
                <c:pt idx="1673">
                  <c:v>44148</c:v>
                </c:pt>
                <c:pt idx="1674">
                  <c:v>44147</c:v>
                </c:pt>
                <c:pt idx="1675">
                  <c:v>44146</c:v>
                </c:pt>
                <c:pt idx="1676">
                  <c:v>44145</c:v>
                </c:pt>
                <c:pt idx="1677">
                  <c:v>44144</c:v>
                </c:pt>
                <c:pt idx="1678">
                  <c:v>44143</c:v>
                </c:pt>
                <c:pt idx="1679">
                  <c:v>44142</c:v>
                </c:pt>
                <c:pt idx="1680">
                  <c:v>44141</c:v>
                </c:pt>
                <c:pt idx="1681">
                  <c:v>44140</c:v>
                </c:pt>
                <c:pt idx="1682">
                  <c:v>44139</c:v>
                </c:pt>
                <c:pt idx="1683">
                  <c:v>44138</c:v>
                </c:pt>
                <c:pt idx="1684">
                  <c:v>44137</c:v>
                </c:pt>
                <c:pt idx="1685">
                  <c:v>44136</c:v>
                </c:pt>
                <c:pt idx="1686">
                  <c:v>44135</c:v>
                </c:pt>
                <c:pt idx="1687">
                  <c:v>44134</c:v>
                </c:pt>
                <c:pt idx="1688">
                  <c:v>44133</c:v>
                </c:pt>
                <c:pt idx="1689">
                  <c:v>44132</c:v>
                </c:pt>
                <c:pt idx="1690">
                  <c:v>44131</c:v>
                </c:pt>
                <c:pt idx="1691">
                  <c:v>44130</c:v>
                </c:pt>
                <c:pt idx="1692">
                  <c:v>44129</c:v>
                </c:pt>
                <c:pt idx="1693">
                  <c:v>44128</c:v>
                </c:pt>
                <c:pt idx="1694">
                  <c:v>44127</c:v>
                </c:pt>
                <c:pt idx="1695">
                  <c:v>44126</c:v>
                </c:pt>
                <c:pt idx="1696">
                  <c:v>44125</c:v>
                </c:pt>
                <c:pt idx="1697">
                  <c:v>44124</c:v>
                </c:pt>
                <c:pt idx="1698">
                  <c:v>44123</c:v>
                </c:pt>
                <c:pt idx="1699">
                  <c:v>44122</c:v>
                </c:pt>
                <c:pt idx="1700">
                  <c:v>44121</c:v>
                </c:pt>
                <c:pt idx="1701">
                  <c:v>44120</c:v>
                </c:pt>
                <c:pt idx="1702">
                  <c:v>44119</c:v>
                </c:pt>
                <c:pt idx="1703">
                  <c:v>44118</c:v>
                </c:pt>
                <c:pt idx="1704">
                  <c:v>44117</c:v>
                </c:pt>
                <c:pt idx="1705">
                  <c:v>44116</c:v>
                </c:pt>
                <c:pt idx="1706">
                  <c:v>44115</c:v>
                </c:pt>
                <c:pt idx="1707">
                  <c:v>44114</c:v>
                </c:pt>
                <c:pt idx="1708">
                  <c:v>44113</c:v>
                </c:pt>
                <c:pt idx="1709">
                  <c:v>44112</c:v>
                </c:pt>
                <c:pt idx="1710">
                  <c:v>44111</c:v>
                </c:pt>
                <c:pt idx="1711">
                  <c:v>44110</c:v>
                </c:pt>
                <c:pt idx="1712">
                  <c:v>44109</c:v>
                </c:pt>
                <c:pt idx="1713">
                  <c:v>44108</c:v>
                </c:pt>
                <c:pt idx="1714">
                  <c:v>44107</c:v>
                </c:pt>
                <c:pt idx="1715">
                  <c:v>44106</c:v>
                </c:pt>
                <c:pt idx="1716">
                  <c:v>44105</c:v>
                </c:pt>
                <c:pt idx="1717">
                  <c:v>44104</c:v>
                </c:pt>
                <c:pt idx="1718">
                  <c:v>44103</c:v>
                </c:pt>
                <c:pt idx="1719">
                  <c:v>44102</c:v>
                </c:pt>
                <c:pt idx="1720">
                  <c:v>44101</c:v>
                </c:pt>
                <c:pt idx="1721">
                  <c:v>44100</c:v>
                </c:pt>
                <c:pt idx="1722">
                  <c:v>44099</c:v>
                </c:pt>
                <c:pt idx="1723">
                  <c:v>44098</c:v>
                </c:pt>
                <c:pt idx="1724">
                  <c:v>44097</c:v>
                </c:pt>
                <c:pt idx="1725">
                  <c:v>44096</c:v>
                </c:pt>
                <c:pt idx="1726">
                  <c:v>44095</c:v>
                </c:pt>
                <c:pt idx="1727">
                  <c:v>44094</c:v>
                </c:pt>
                <c:pt idx="1728">
                  <c:v>44093</c:v>
                </c:pt>
                <c:pt idx="1729">
                  <c:v>44092</c:v>
                </c:pt>
                <c:pt idx="1730">
                  <c:v>44091</c:v>
                </c:pt>
                <c:pt idx="1731">
                  <c:v>44090</c:v>
                </c:pt>
                <c:pt idx="1732">
                  <c:v>44089</c:v>
                </c:pt>
                <c:pt idx="1733">
                  <c:v>44088</c:v>
                </c:pt>
                <c:pt idx="1734">
                  <c:v>44087</c:v>
                </c:pt>
                <c:pt idx="1735">
                  <c:v>44086</c:v>
                </c:pt>
                <c:pt idx="1736">
                  <c:v>44085</c:v>
                </c:pt>
                <c:pt idx="1737">
                  <c:v>44084</c:v>
                </c:pt>
                <c:pt idx="1738">
                  <c:v>44083</c:v>
                </c:pt>
                <c:pt idx="1739">
                  <c:v>44082</c:v>
                </c:pt>
                <c:pt idx="1740">
                  <c:v>44081</c:v>
                </c:pt>
                <c:pt idx="1741">
                  <c:v>44080</c:v>
                </c:pt>
                <c:pt idx="1742">
                  <c:v>44079</c:v>
                </c:pt>
                <c:pt idx="1743">
                  <c:v>44078</c:v>
                </c:pt>
                <c:pt idx="1744">
                  <c:v>44077</c:v>
                </c:pt>
                <c:pt idx="1745">
                  <c:v>44076</c:v>
                </c:pt>
                <c:pt idx="1746">
                  <c:v>44075</c:v>
                </c:pt>
                <c:pt idx="1747">
                  <c:v>44074</c:v>
                </c:pt>
                <c:pt idx="1748">
                  <c:v>44073</c:v>
                </c:pt>
                <c:pt idx="1749">
                  <c:v>44072</c:v>
                </c:pt>
                <c:pt idx="1750">
                  <c:v>44071</c:v>
                </c:pt>
                <c:pt idx="1751">
                  <c:v>44070</c:v>
                </c:pt>
                <c:pt idx="1752">
                  <c:v>44069</c:v>
                </c:pt>
                <c:pt idx="1753">
                  <c:v>44068</c:v>
                </c:pt>
                <c:pt idx="1754">
                  <c:v>44067</c:v>
                </c:pt>
                <c:pt idx="1755">
                  <c:v>44066</c:v>
                </c:pt>
                <c:pt idx="1756">
                  <c:v>44065</c:v>
                </c:pt>
                <c:pt idx="1757">
                  <c:v>44064</c:v>
                </c:pt>
                <c:pt idx="1758">
                  <c:v>44063</c:v>
                </c:pt>
                <c:pt idx="1759">
                  <c:v>44062</c:v>
                </c:pt>
                <c:pt idx="1760">
                  <c:v>44061</c:v>
                </c:pt>
                <c:pt idx="1761">
                  <c:v>44060</c:v>
                </c:pt>
                <c:pt idx="1762">
                  <c:v>44059</c:v>
                </c:pt>
                <c:pt idx="1763">
                  <c:v>44058</c:v>
                </c:pt>
                <c:pt idx="1764">
                  <c:v>44057</c:v>
                </c:pt>
                <c:pt idx="1765">
                  <c:v>44056</c:v>
                </c:pt>
                <c:pt idx="1766">
                  <c:v>44055</c:v>
                </c:pt>
                <c:pt idx="1767">
                  <c:v>44054</c:v>
                </c:pt>
                <c:pt idx="1768">
                  <c:v>44053</c:v>
                </c:pt>
                <c:pt idx="1769">
                  <c:v>44052</c:v>
                </c:pt>
                <c:pt idx="1770">
                  <c:v>44051</c:v>
                </c:pt>
                <c:pt idx="1771">
                  <c:v>44050</c:v>
                </c:pt>
                <c:pt idx="1772">
                  <c:v>44049</c:v>
                </c:pt>
                <c:pt idx="1773">
                  <c:v>44048</c:v>
                </c:pt>
                <c:pt idx="1774">
                  <c:v>44047</c:v>
                </c:pt>
                <c:pt idx="1775">
                  <c:v>44046</c:v>
                </c:pt>
                <c:pt idx="1776">
                  <c:v>44045</c:v>
                </c:pt>
                <c:pt idx="1777">
                  <c:v>44044</c:v>
                </c:pt>
                <c:pt idx="1778">
                  <c:v>44043</c:v>
                </c:pt>
                <c:pt idx="1779">
                  <c:v>44042</c:v>
                </c:pt>
                <c:pt idx="1780">
                  <c:v>44041</c:v>
                </c:pt>
                <c:pt idx="1781">
                  <c:v>44040</c:v>
                </c:pt>
                <c:pt idx="1782">
                  <c:v>44039</c:v>
                </c:pt>
                <c:pt idx="1783">
                  <c:v>44038</c:v>
                </c:pt>
                <c:pt idx="1784">
                  <c:v>44037</c:v>
                </c:pt>
                <c:pt idx="1785">
                  <c:v>44036</c:v>
                </c:pt>
                <c:pt idx="1786">
                  <c:v>44035</c:v>
                </c:pt>
                <c:pt idx="1787">
                  <c:v>44034</c:v>
                </c:pt>
                <c:pt idx="1788">
                  <c:v>44033</c:v>
                </c:pt>
                <c:pt idx="1789">
                  <c:v>44032</c:v>
                </c:pt>
                <c:pt idx="1790">
                  <c:v>44031</c:v>
                </c:pt>
                <c:pt idx="1791">
                  <c:v>44030</c:v>
                </c:pt>
                <c:pt idx="1792">
                  <c:v>44029</c:v>
                </c:pt>
                <c:pt idx="1793">
                  <c:v>44028</c:v>
                </c:pt>
                <c:pt idx="1794">
                  <c:v>44027</c:v>
                </c:pt>
                <c:pt idx="1795">
                  <c:v>44026</c:v>
                </c:pt>
                <c:pt idx="1796">
                  <c:v>44025</c:v>
                </c:pt>
                <c:pt idx="1797">
                  <c:v>44024</c:v>
                </c:pt>
                <c:pt idx="1798">
                  <c:v>44023</c:v>
                </c:pt>
                <c:pt idx="1799">
                  <c:v>44022</c:v>
                </c:pt>
                <c:pt idx="1800">
                  <c:v>44021</c:v>
                </c:pt>
                <c:pt idx="1801">
                  <c:v>44020</c:v>
                </c:pt>
                <c:pt idx="1802">
                  <c:v>44019</c:v>
                </c:pt>
                <c:pt idx="1803">
                  <c:v>44018</c:v>
                </c:pt>
                <c:pt idx="1804">
                  <c:v>44017</c:v>
                </c:pt>
                <c:pt idx="1805">
                  <c:v>44016</c:v>
                </c:pt>
                <c:pt idx="1806">
                  <c:v>44015</c:v>
                </c:pt>
                <c:pt idx="1807">
                  <c:v>44014</c:v>
                </c:pt>
                <c:pt idx="1808">
                  <c:v>44013</c:v>
                </c:pt>
                <c:pt idx="1809">
                  <c:v>44012</c:v>
                </c:pt>
                <c:pt idx="1810">
                  <c:v>44011</c:v>
                </c:pt>
                <c:pt idx="1811">
                  <c:v>44010</c:v>
                </c:pt>
                <c:pt idx="1812">
                  <c:v>44009</c:v>
                </c:pt>
                <c:pt idx="1813">
                  <c:v>44008</c:v>
                </c:pt>
                <c:pt idx="1814">
                  <c:v>44007</c:v>
                </c:pt>
                <c:pt idx="1815">
                  <c:v>44006</c:v>
                </c:pt>
                <c:pt idx="1816">
                  <c:v>44005</c:v>
                </c:pt>
                <c:pt idx="1817">
                  <c:v>44004</c:v>
                </c:pt>
                <c:pt idx="1818">
                  <c:v>44003</c:v>
                </c:pt>
                <c:pt idx="1819">
                  <c:v>44002</c:v>
                </c:pt>
                <c:pt idx="1820">
                  <c:v>44001</c:v>
                </c:pt>
                <c:pt idx="1821">
                  <c:v>44000</c:v>
                </c:pt>
                <c:pt idx="1822">
                  <c:v>43999</c:v>
                </c:pt>
                <c:pt idx="1823">
                  <c:v>43998</c:v>
                </c:pt>
                <c:pt idx="1824">
                  <c:v>43997</c:v>
                </c:pt>
                <c:pt idx="1825">
                  <c:v>43996</c:v>
                </c:pt>
                <c:pt idx="1826">
                  <c:v>43995</c:v>
                </c:pt>
                <c:pt idx="1827">
                  <c:v>43994</c:v>
                </c:pt>
                <c:pt idx="1828">
                  <c:v>43993</c:v>
                </c:pt>
                <c:pt idx="1829">
                  <c:v>43992</c:v>
                </c:pt>
                <c:pt idx="1830">
                  <c:v>43991</c:v>
                </c:pt>
                <c:pt idx="1831">
                  <c:v>43990</c:v>
                </c:pt>
                <c:pt idx="1832">
                  <c:v>43989</c:v>
                </c:pt>
                <c:pt idx="1833">
                  <c:v>43988</c:v>
                </c:pt>
                <c:pt idx="1834">
                  <c:v>43987</c:v>
                </c:pt>
                <c:pt idx="1835">
                  <c:v>43986</c:v>
                </c:pt>
                <c:pt idx="1836">
                  <c:v>43985</c:v>
                </c:pt>
                <c:pt idx="1837">
                  <c:v>43984</c:v>
                </c:pt>
                <c:pt idx="1838">
                  <c:v>43983</c:v>
                </c:pt>
                <c:pt idx="1839">
                  <c:v>43982</c:v>
                </c:pt>
                <c:pt idx="1840">
                  <c:v>43981</c:v>
                </c:pt>
                <c:pt idx="1841">
                  <c:v>43980</c:v>
                </c:pt>
                <c:pt idx="1842">
                  <c:v>43979</c:v>
                </c:pt>
                <c:pt idx="1843">
                  <c:v>43978</c:v>
                </c:pt>
                <c:pt idx="1844">
                  <c:v>43977</c:v>
                </c:pt>
                <c:pt idx="1845">
                  <c:v>43976</c:v>
                </c:pt>
                <c:pt idx="1846">
                  <c:v>43975</c:v>
                </c:pt>
                <c:pt idx="1847">
                  <c:v>43974</c:v>
                </c:pt>
                <c:pt idx="1848">
                  <c:v>43973</c:v>
                </c:pt>
                <c:pt idx="1849">
                  <c:v>43972</c:v>
                </c:pt>
                <c:pt idx="1850">
                  <c:v>43971</c:v>
                </c:pt>
                <c:pt idx="1851">
                  <c:v>43970</c:v>
                </c:pt>
                <c:pt idx="1852">
                  <c:v>43969</c:v>
                </c:pt>
                <c:pt idx="1853">
                  <c:v>43968</c:v>
                </c:pt>
                <c:pt idx="1854">
                  <c:v>43967</c:v>
                </c:pt>
                <c:pt idx="1855">
                  <c:v>43966</c:v>
                </c:pt>
                <c:pt idx="1856">
                  <c:v>43965</c:v>
                </c:pt>
                <c:pt idx="1857">
                  <c:v>43964</c:v>
                </c:pt>
                <c:pt idx="1858">
                  <c:v>43963</c:v>
                </c:pt>
                <c:pt idx="1859">
                  <c:v>43962</c:v>
                </c:pt>
                <c:pt idx="1860">
                  <c:v>43961</c:v>
                </c:pt>
                <c:pt idx="1861">
                  <c:v>43960</c:v>
                </c:pt>
                <c:pt idx="1862">
                  <c:v>43959</c:v>
                </c:pt>
                <c:pt idx="1863">
                  <c:v>43958</c:v>
                </c:pt>
                <c:pt idx="1864">
                  <c:v>43957</c:v>
                </c:pt>
                <c:pt idx="1865">
                  <c:v>43956</c:v>
                </c:pt>
                <c:pt idx="1866">
                  <c:v>43955</c:v>
                </c:pt>
                <c:pt idx="1867">
                  <c:v>43954</c:v>
                </c:pt>
                <c:pt idx="1868">
                  <c:v>43953</c:v>
                </c:pt>
                <c:pt idx="1869">
                  <c:v>43952</c:v>
                </c:pt>
                <c:pt idx="1870">
                  <c:v>43951</c:v>
                </c:pt>
                <c:pt idx="1871">
                  <c:v>43950</c:v>
                </c:pt>
                <c:pt idx="1872">
                  <c:v>43949</c:v>
                </c:pt>
                <c:pt idx="1873">
                  <c:v>43948</c:v>
                </c:pt>
                <c:pt idx="1874">
                  <c:v>43947</c:v>
                </c:pt>
                <c:pt idx="1875">
                  <c:v>43946</c:v>
                </c:pt>
                <c:pt idx="1876">
                  <c:v>43945</c:v>
                </c:pt>
                <c:pt idx="1877">
                  <c:v>43944</c:v>
                </c:pt>
                <c:pt idx="1878">
                  <c:v>43943</c:v>
                </c:pt>
                <c:pt idx="1879">
                  <c:v>43942</c:v>
                </c:pt>
                <c:pt idx="1880">
                  <c:v>43941</c:v>
                </c:pt>
                <c:pt idx="1881">
                  <c:v>43940</c:v>
                </c:pt>
                <c:pt idx="1882">
                  <c:v>43939</c:v>
                </c:pt>
                <c:pt idx="1883">
                  <c:v>43938</c:v>
                </c:pt>
                <c:pt idx="1884">
                  <c:v>43937</c:v>
                </c:pt>
                <c:pt idx="1885">
                  <c:v>43936</c:v>
                </c:pt>
                <c:pt idx="1886">
                  <c:v>43935</c:v>
                </c:pt>
                <c:pt idx="1887">
                  <c:v>43934</c:v>
                </c:pt>
                <c:pt idx="1888">
                  <c:v>43933</c:v>
                </c:pt>
                <c:pt idx="1889">
                  <c:v>43932</c:v>
                </c:pt>
                <c:pt idx="1890">
                  <c:v>43931</c:v>
                </c:pt>
                <c:pt idx="1891">
                  <c:v>43930</c:v>
                </c:pt>
                <c:pt idx="1892">
                  <c:v>43929</c:v>
                </c:pt>
                <c:pt idx="1893">
                  <c:v>43928</c:v>
                </c:pt>
                <c:pt idx="1894">
                  <c:v>43927</c:v>
                </c:pt>
                <c:pt idx="1895">
                  <c:v>43926</c:v>
                </c:pt>
                <c:pt idx="1896">
                  <c:v>43925</c:v>
                </c:pt>
                <c:pt idx="1897">
                  <c:v>43924</c:v>
                </c:pt>
                <c:pt idx="1898">
                  <c:v>43923</c:v>
                </c:pt>
                <c:pt idx="1899">
                  <c:v>43922</c:v>
                </c:pt>
                <c:pt idx="1900">
                  <c:v>43921</c:v>
                </c:pt>
                <c:pt idx="1901">
                  <c:v>43920</c:v>
                </c:pt>
                <c:pt idx="1902">
                  <c:v>43919</c:v>
                </c:pt>
                <c:pt idx="1903">
                  <c:v>43918</c:v>
                </c:pt>
                <c:pt idx="1904">
                  <c:v>43917</c:v>
                </c:pt>
                <c:pt idx="1905">
                  <c:v>43916</c:v>
                </c:pt>
                <c:pt idx="1906">
                  <c:v>43915</c:v>
                </c:pt>
                <c:pt idx="1907">
                  <c:v>43914</c:v>
                </c:pt>
                <c:pt idx="1908">
                  <c:v>43913</c:v>
                </c:pt>
                <c:pt idx="1909">
                  <c:v>43912</c:v>
                </c:pt>
                <c:pt idx="1910">
                  <c:v>43911</c:v>
                </c:pt>
                <c:pt idx="1911">
                  <c:v>43910</c:v>
                </c:pt>
                <c:pt idx="1912">
                  <c:v>43909</c:v>
                </c:pt>
                <c:pt idx="1913">
                  <c:v>43908</c:v>
                </c:pt>
                <c:pt idx="1914">
                  <c:v>43907</c:v>
                </c:pt>
                <c:pt idx="1915">
                  <c:v>43906</c:v>
                </c:pt>
                <c:pt idx="1916">
                  <c:v>43905</c:v>
                </c:pt>
                <c:pt idx="1917">
                  <c:v>43904</c:v>
                </c:pt>
                <c:pt idx="1918">
                  <c:v>43903</c:v>
                </c:pt>
                <c:pt idx="1919">
                  <c:v>43902</c:v>
                </c:pt>
                <c:pt idx="1920">
                  <c:v>43901</c:v>
                </c:pt>
                <c:pt idx="1921">
                  <c:v>43900</c:v>
                </c:pt>
                <c:pt idx="1922">
                  <c:v>43899</c:v>
                </c:pt>
                <c:pt idx="1923">
                  <c:v>43898</c:v>
                </c:pt>
                <c:pt idx="1924">
                  <c:v>43897</c:v>
                </c:pt>
                <c:pt idx="1925">
                  <c:v>43896</c:v>
                </c:pt>
                <c:pt idx="1926">
                  <c:v>43895</c:v>
                </c:pt>
                <c:pt idx="1927">
                  <c:v>43894</c:v>
                </c:pt>
                <c:pt idx="1928">
                  <c:v>43893</c:v>
                </c:pt>
                <c:pt idx="1929">
                  <c:v>43892</c:v>
                </c:pt>
                <c:pt idx="1930">
                  <c:v>43891</c:v>
                </c:pt>
                <c:pt idx="1931">
                  <c:v>43890</c:v>
                </c:pt>
                <c:pt idx="1932">
                  <c:v>43889</c:v>
                </c:pt>
                <c:pt idx="1933">
                  <c:v>43888</c:v>
                </c:pt>
                <c:pt idx="1934">
                  <c:v>43887</c:v>
                </c:pt>
                <c:pt idx="1935">
                  <c:v>43886</c:v>
                </c:pt>
                <c:pt idx="1936">
                  <c:v>43885</c:v>
                </c:pt>
                <c:pt idx="1937">
                  <c:v>43884</c:v>
                </c:pt>
                <c:pt idx="1938">
                  <c:v>43883</c:v>
                </c:pt>
                <c:pt idx="1939">
                  <c:v>43882</c:v>
                </c:pt>
                <c:pt idx="1940">
                  <c:v>43881</c:v>
                </c:pt>
                <c:pt idx="1941">
                  <c:v>43880</c:v>
                </c:pt>
                <c:pt idx="1942">
                  <c:v>43879</c:v>
                </c:pt>
                <c:pt idx="1943">
                  <c:v>43878</c:v>
                </c:pt>
                <c:pt idx="1944">
                  <c:v>43877</c:v>
                </c:pt>
                <c:pt idx="1945">
                  <c:v>43876</c:v>
                </c:pt>
                <c:pt idx="1946">
                  <c:v>43875</c:v>
                </c:pt>
                <c:pt idx="1947">
                  <c:v>43874</c:v>
                </c:pt>
                <c:pt idx="1948">
                  <c:v>43873</c:v>
                </c:pt>
                <c:pt idx="1949">
                  <c:v>43872</c:v>
                </c:pt>
                <c:pt idx="1950">
                  <c:v>43871</c:v>
                </c:pt>
                <c:pt idx="1951">
                  <c:v>43870</c:v>
                </c:pt>
                <c:pt idx="1952">
                  <c:v>43869</c:v>
                </c:pt>
                <c:pt idx="1953">
                  <c:v>43868</c:v>
                </c:pt>
                <c:pt idx="1954">
                  <c:v>43867</c:v>
                </c:pt>
                <c:pt idx="1955">
                  <c:v>43866</c:v>
                </c:pt>
                <c:pt idx="1956">
                  <c:v>43865</c:v>
                </c:pt>
                <c:pt idx="1957">
                  <c:v>43864</c:v>
                </c:pt>
                <c:pt idx="1958">
                  <c:v>43863</c:v>
                </c:pt>
                <c:pt idx="1959">
                  <c:v>43862</c:v>
                </c:pt>
                <c:pt idx="1960">
                  <c:v>43861</c:v>
                </c:pt>
                <c:pt idx="1961">
                  <c:v>43860</c:v>
                </c:pt>
                <c:pt idx="1962">
                  <c:v>43859</c:v>
                </c:pt>
                <c:pt idx="1963">
                  <c:v>43858</c:v>
                </c:pt>
                <c:pt idx="1964">
                  <c:v>43857</c:v>
                </c:pt>
                <c:pt idx="1965">
                  <c:v>43856</c:v>
                </c:pt>
                <c:pt idx="1966">
                  <c:v>43855</c:v>
                </c:pt>
                <c:pt idx="1967">
                  <c:v>43854</c:v>
                </c:pt>
                <c:pt idx="1968">
                  <c:v>43853</c:v>
                </c:pt>
                <c:pt idx="1969">
                  <c:v>43852</c:v>
                </c:pt>
                <c:pt idx="1970">
                  <c:v>43851</c:v>
                </c:pt>
                <c:pt idx="1971">
                  <c:v>43850</c:v>
                </c:pt>
                <c:pt idx="1972">
                  <c:v>43849</c:v>
                </c:pt>
                <c:pt idx="1973">
                  <c:v>43848</c:v>
                </c:pt>
                <c:pt idx="1974">
                  <c:v>43847</c:v>
                </c:pt>
                <c:pt idx="1975">
                  <c:v>43846</c:v>
                </c:pt>
                <c:pt idx="1976">
                  <c:v>43845</c:v>
                </c:pt>
                <c:pt idx="1977">
                  <c:v>43844</c:v>
                </c:pt>
                <c:pt idx="1978">
                  <c:v>43843</c:v>
                </c:pt>
                <c:pt idx="1979">
                  <c:v>43842</c:v>
                </c:pt>
                <c:pt idx="1980">
                  <c:v>43841</c:v>
                </c:pt>
                <c:pt idx="1981">
                  <c:v>43840</c:v>
                </c:pt>
                <c:pt idx="1982">
                  <c:v>43839</c:v>
                </c:pt>
                <c:pt idx="1983">
                  <c:v>43838</c:v>
                </c:pt>
                <c:pt idx="1984">
                  <c:v>43837</c:v>
                </c:pt>
                <c:pt idx="1985">
                  <c:v>43836</c:v>
                </c:pt>
                <c:pt idx="1986">
                  <c:v>43835</c:v>
                </c:pt>
                <c:pt idx="1987">
                  <c:v>43834</c:v>
                </c:pt>
                <c:pt idx="1988">
                  <c:v>43833</c:v>
                </c:pt>
                <c:pt idx="1989">
                  <c:v>43832</c:v>
                </c:pt>
                <c:pt idx="1990">
                  <c:v>43831</c:v>
                </c:pt>
                <c:pt idx="1991">
                  <c:v>43830</c:v>
                </c:pt>
                <c:pt idx="1992">
                  <c:v>43829</c:v>
                </c:pt>
                <c:pt idx="1993">
                  <c:v>43828</c:v>
                </c:pt>
                <c:pt idx="1994">
                  <c:v>43827</c:v>
                </c:pt>
                <c:pt idx="1995">
                  <c:v>43826</c:v>
                </c:pt>
                <c:pt idx="1996">
                  <c:v>43825</c:v>
                </c:pt>
                <c:pt idx="1997">
                  <c:v>43824</c:v>
                </c:pt>
                <c:pt idx="1998">
                  <c:v>43823</c:v>
                </c:pt>
                <c:pt idx="1999">
                  <c:v>43822</c:v>
                </c:pt>
                <c:pt idx="2000">
                  <c:v>43821</c:v>
                </c:pt>
                <c:pt idx="2001">
                  <c:v>43820</c:v>
                </c:pt>
                <c:pt idx="2002">
                  <c:v>43819</c:v>
                </c:pt>
                <c:pt idx="2003">
                  <c:v>43818</c:v>
                </c:pt>
                <c:pt idx="2004">
                  <c:v>43817</c:v>
                </c:pt>
                <c:pt idx="2005">
                  <c:v>43816</c:v>
                </c:pt>
                <c:pt idx="2006">
                  <c:v>43815</c:v>
                </c:pt>
                <c:pt idx="2007">
                  <c:v>43814</c:v>
                </c:pt>
                <c:pt idx="2008">
                  <c:v>43813</c:v>
                </c:pt>
                <c:pt idx="2009">
                  <c:v>43812</c:v>
                </c:pt>
                <c:pt idx="2010">
                  <c:v>43811</c:v>
                </c:pt>
                <c:pt idx="2011">
                  <c:v>43810</c:v>
                </c:pt>
                <c:pt idx="2012">
                  <c:v>43809</c:v>
                </c:pt>
                <c:pt idx="2013">
                  <c:v>43808</c:v>
                </c:pt>
                <c:pt idx="2014">
                  <c:v>43807</c:v>
                </c:pt>
                <c:pt idx="2015">
                  <c:v>43806</c:v>
                </c:pt>
                <c:pt idx="2016">
                  <c:v>43805</c:v>
                </c:pt>
                <c:pt idx="2017">
                  <c:v>43804</c:v>
                </c:pt>
                <c:pt idx="2018">
                  <c:v>43803</c:v>
                </c:pt>
                <c:pt idx="2019">
                  <c:v>43802</c:v>
                </c:pt>
                <c:pt idx="2020">
                  <c:v>43801</c:v>
                </c:pt>
                <c:pt idx="2021">
                  <c:v>43800</c:v>
                </c:pt>
                <c:pt idx="2022">
                  <c:v>43799</c:v>
                </c:pt>
                <c:pt idx="2023">
                  <c:v>43798</c:v>
                </c:pt>
                <c:pt idx="2024">
                  <c:v>43797</c:v>
                </c:pt>
                <c:pt idx="2025">
                  <c:v>43796</c:v>
                </c:pt>
                <c:pt idx="2026">
                  <c:v>43795</c:v>
                </c:pt>
                <c:pt idx="2027">
                  <c:v>43794</c:v>
                </c:pt>
                <c:pt idx="2028">
                  <c:v>43793</c:v>
                </c:pt>
                <c:pt idx="2029">
                  <c:v>43792</c:v>
                </c:pt>
                <c:pt idx="2030">
                  <c:v>43791</c:v>
                </c:pt>
                <c:pt idx="2031">
                  <c:v>43790</c:v>
                </c:pt>
                <c:pt idx="2032">
                  <c:v>43789</c:v>
                </c:pt>
                <c:pt idx="2033">
                  <c:v>43788</c:v>
                </c:pt>
                <c:pt idx="2034">
                  <c:v>43787</c:v>
                </c:pt>
                <c:pt idx="2035">
                  <c:v>43786</c:v>
                </c:pt>
                <c:pt idx="2036">
                  <c:v>43785</c:v>
                </c:pt>
                <c:pt idx="2037">
                  <c:v>43784</c:v>
                </c:pt>
                <c:pt idx="2038">
                  <c:v>43783</c:v>
                </c:pt>
                <c:pt idx="2039">
                  <c:v>43782</c:v>
                </c:pt>
                <c:pt idx="2040">
                  <c:v>43781</c:v>
                </c:pt>
                <c:pt idx="2041">
                  <c:v>43780</c:v>
                </c:pt>
                <c:pt idx="2042">
                  <c:v>43779</c:v>
                </c:pt>
                <c:pt idx="2043">
                  <c:v>43778</c:v>
                </c:pt>
                <c:pt idx="2044">
                  <c:v>43777</c:v>
                </c:pt>
                <c:pt idx="2045">
                  <c:v>43776</c:v>
                </c:pt>
                <c:pt idx="2046">
                  <c:v>43775</c:v>
                </c:pt>
                <c:pt idx="2047">
                  <c:v>43774</c:v>
                </c:pt>
                <c:pt idx="2048">
                  <c:v>43773</c:v>
                </c:pt>
                <c:pt idx="2049">
                  <c:v>43772</c:v>
                </c:pt>
                <c:pt idx="2050">
                  <c:v>43771</c:v>
                </c:pt>
                <c:pt idx="2051">
                  <c:v>43770</c:v>
                </c:pt>
                <c:pt idx="2052">
                  <c:v>43769</c:v>
                </c:pt>
                <c:pt idx="2053">
                  <c:v>43768</c:v>
                </c:pt>
                <c:pt idx="2054">
                  <c:v>43767</c:v>
                </c:pt>
                <c:pt idx="2055">
                  <c:v>43766</c:v>
                </c:pt>
                <c:pt idx="2056">
                  <c:v>43765</c:v>
                </c:pt>
                <c:pt idx="2057">
                  <c:v>43764</c:v>
                </c:pt>
                <c:pt idx="2058">
                  <c:v>43763</c:v>
                </c:pt>
                <c:pt idx="2059">
                  <c:v>43762</c:v>
                </c:pt>
                <c:pt idx="2060">
                  <c:v>43761</c:v>
                </c:pt>
                <c:pt idx="2061">
                  <c:v>43760</c:v>
                </c:pt>
                <c:pt idx="2062">
                  <c:v>43759</c:v>
                </c:pt>
                <c:pt idx="2063">
                  <c:v>43758</c:v>
                </c:pt>
                <c:pt idx="2064">
                  <c:v>43757</c:v>
                </c:pt>
                <c:pt idx="2065">
                  <c:v>43756</c:v>
                </c:pt>
                <c:pt idx="2066">
                  <c:v>43755</c:v>
                </c:pt>
                <c:pt idx="2067">
                  <c:v>43754</c:v>
                </c:pt>
                <c:pt idx="2068">
                  <c:v>43753</c:v>
                </c:pt>
                <c:pt idx="2069">
                  <c:v>43752</c:v>
                </c:pt>
                <c:pt idx="2070">
                  <c:v>43751</c:v>
                </c:pt>
                <c:pt idx="2071">
                  <c:v>43750</c:v>
                </c:pt>
                <c:pt idx="2072">
                  <c:v>43749</c:v>
                </c:pt>
                <c:pt idx="2073">
                  <c:v>43748</c:v>
                </c:pt>
                <c:pt idx="2074">
                  <c:v>43747</c:v>
                </c:pt>
                <c:pt idx="2075">
                  <c:v>43746</c:v>
                </c:pt>
                <c:pt idx="2076">
                  <c:v>43745</c:v>
                </c:pt>
                <c:pt idx="2077">
                  <c:v>43744</c:v>
                </c:pt>
                <c:pt idx="2078">
                  <c:v>43743</c:v>
                </c:pt>
                <c:pt idx="2079">
                  <c:v>43742</c:v>
                </c:pt>
                <c:pt idx="2080">
                  <c:v>43741</c:v>
                </c:pt>
                <c:pt idx="2081">
                  <c:v>43740</c:v>
                </c:pt>
                <c:pt idx="2082">
                  <c:v>43739</c:v>
                </c:pt>
                <c:pt idx="2083">
                  <c:v>43738</c:v>
                </c:pt>
                <c:pt idx="2084">
                  <c:v>43737</c:v>
                </c:pt>
                <c:pt idx="2085">
                  <c:v>43736</c:v>
                </c:pt>
                <c:pt idx="2086">
                  <c:v>43735</c:v>
                </c:pt>
                <c:pt idx="2087">
                  <c:v>43734</c:v>
                </c:pt>
                <c:pt idx="2088">
                  <c:v>43733</c:v>
                </c:pt>
                <c:pt idx="2089">
                  <c:v>43732</c:v>
                </c:pt>
                <c:pt idx="2090">
                  <c:v>43731</c:v>
                </c:pt>
                <c:pt idx="2091">
                  <c:v>43730</c:v>
                </c:pt>
                <c:pt idx="2092">
                  <c:v>43729</c:v>
                </c:pt>
                <c:pt idx="2093">
                  <c:v>43728</c:v>
                </c:pt>
                <c:pt idx="2094">
                  <c:v>43727</c:v>
                </c:pt>
                <c:pt idx="2095">
                  <c:v>43726</c:v>
                </c:pt>
                <c:pt idx="2096">
                  <c:v>43725</c:v>
                </c:pt>
                <c:pt idx="2097">
                  <c:v>43724</c:v>
                </c:pt>
                <c:pt idx="2098">
                  <c:v>43723</c:v>
                </c:pt>
                <c:pt idx="2099">
                  <c:v>43722</c:v>
                </c:pt>
                <c:pt idx="2100">
                  <c:v>43721</c:v>
                </c:pt>
                <c:pt idx="2101">
                  <c:v>43720</c:v>
                </c:pt>
                <c:pt idx="2102">
                  <c:v>43719</c:v>
                </c:pt>
                <c:pt idx="2103">
                  <c:v>43718</c:v>
                </c:pt>
                <c:pt idx="2104">
                  <c:v>43717</c:v>
                </c:pt>
                <c:pt idx="2105">
                  <c:v>43716</c:v>
                </c:pt>
                <c:pt idx="2106">
                  <c:v>43715</c:v>
                </c:pt>
                <c:pt idx="2107">
                  <c:v>43714</c:v>
                </c:pt>
                <c:pt idx="2108">
                  <c:v>43713</c:v>
                </c:pt>
                <c:pt idx="2109">
                  <c:v>43712</c:v>
                </c:pt>
                <c:pt idx="2110">
                  <c:v>43711</c:v>
                </c:pt>
                <c:pt idx="2111">
                  <c:v>43710</c:v>
                </c:pt>
                <c:pt idx="2112">
                  <c:v>43709</c:v>
                </c:pt>
                <c:pt idx="2113">
                  <c:v>43708</c:v>
                </c:pt>
                <c:pt idx="2114">
                  <c:v>43707</c:v>
                </c:pt>
                <c:pt idx="2115">
                  <c:v>43706</c:v>
                </c:pt>
                <c:pt idx="2116">
                  <c:v>43705</c:v>
                </c:pt>
                <c:pt idx="2117">
                  <c:v>43704</c:v>
                </c:pt>
                <c:pt idx="2118">
                  <c:v>43703</c:v>
                </c:pt>
                <c:pt idx="2119">
                  <c:v>43702</c:v>
                </c:pt>
                <c:pt idx="2120">
                  <c:v>43701</c:v>
                </c:pt>
                <c:pt idx="2121">
                  <c:v>43700</c:v>
                </c:pt>
                <c:pt idx="2122">
                  <c:v>43699</c:v>
                </c:pt>
                <c:pt idx="2123">
                  <c:v>43698</c:v>
                </c:pt>
                <c:pt idx="2124">
                  <c:v>43697</c:v>
                </c:pt>
                <c:pt idx="2125">
                  <c:v>43696</c:v>
                </c:pt>
                <c:pt idx="2126">
                  <c:v>43695</c:v>
                </c:pt>
                <c:pt idx="2127">
                  <c:v>43694</c:v>
                </c:pt>
                <c:pt idx="2128">
                  <c:v>43693</c:v>
                </c:pt>
                <c:pt idx="2129">
                  <c:v>43692</c:v>
                </c:pt>
                <c:pt idx="2130">
                  <c:v>43691</c:v>
                </c:pt>
                <c:pt idx="2131">
                  <c:v>43690</c:v>
                </c:pt>
                <c:pt idx="2132">
                  <c:v>43689</c:v>
                </c:pt>
                <c:pt idx="2133">
                  <c:v>43688</c:v>
                </c:pt>
                <c:pt idx="2134">
                  <c:v>43687</c:v>
                </c:pt>
                <c:pt idx="2135">
                  <c:v>43686</c:v>
                </c:pt>
                <c:pt idx="2136">
                  <c:v>43685</c:v>
                </c:pt>
                <c:pt idx="2137">
                  <c:v>43684</c:v>
                </c:pt>
                <c:pt idx="2138">
                  <c:v>43683</c:v>
                </c:pt>
                <c:pt idx="2139">
                  <c:v>43682</c:v>
                </c:pt>
                <c:pt idx="2140">
                  <c:v>43681</c:v>
                </c:pt>
                <c:pt idx="2141">
                  <c:v>43680</c:v>
                </c:pt>
                <c:pt idx="2142">
                  <c:v>43679</c:v>
                </c:pt>
                <c:pt idx="2143">
                  <c:v>43678</c:v>
                </c:pt>
                <c:pt idx="2144">
                  <c:v>43677</c:v>
                </c:pt>
                <c:pt idx="2145">
                  <c:v>43676</c:v>
                </c:pt>
                <c:pt idx="2146">
                  <c:v>43675</c:v>
                </c:pt>
                <c:pt idx="2147">
                  <c:v>43674</c:v>
                </c:pt>
                <c:pt idx="2148">
                  <c:v>43673</c:v>
                </c:pt>
                <c:pt idx="2149">
                  <c:v>43672</c:v>
                </c:pt>
                <c:pt idx="2150">
                  <c:v>43671</c:v>
                </c:pt>
                <c:pt idx="2151">
                  <c:v>43670</c:v>
                </c:pt>
                <c:pt idx="2152">
                  <c:v>43669</c:v>
                </c:pt>
                <c:pt idx="2153">
                  <c:v>43668</c:v>
                </c:pt>
                <c:pt idx="2154">
                  <c:v>43667</c:v>
                </c:pt>
                <c:pt idx="2155">
                  <c:v>43666</c:v>
                </c:pt>
                <c:pt idx="2156">
                  <c:v>43665</c:v>
                </c:pt>
                <c:pt idx="2157">
                  <c:v>43664</c:v>
                </c:pt>
                <c:pt idx="2158">
                  <c:v>43663</c:v>
                </c:pt>
                <c:pt idx="2159">
                  <c:v>43662</c:v>
                </c:pt>
                <c:pt idx="2160">
                  <c:v>43661</c:v>
                </c:pt>
                <c:pt idx="2161">
                  <c:v>43660</c:v>
                </c:pt>
                <c:pt idx="2162">
                  <c:v>43659</c:v>
                </c:pt>
                <c:pt idx="2163">
                  <c:v>43658</c:v>
                </c:pt>
                <c:pt idx="2164">
                  <c:v>43657</c:v>
                </c:pt>
                <c:pt idx="2165">
                  <c:v>43656</c:v>
                </c:pt>
                <c:pt idx="2166">
                  <c:v>43655</c:v>
                </c:pt>
                <c:pt idx="2167">
                  <c:v>43654</c:v>
                </c:pt>
                <c:pt idx="2168">
                  <c:v>43653</c:v>
                </c:pt>
                <c:pt idx="2169">
                  <c:v>43652</c:v>
                </c:pt>
                <c:pt idx="2170">
                  <c:v>43651</c:v>
                </c:pt>
                <c:pt idx="2171">
                  <c:v>43650</c:v>
                </c:pt>
                <c:pt idx="2172">
                  <c:v>43649</c:v>
                </c:pt>
                <c:pt idx="2173">
                  <c:v>43648</c:v>
                </c:pt>
                <c:pt idx="2174">
                  <c:v>43647</c:v>
                </c:pt>
                <c:pt idx="2175">
                  <c:v>43646</c:v>
                </c:pt>
                <c:pt idx="2176">
                  <c:v>43645</c:v>
                </c:pt>
                <c:pt idx="2177">
                  <c:v>43644</c:v>
                </c:pt>
                <c:pt idx="2178">
                  <c:v>43643</c:v>
                </c:pt>
                <c:pt idx="2179">
                  <c:v>43642</c:v>
                </c:pt>
                <c:pt idx="2180">
                  <c:v>43641</c:v>
                </c:pt>
                <c:pt idx="2181">
                  <c:v>43640</c:v>
                </c:pt>
                <c:pt idx="2182">
                  <c:v>43639</c:v>
                </c:pt>
                <c:pt idx="2183">
                  <c:v>43638</c:v>
                </c:pt>
                <c:pt idx="2184">
                  <c:v>43637</c:v>
                </c:pt>
                <c:pt idx="2185">
                  <c:v>43636</c:v>
                </c:pt>
                <c:pt idx="2186">
                  <c:v>43635</c:v>
                </c:pt>
                <c:pt idx="2187">
                  <c:v>43634</c:v>
                </c:pt>
                <c:pt idx="2188">
                  <c:v>43633</c:v>
                </c:pt>
                <c:pt idx="2189">
                  <c:v>43632</c:v>
                </c:pt>
                <c:pt idx="2190">
                  <c:v>43631</c:v>
                </c:pt>
                <c:pt idx="2191">
                  <c:v>43630</c:v>
                </c:pt>
                <c:pt idx="2192">
                  <c:v>43629</c:v>
                </c:pt>
                <c:pt idx="2193">
                  <c:v>43628</c:v>
                </c:pt>
                <c:pt idx="2194">
                  <c:v>43627</c:v>
                </c:pt>
                <c:pt idx="2195">
                  <c:v>43626</c:v>
                </c:pt>
                <c:pt idx="2196">
                  <c:v>43625</c:v>
                </c:pt>
                <c:pt idx="2197">
                  <c:v>43624</c:v>
                </c:pt>
                <c:pt idx="2198">
                  <c:v>43623</c:v>
                </c:pt>
                <c:pt idx="2199">
                  <c:v>43622</c:v>
                </c:pt>
                <c:pt idx="2200">
                  <c:v>43621</c:v>
                </c:pt>
                <c:pt idx="2201">
                  <c:v>43620</c:v>
                </c:pt>
                <c:pt idx="2202">
                  <c:v>43619</c:v>
                </c:pt>
                <c:pt idx="2203">
                  <c:v>43618</c:v>
                </c:pt>
                <c:pt idx="2204">
                  <c:v>43617</c:v>
                </c:pt>
                <c:pt idx="2205">
                  <c:v>43616</c:v>
                </c:pt>
                <c:pt idx="2206">
                  <c:v>43615</c:v>
                </c:pt>
                <c:pt idx="2207">
                  <c:v>43614</c:v>
                </c:pt>
                <c:pt idx="2208">
                  <c:v>43613</c:v>
                </c:pt>
                <c:pt idx="2209">
                  <c:v>43612</c:v>
                </c:pt>
                <c:pt idx="2210">
                  <c:v>43611</c:v>
                </c:pt>
                <c:pt idx="2211">
                  <c:v>43610</c:v>
                </c:pt>
                <c:pt idx="2212">
                  <c:v>43609</c:v>
                </c:pt>
                <c:pt idx="2213">
                  <c:v>43608</c:v>
                </c:pt>
                <c:pt idx="2214">
                  <c:v>43607</c:v>
                </c:pt>
                <c:pt idx="2215">
                  <c:v>43606</c:v>
                </c:pt>
                <c:pt idx="2216">
                  <c:v>43605</c:v>
                </c:pt>
                <c:pt idx="2217">
                  <c:v>43604</c:v>
                </c:pt>
                <c:pt idx="2218">
                  <c:v>43603</c:v>
                </c:pt>
                <c:pt idx="2219">
                  <c:v>43602</c:v>
                </c:pt>
                <c:pt idx="2220">
                  <c:v>43601</c:v>
                </c:pt>
                <c:pt idx="2221">
                  <c:v>43600</c:v>
                </c:pt>
                <c:pt idx="2222">
                  <c:v>43599</c:v>
                </c:pt>
                <c:pt idx="2223">
                  <c:v>43598</c:v>
                </c:pt>
                <c:pt idx="2224">
                  <c:v>43597</c:v>
                </c:pt>
                <c:pt idx="2225">
                  <c:v>43596</c:v>
                </c:pt>
                <c:pt idx="2226">
                  <c:v>43595</c:v>
                </c:pt>
                <c:pt idx="2227">
                  <c:v>43594</c:v>
                </c:pt>
                <c:pt idx="2228">
                  <c:v>43593</c:v>
                </c:pt>
                <c:pt idx="2229">
                  <c:v>43592</c:v>
                </c:pt>
                <c:pt idx="2230">
                  <c:v>43591</c:v>
                </c:pt>
                <c:pt idx="2231">
                  <c:v>43590</c:v>
                </c:pt>
                <c:pt idx="2232">
                  <c:v>43589</c:v>
                </c:pt>
                <c:pt idx="2233">
                  <c:v>43588</c:v>
                </c:pt>
                <c:pt idx="2234">
                  <c:v>43587</c:v>
                </c:pt>
                <c:pt idx="2235">
                  <c:v>43586</c:v>
                </c:pt>
                <c:pt idx="2236">
                  <c:v>43585</c:v>
                </c:pt>
                <c:pt idx="2237">
                  <c:v>43584</c:v>
                </c:pt>
                <c:pt idx="2238">
                  <c:v>43583</c:v>
                </c:pt>
                <c:pt idx="2239">
                  <c:v>43582</c:v>
                </c:pt>
                <c:pt idx="2240">
                  <c:v>43581</c:v>
                </c:pt>
                <c:pt idx="2241">
                  <c:v>43580</c:v>
                </c:pt>
                <c:pt idx="2242">
                  <c:v>43579</c:v>
                </c:pt>
                <c:pt idx="2243">
                  <c:v>43578</c:v>
                </c:pt>
                <c:pt idx="2244">
                  <c:v>43577</c:v>
                </c:pt>
                <c:pt idx="2245">
                  <c:v>43576</c:v>
                </c:pt>
                <c:pt idx="2246">
                  <c:v>43575</c:v>
                </c:pt>
                <c:pt idx="2247">
                  <c:v>43574</c:v>
                </c:pt>
                <c:pt idx="2248">
                  <c:v>43573</c:v>
                </c:pt>
                <c:pt idx="2249">
                  <c:v>43572</c:v>
                </c:pt>
                <c:pt idx="2250">
                  <c:v>43571</c:v>
                </c:pt>
                <c:pt idx="2251">
                  <c:v>43570</c:v>
                </c:pt>
                <c:pt idx="2252">
                  <c:v>43569</c:v>
                </c:pt>
                <c:pt idx="2253">
                  <c:v>43568</c:v>
                </c:pt>
                <c:pt idx="2254">
                  <c:v>43567</c:v>
                </c:pt>
                <c:pt idx="2255">
                  <c:v>43566</c:v>
                </c:pt>
                <c:pt idx="2256">
                  <c:v>43565</c:v>
                </c:pt>
                <c:pt idx="2257">
                  <c:v>43564</c:v>
                </c:pt>
                <c:pt idx="2258">
                  <c:v>43563</c:v>
                </c:pt>
                <c:pt idx="2259">
                  <c:v>43562</c:v>
                </c:pt>
                <c:pt idx="2260">
                  <c:v>43561</c:v>
                </c:pt>
                <c:pt idx="2261">
                  <c:v>43560</c:v>
                </c:pt>
                <c:pt idx="2262">
                  <c:v>43559</c:v>
                </c:pt>
                <c:pt idx="2263">
                  <c:v>43558</c:v>
                </c:pt>
                <c:pt idx="2264">
                  <c:v>43557</c:v>
                </c:pt>
                <c:pt idx="2265">
                  <c:v>43556</c:v>
                </c:pt>
                <c:pt idx="2266">
                  <c:v>43555</c:v>
                </c:pt>
                <c:pt idx="2267">
                  <c:v>43554</c:v>
                </c:pt>
                <c:pt idx="2268">
                  <c:v>43553</c:v>
                </c:pt>
                <c:pt idx="2269">
                  <c:v>43552</c:v>
                </c:pt>
                <c:pt idx="2270">
                  <c:v>43551</c:v>
                </c:pt>
                <c:pt idx="2271">
                  <c:v>43550</c:v>
                </c:pt>
                <c:pt idx="2272">
                  <c:v>43549</c:v>
                </c:pt>
                <c:pt idx="2273">
                  <c:v>43548</c:v>
                </c:pt>
                <c:pt idx="2274">
                  <c:v>43547</c:v>
                </c:pt>
                <c:pt idx="2275">
                  <c:v>43546</c:v>
                </c:pt>
                <c:pt idx="2276">
                  <c:v>43545</c:v>
                </c:pt>
                <c:pt idx="2277">
                  <c:v>43544</c:v>
                </c:pt>
                <c:pt idx="2278">
                  <c:v>43543</c:v>
                </c:pt>
                <c:pt idx="2279">
                  <c:v>43542</c:v>
                </c:pt>
                <c:pt idx="2280">
                  <c:v>43541</c:v>
                </c:pt>
                <c:pt idx="2281">
                  <c:v>43540</c:v>
                </c:pt>
                <c:pt idx="2282">
                  <c:v>43539</c:v>
                </c:pt>
                <c:pt idx="2283">
                  <c:v>43538</c:v>
                </c:pt>
                <c:pt idx="2284">
                  <c:v>43537</c:v>
                </c:pt>
                <c:pt idx="2285">
                  <c:v>43536</c:v>
                </c:pt>
                <c:pt idx="2286">
                  <c:v>43535</c:v>
                </c:pt>
                <c:pt idx="2287">
                  <c:v>43534</c:v>
                </c:pt>
                <c:pt idx="2288">
                  <c:v>43533</c:v>
                </c:pt>
                <c:pt idx="2289">
                  <c:v>43532</c:v>
                </c:pt>
                <c:pt idx="2290">
                  <c:v>43531</c:v>
                </c:pt>
                <c:pt idx="2291">
                  <c:v>43530</c:v>
                </c:pt>
                <c:pt idx="2292">
                  <c:v>43529</c:v>
                </c:pt>
                <c:pt idx="2293">
                  <c:v>43528</c:v>
                </c:pt>
                <c:pt idx="2294">
                  <c:v>43527</c:v>
                </c:pt>
                <c:pt idx="2295">
                  <c:v>43526</c:v>
                </c:pt>
                <c:pt idx="2296">
                  <c:v>43525</c:v>
                </c:pt>
                <c:pt idx="2297">
                  <c:v>43524</c:v>
                </c:pt>
                <c:pt idx="2298">
                  <c:v>43523</c:v>
                </c:pt>
                <c:pt idx="2299">
                  <c:v>43522</c:v>
                </c:pt>
                <c:pt idx="2300">
                  <c:v>43521</c:v>
                </c:pt>
                <c:pt idx="2301">
                  <c:v>43520</c:v>
                </c:pt>
                <c:pt idx="2302">
                  <c:v>43519</c:v>
                </c:pt>
                <c:pt idx="2303">
                  <c:v>43518</c:v>
                </c:pt>
                <c:pt idx="2304">
                  <c:v>43517</c:v>
                </c:pt>
                <c:pt idx="2305">
                  <c:v>43516</c:v>
                </c:pt>
                <c:pt idx="2306">
                  <c:v>43515</c:v>
                </c:pt>
                <c:pt idx="2307">
                  <c:v>43514</c:v>
                </c:pt>
                <c:pt idx="2308">
                  <c:v>43513</c:v>
                </c:pt>
                <c:pt idx="2309">
                  <c:v>43512</c:v>
                </c:pt>
                <c:pt idx="2310">
                  <c:v>43511</c:v>
                </c:pt>
                <c:pt idx="2311">
                  <c:v>43510</c:v>
                </c:pt>
                <c:pt idx="2312">
                  <c:v>43509</c:v>
                </c:pt>
                <c:pt idx="2313">
                  <c:v>43508</c:v>
                </c:pt>
                <c:pt idx="2314">
                  <c:v>43507</c:v>
                </c:pt>
                <c:pt idx="2315">
                  <c:v>43506</c:v>
                </c:pt>
                <c:pt idx="2316">
                  <c:v>43505</c:v>
                </c:pt>
                <c:pt idx="2317">
                  <c:v>43504</c:v>
                </c:pt>
                <c:pt idx="2318">
                  <c:v>43503</c:v>
                </c:pt>
                <c:pt idx="2319">
                  <c:v>43502</c:v>
                </c:pt>
                <c:pt idx="2320">
                  <c:v>43501</c:v>
                </c:pt>
                <c:pt idx="2321">
                  <c:v>43500</c:v>
                </c:pt>
                <c:pt idx="2322">
                  <c:v>43499</c:v>
                </c:pt>
                <c:pt idx="2323">
                  <c:v>43498</c:v>
                </c:pt>
                <c:pt idx="2324">
                  <c:v>43497</c:v>
                </c:pt>
                <c:pt idx="2325">
                  <c:v>43496</c:v>
                </c:pt>
                <c:pt idx="2326">
                  <c:v>43495</c:v>
                </c:pt>
                <c:pt idx="2327">
                  <c:v>43494</c:v>
                </c:pt>
                <c:pt idx="2328">
                  <c:v>43493</c:v>
                </c:pt>
                <c:pt idx="2329">
                  <c:v>43492</c:v>
                </c:pt>
                <c:pt idx="2330">
                  <c:v>43491</c:v>
                </c:pt>
                <c:pt idx="2331">
                  <c:v>43490</c:v>
                </c:pt>
                <c:pt idx="2332">
                  <c:v>43489</c:v>
                </c:pt>
                <c:pt idx="2333">
                  <c:v>43488</c:v>
                </c:pt>
                <c:pt idx="2334">
                  <c:v>43487</c:v>
                </c:pt>
                <c:pt idx="2335">
                  <c:v>43486</c:v>
                </c:pt>
                <c:pt idx="2336">
                  <c:v>43485</c:v>
                </c:pt>
                <c:pt idx="2337">
                  <c:v>43484</c:v>
                </c:pt>
                <c:pt idx="2338">
                  <c:v>43483</c:v>
                </c:pt>
                <c:pt idx="2339">
                  <c:v>43482</c:v>
                </c:pt>
                <c:pt idx="2340">
                  <c:v>43481</c:v>
                </c:pt>
                <c:pt idx="2341">
                  <c:v>43480</c:v>
                </c:pt>
                <c:pt idx="2342">
                  <c:v>43479</c:v>
                </c:pt>
                <c:pt idx="2343">
                  <c:v>43478</c:v>
                </c:pt>
                <c:pt idx="2344">
                  <c:v>43477</c:v>
                </c:pt>
                <c:pt idx="2345">
                  <c:v>43476</c:v>
                </c:pt>
                <c:pt idx="2346">
                  <c:v>43475</c:v>
                </c:pt>
                <c:pt idx="2347">
                  <c:v>43474</c:v>
                </c:pt>
                <c:pt idx="2348">
                  <c:v>43473</c:v>
                </c:pt>
                <c:pt idx="2349">
                  <c:v>43472</c:v>
                </c:pt>
                <c:pt idx="2350">
                  <c:v>43471</c:v>
                </c:pt>
                <c:pt idx="2351">
                  <c:v>43470</c:v>
                </c:pt>
                <c:pt idx="2352">
                  <c:v>43469</c:v>
                </c:pt>
                <c:pt idx="2353">
                  <c:v>43468</c:v>
                </c:pt>
                <c:pt idx="2354">
                  <c:v>43467</c:v>
                </c:pt>
                <c:pt idx="2355">
                  <c:v>43466</c:v>
                </c:pt>
                <c:pt idx="2356">
                  <c:v>43465</c:v>
                </c:pt>
                <c:pt idx="2357">
                  <c:v>43464</c:v>
                </c:pt>
                <c:pt idx="2358">
                  <c:v>43463</c:v>
                </c:pt>
                <c:pt idx="2359">
                  <c:v>43462</c:v>
                </c:pt>
                <c:pt idx="2360">
                  <c:v>43461</c:v>
                </c:pt>
                <c:pt idx="2361">
                  <c:v>43460</c:v>
                </c:pt>
                <c:pt idx="2362">
                  <c:v>43459</c:v>
                </c:pt>
                <c:pt idx="2363">
                  <c:v>43458</c:v>
                </c:pt>
                <c:pt idx="2364">
                  <c:v>43457</c:v>
                </c:pt>
                <c:pt idx="2365">
                  <c:v>43456</c:v>
                </c:pt>
                <c:pt idx="2366">
                  <c:v>43455</c:v>
                </c:pt>
                <c:pt idx="2367">
                  <c:v>43454</c:v>
                </c:pt>
                <c:pt idx="2368">
                  <c:v>43453</c:v>
                </c:pt>
                <c:pt idx="2369">
                  <c:v>43452</c:v>
                </c:pt>
                <c:pt idx="2370">
                  <c:v>43451</c:v>
                </c:pt>
                <c:pt idx="2371">
                  <c:v>43450</c:v>
                </c:pt>
                <c:pt idx="2372">
                  <c:v>43449</c:v>
                </c:pt>
                <c:pt idx="2373">
                  <c:v>43448</c:v>
                </c:pt>
                <c:pt idx="2374">
                  <c:v>43447</c:v>
                </c:pt>
                <c:pt idx="2375">
                  <c:v>43446</c:v>
                </c:pt>
                <c:pt idx="2376">
                  <c:v>43445</c:v>
                </c:pt>
                <c:pt idx="2377">
                  <c:v>43444</c:v>
                </c:pt>
                <c:pt idx="2378">
                  <c:v>43443</c:v>
                </c:pt>
                <c:pt idx="2379">
                  <c:v>43442</c:v>
                </c:pt>
                <c:pt idx="2380">
                  <c:v>43441</c:v>
                </c:pt>
                <c:pt idx="2381">
                  <c:v>43440</c:v>
                </c:pt>
                <c:pt idx="2382">
                  <c:v>43439</c:v>
                </c:pt>
                <c:pt idx="2383">
                  <c:v>43438</c:v>
                </c:pt>
                <c:pt idx="2384">
                  <c:v>43437</c:v>
                </c:pt>
                <c:pt idx="2385">
                  <c:v>43436</c:v>
                </c:pt>
                <c:pt idx="2386">
                  <c:v>43435</c:v>
                </c:pt>
                <c:pt idx="2387">
                  <c:v>43434</c:v>
                </c:pt>
                <c:pt idx="2388">
                  <c:v>43433</c:v>
                </c:pt>
                <c:pt idx="2389">
                  <c:v>43432</c:v>
                </c:pt>
                <c:pt idx="2390">
                  <c:v>43431</c:v>
                </c:pt>
                <c:pt idx="2391">
                  <c:v>43430</c:v>
                </c:pt>
                <c:pt idx="2392">
                  <c:v>43429</c:v>
                </c:pt>
                <c:pt idx="2393">
                  <c:v>43428</c:v>
                </c:pt>
                <c:pt idx="2394">
                  <c:v>43427</c:v>
                </c:pt>
                <c:pt idx="2395">
                  <c:v>43426</c:v>
                </c:pt>
                <c:pt idx="2396">
                  <c:v>43425</c:v>
                </c:pt>
                <c:pt idx="2397">
                  <c:v>43424</c:v>
                </c:pt>
                <c:pt idx="2398">
                  <c:v>43423</c:v>
                </c:pt>
                <c:pt idx="2399">
                  <c:v>43422</c:v>
                </c:pt>
                <c:pt idx="2400">
                  <c:v>43421</c:v>
                </c:pt>
                <c:pt idx="2401">
                  <c:v>43420</c:v>
                </c:pt>
                <c:pt idx="2402">
                  <c:v>43419</c:v>
                </c:pt>
                <c:pt idx="2403">
                  <c:v>43418</c:v>
                </c:pt>
                <c:pt idx="2404">
                  <c:v>43417</c:v>
                </c:pt>
                <c:pt idx="2405">
                  <c:v>43416</c:v>
                </c:pt>
                <c:pt idx="2406">
                  <c:v>43415</c:v>
                </c:pt>
                <c:pt idx="2407">
                  <c:v>43414</c:v>
                </c:pt>
                <c:pt idx="2408">
                  <c:v>43413</c:v>
                </c:pt>
                <c:pt idx="2409">
                  <c:v>43412</c:v>
                </c:pt>
                <c:pt idx="2410">
                  <c:v>43411</c:v>
                </c:pt>
                <c:pt idx="2411">
                  <c:v>43410</c:v>
                </c:pt>
                <c:pt idx="2412">
                  <c:v>43409</c:v>
                </c:pt>
                <c:pt idx="2413">
                  <c:v>43408</c:v>
                </c:pt>
                <c:pt idx="2414">
                  <c:v>43407</c:v>
                </c:pt>
                <c:pt idx="2415">
                  <c:v>43406</c:v>
                </c:pt>
                <c:pt idx="2416">
                  <c:v>43405</c:v>
                </c:pt>
                <c:pt idx="2417">
                  <c:v>43404</c:v>
                </c:pt>
                <c:pt idx="2418">
                  <c:v>43403</c:v>
                </c:pt>
                <c:pt idx="2419">
                  <c:v>43402</c:v>
                </c:pt>
                <c:pt idx="2420">
                  <c:v>43401</c:v>
                </c:pt>
                <c:pt idx="2421">
                  <c:v>43400</c:v>
                </c:pt>
                <c:pt idx="2422">
                  <c:v>43399</c:v>
                </c:pt>
                <c:pt idx="2423">
                  <c:v>43398</c:v>
                </c:pt>
                <c:pt idx="2424">
                  <c:v>43397</c:v>
                </c:pt>
                <c:pt idx="2425">
                  <c:v>43396</c:v>
                </c:pt>
                <c:pt idx="2426">
                  <c:v>43395</c:v>
                </c:pt>
                <c:pt idx="2427">
                  <c:v>43394</c:v>
                </c:pt>
                <c:pt idx="2428">
                  <c:v>43393</c:v>
                </c:pt>
                <c:pt idx="2429">
                  <c:v>43392</c:v>
                </c:pt>
                <c:pt idx="2430">
                  <c:v>43391</c:v>
                </c:pt>
                <c:pt idx="2431">
                  <c:v>43390</c:v>
                </c:pt>
                <c:pt idx="2432">
                  <c:v>43389</c:v>
                </c:pt>
                <c:pt idx="2433">
                  <c:v>43388</c:v>
                </c:pt>
                <c:pt idx="2434">
                  <c:v>43387</c:v>
                </c:pt>
                <c:pt idx="2435">
                  <c:v>43386</c:v>
                </c:pt>
                <c:pt idx="2436">
                  <c:v>43385</c:v>
                </c:pt>
                <c:pt idx="2437">
                  <c:v>43384</c:v>
                </c:pt>
                <c:pt idx="2438">
                  <c:v>43383</c:v>
                </c:pt>
                <c:pt idx="2439">
                  <c:v>43382</c:v>
                </c:pt>
                <c:pt idx="2440">
                  <c:v>43381</c:v>
                </c:pt>
                <c:pt idx="2441">
                  <c:v>43380</c:v>
                </c:pt>
                <c:pt idx="2442">
                  <c:v>43379</c:v>
                </c:pt>
                <c:pt idx="2443">
                  <c:v>43378</c:v>
                </c:pt>
                <c:pt idx="2444">
                  <c:v>43377</c:v>
                </c:pt>
                <c:pt idx="2445">
                  <c:v>43376</c:v>
                </c:pt>
                <c:pt idx="2446">
                  <c:v>43375</c:v>
                </c:pt>
                <c:pt idx="2447">
                  <c:v>43374</c:v>
                </c:pt>
                <c:pt idx="2448">
                  <c:v>43373</c:v>
                </c:pt>
                <c:pt idx="2449">
                  <c:v>43372</c:v>
                </c:pt>
                <c:pt idx="2450">
                  <c:v>43371</c:v>
                </c:pt>
                <c:pt idx="2451">
                  <c:v>43370</c:v>
                </c:pt>
                <c:pt idx="2452">
                  <c:v>43369</c:v>
                </c:pt>
                <c:pt idx="2453">
                  <c:v>43368</c:v>
                </c:pt>
                <c:pt idx="2454">
                  <c:v>43367</c:v>
                </c:pt>
                <c:pt idx="2455">
                  <c:v>43366</c:v>
                </c:pt>
                <c:pt idx="2456">
                  <c:v>43365</c:v>
                </c:pt>
                <c:pt idx="2457">
                  <c:v>43364</c:v>
                </c:pt>
                <c:pt idx="2458">
                  <c:v>43363</c:v>
                </c:pt>
                <c:pt idx="2459">
                  <c:v>43362</c:v>
                </c:pt>
                <c:pt idx="2460">
                  <c:v>43361</c:v>
                </c:pt>
                <c:pt idx="2461">
                  <c:v>43360</c:v>
                </c:pt>
                <c:pt idx="2462">
                  <c:v>43359</c:v>
                </c:pt>
                <c:pt idx="2463">
                  <c:v>43358</c:v>
                </c:pt>
                <c:pt idx="2464">
                  <c:v>43357</c:v>
                </c:pt>
                <c:pt idx="2465">
                  <c:v>43356</c:v>
                </c:pt>
                <c:pt idx="2466">
                  <c:v>43355</c:v>
                </c:pt>
                <c:pt idx="2467">
                  <c:v>43354</c:v>
                </c:pt>
                <c:pt idx="2468">
                  <c:v>43353</c:v>
                </c:pt>
                <c:pt idx="2469">
                  <c:v>43352</c:v>
                </c:pt>
                <c:pt idx="2470">
                  <c:v>43351</c:v>
                </c:pt>
                <c:pt idx="2471">
                  <c:v>43350</c:v>
                </c:pt>
                <c:pt idx="2472">
                  <c:v>43349</c:v>
                </c:pt>
                <c:pt idx="2473">
                  <c:v>43348</c:v>
                </c:pt>
                <c:pt idx="2474">
                  <c:v>43347</c:v>
                </c:pt>
                <c:pt idx="2475">
                  <c:v>43346</c:v>
                </c:pt>
                <c:pt idx="2476">
                  <c:v>43345</c:v>
                </c:pt>
                <c:pt idx="2477">
                  <c:v>43344</c:v>
                </c:pt>
                <c:pt idx="2478">
                  <c:v>43343</c:v>
                </c:pt>
                <c:pt idx="2479">
                  <c:v>43342</c:v>
                </c:pt>
                <c:pt idx="2480">
                  <c:v>43341</c:v>
                </c:pt>
                <c:pt idx="2481">
                  <c:v>43340</c:v>
                </c:pt>
                <c:pt idx="2482">
                  <c:v>43339</c:v>
                </c:pt>
                <c:pt idx="2483">
                  <c:v>43338</c:v>
                </c:pt>
                <c:pt idx="2484">
                  <c:v>43337</c:v>
                </c:pt>
                <c:pt idx="2485">
                  <c:v>43336</c:v>
                </c:pt>
                <c:pt idx="2486">
                  <c:v>43335</c:v>
                </c:pt>
                <c:pt idx="2487">
                  <c:v>43334</c:v>
                </c:pt>
                <c:pt idx="2488">
                  <c:v>43333</c:v>
                </c:pt>
                <c:pt idx="2489">
                  <c:v>43332</c:v>
                </c:pt>
                <c:pt idx="2490">
                  <c:v>43331</c:v>
                </c:pt>
                <c:pt idx="2491">
                  <c:v>43330</c:v>
                </c:pt>
                <c:pt idx="2492">
                  <c:v>43329</c:v>
                </c:pt>
                <c:pt idx="2493">
                  <c:v>43328</c:v>
                </c:pt>
                <c:pt idx="2494">
                  <c:v>43327</c:v>
                </c:pt>
                <c:pt idx="2495">
                  <c:v>43326</c:v>
                </c:pt>
                <c:pt idx="2496">
                  <c:v>43325</c:v>
                </c:pt>
                <c:pt idx="2497">
                  <c:v>43324</c:v>
                </c:pt>
                <c:pt idx="2498">
                  <c:v>43323</c:v>
                </c:pt>
                <c:pt idx="2499">
                  <c:v>43322</c:v>
                </c:pt>
                <c:pt idx="2500">
                  <c:v>43321</c:v>
                </c:pt>
                <c:pt idx="2501">
                  <c:v>43320</c:v>
                </c:pt>
                <c:pt idx="2502">
                  <c:v>43319</c:v>
                </c:pt>
                <c:pt idx="2503">
                  <c:v>43318</c:v>
                </c:pt>
                <c:pt idx="2504">
                  <c:v>43317</c:v>
                </c:pt>
                <c:pt idx="2505">
                  <c:v>43316</c:v>
                </c:pt>
                <c:pt idx="2506">
                  <c:v>43315</c:v>
                </c:pt>
                <c:pt idx="2507">
                  <c:v>43314</c:v>
                </c:pt>
                <c:pt idx="2508">
                  <c:v>43313</c:v>
                </c:pt>
                <c:pt idx="2509">
                  <c:v>43312</c:v>
                </c:pt>
                <c:pt idx="2510">
                  <c:v>43311</c:v>
                </c:pt>
                <c:pt idx="2511">
                  <c:v>43310</c:v>
                </c:pt>
                <c:pt idx="2512">
                  <c:v>43309</c:v>
                </c:pt>
                <c:pt idx="2513">
                  <c:v>43308</c:v>
                </c:pt>
                <c:pt idx="2514">
                  <c:v>43307</c:v>
                </c:pt>
                <c:pt idx="2515">
                  <c:v>43306</c:v>
                </c:pt>
                <c:pt idx="2516">
                  <c:v>43305</c:v>
                </c:pt>
                <c:pt idx="2517">
                  <c:v>43304</c:v>
                </c:pt>
                <c:pt idx="2518">
                  <c:v>43303</c:v>
                </c:pt>
                <c:pt idx="2519">
                  <c:v>43302</c:v>
                </c:pt>
                <c:pt idx="2520">
                  <c:v>43301</c:v>
                </c:pt>
                <c:pt idx="2521">
                  <c:v>43300</c:v>
                </c:pt>
                <c:pt idx="2522">
                  <c:v>43299</c:v>
                </c:pt>
                <c:pt idx="2523">
                  <c:v>43298</c:v>
                </c:pt>
                <c:pt idx="2524">
                  <c:v>43297</c:v>
                </c:pt>
                <c:pt idx="2525">
                  <c:v>43296</c:v>
                </c:pt>
                <c:pt idx="2526">
                  <c:v>43295</c:v>
                </c:pt>
                <c:pt idx="2527">
                  <c:v>43294</c:v>
                </c:pt>
                <c:pt idx="2528">
                  <c:v>43293</c:v>
                </c:pt>
                <c:pt idx="2529">
                  <c:v>43292</c:v>
                </c:pt>
                <c:pt idx="2530">
                  <c:v>43291</c:v>
                </c:pt>
                <c:pt idx="2531">
                  <c:v>43290</c:v>
                </c:pt>
                <c:pt idx="2532">
                  <c:v>43289</c:v>
                </c:pt>
                <c:pt idx="2533">
                  <c:v>43288</c:v>
                </c:pt>
                <c:pt idx="2534">
                  <c:v>43287</c:v>
                </c:pt>
                <c:pt idx="2535">
                  <c:v>43286</c:v>
                </c:pt>
                <c:pt idx="2536">
                  <c:v>43285</c:v>
                </c:pt>
                <c:pt idx="2537">
                  <c:v>43284</c:v>
                </c:pt>
                <c:pt idx="2538">
                  <c:v>43283</c:v>
                </c:pt>
                <c:pt idx="2539">
                  <c:v>43282</c:v>
                </c:pt>
                <c:pt idx="2540">
                  <c:v>43281</c:v>
                </c:pt>
                <c:pt idx="2541">
                  <c:v>43280</c:v>
                </c:pt>
                <c:pt idx="2542">
                  <c:v>43279</c:v>
                </c:pt>
                <c:pt idx="2543">
                  <c:v>43278</c:v>
                </c:pt>
                <c:pt idx="2544">
                  <c:v>43277</c:v>
                </c:pt>
                <c:pt idx="2545">
                  <c:v>43276</c:v>
                </c:pt>
                <c:pt idx="2546">
                  <c:v>43275</c:v>
                </c:pt>
                <c:pt idx="2547">
                  <c:v>43274</c:v>
                </c:pt>
                <c:pt idx="2548">
                  <c:v>43273</c:v>
                </c:pt>
                <c:pt idx="2549">
                  <c:v>43272</c:v>
                </c:pt>
                <c:pt idx="2550">
                  <c:v>43271</c:v>
                </c:pt>
                <c:pt idx="2551">
                  <c:v>43270</c:v>
                </c:pt>
                <c:pt idx="2552">
                  <c:v>43269</c:v>
                </c:pt>
                <c:pt idx="2553">
                  <c:v>43268</c:v>
                </c:pt>
                <c:pt idx="2554">
                  <c:v>43267</c:v>
                </c:pt>
                <c:pt idx="2555">
                  <c:v>43266</c:v>
                </c:pt>
                <c:pt idx="2556">
                  <c:v>43265</c:v>
                </c:pt>
                <c:pt idx="2557">
                  <c:v>43264</c:v>
                </c:pt>
                <c:pt idx="2558">
                  <c:v>43263</c:v>
                </c:pt>
                <c:pt idx="2559">
                  <c:v>43262</c:v>
                </c:pt>
                <c:pt idx="2560">
                  <c:v>43261</c:v>
                </c:pt>
                <c:pt idx="2561">
                  <c:v>43260</c:v>
                </c:pt>
                <c:pt idx="2562">
                  <c:v>43259</c:v>
                </c:pt>
                <c:pt idx="2563">
                  <c:v>43258</c:v>
                </c:pt>
                <c:pt idx="2564">
                  <c:v>43257</c:v>
                </c:pt>
                <c:pt idx="2565">
                  <c:v>43256</c:v>
                </c:pt>
                <c:pt idx="2566">
                  <c:v>43255</c:v>
                </c:pt>
                <c:pt idx="2567">
                  <c:v>43254</c:v>
                </c:pt>
                <c:pt idx="2568">
                  <c:v>43253</c:v>
                </c:pt>
                <c:pt idx="2569">
                  <c:v>43252</c:v>
                </c:pt>
                <c:pt idx="2570">
                  <c:v>43251</c:v>
                </c:pt>
                <c:pt idx="2571">
                  <c:v>43250</c:v>
                </c:pt>
                <c:pt idx="2572">
                  <c:v>43249</c:v>
                </c:pt>
                <c:pt idx="2573">
                  <c:v>43248</c:v>
                </c:pt>
                <c:pt idx="2574">
                  <c:v>43247</c:v>
                </c:pt>
                <c:pt idx="2575">
                  <c:v>43246</c:v>
                </c:pt>
                <c:pt idx="2576">
                  <c:v>43245</c:v>
                </c:pt>
                <c:pt idx="2577">
                  <c:v>43244</c:v>
                </c:pt>
                <c:pt idx="2578">
                  <c:v>43243</c:v>
                </c:pt>
                <c:pt idx="2579">
                  <c:v>43242</c:v>
                </c:pt>
                <c:pt idx="2580">
                  <c:v>43241</c:v>
                </c:pt>
                <c:pt idx="2581">
                  <c:v>43240</c:v>
                </c:pt>
                <c:pt idx="2582">
                  <c:v>43239</c:v>
                </c:pt>
                <c:pt idx="2583">
                  <c:v>43238</c:v>
                </c:pt>
                <c:pt idx="2584">
                  <c:v>43237</c:v>
                </c:pt>
                <c:pt idx="2585">
                  <c:v>43236</c:v>
                </c:pt>
                <c:pt idx="2586">
                  <c:v>43235</c:v>
                </c:pt>
                <c:pt idx="2587">
                  <c:v>43234</c:v>
                </c:pt>
                <c:pt idx="2588">
                  <c:v>43233</c:v>
                </c:pt>
                <c:pt idx="2589">
                  <c:v>43232</c:v>
                </c:pt>
                <c:pt idx="2590">
                  <c:v>43231</c:v>
                </c:pt>
                <c:pt idx="2591">
                  <c:v>43230</c:v>
                </c:pt>
                <c:pt idx="2592">
                  <c:v>43229</c:v>
                </c:pt>
                <c:pt idx="2593">
                  <c:v>43228</c:v>
                </c:pt>
                <c:pt idx="2594">
                  <c:v>43227</c:v>
                </c:pt>
                <c:pt idx="2595">
                  <c:v>43226</c:v>
                </c:pt>
                <c:pt idx="2596">
                  <c:v>43225</c:v>
                </c:pt>
                <c:pt idx="2597">
                  <c:v>43224</c:v>
                </c:pt>
                <c:pt idx="2598">
                  <c:v>43223</c:v>
                </c:pt>
                <c:pt idx="2599">
                  <c:v>43222</c:v>
                </c:pt>
                <c:pt idx="2600">
                  <c:v>43221</c:v>
                </c:pt>
                <c:pt idx="2601">
                  <c:v>43220</c:v>
                </c:pt>
                <c:pt idx="2602">
                  <c:v>43219</c:v>
                </c:pt>
                <c:pt idx="2603">
                  <c:v>43218</c:v>
                </c:pt>
                <c:pt idx="2604">
                  <c:v>43217</c:v>
                </c:pt>
                <c:pt idx="2605">
                  <c:v>43216</c:v>
                </c:pt>
                <c:pt idx="2606">
                  <c:v>43215</c:v>
                </c:pt>
                <c:pt idx="2607">
                  <c:v>43214</c:v>
                </c:pt>
                <c:pt idx="2608">
                  <c:v>43213</c:v>
                </c:pt>
                <c:pt idx="2609">
                  <c:v>43212</c:v>
                </c:pt>
                <c:pt idx="2610">
                  <c:v>43211</c:v>
                </c:pt>
                <c:pt idx="2611">
                  <c:v>43210</c:v>
                </c:pt>
                <c:pt idx="2612">
                  <c:v>43209</c:v>
                </c:pt>
                <c:pt idx="2613">
                  <c:v>43208</c:v>
                </c:pt>
                <c:pt idx="2614">
                  <c:v>43207</c:v>
                </c:pt>
                <c:pt idx="2615">
                  <c:v>43206</c:v>
                </c:pt>
                <c:pt idx="2616">
                  <c:v>43205</c:v>
                </c:pt>
                <c:pt idx="2617">
                  <c:v>43204</c:v>
                </c:pt>
                <c:pt idx="2618">
                  <c:v>43203</c:v>
                </c:pt>
                <c:pt idx="2619">
                  <c:v>43202</c:v>
                </c:pt>
                <c:pt idx="2620">
                  <c:v>43201</c:v>
                </c:pt>
                <c:pt idx="2621">
                  <c:v>43200</c:v>
                </c:pt>
                <c:pt idx="2622">
                  <c:v>43199</c:v>
                </c:pt>
                <c:pt idx="2623">
                  <c:v>43198</c:v>
                </c:pt>
                <c:pt idx="2624">
                  <c:v>43197</c:v>
                </c:pt>
                <c:pt idx="2625">
                  <c:v>43196</c:v>
                </c:pt>
                <c:pt idx="2626">
                  <c:v>43195</c:v>
                </c:pt>
                <c:pt idx="2627">
                  <c:v>43194</c:v>
                </c:pt>
                <c:pt idx="2628">
                  <c:v>43193</c:v>
                </c:pt>
                <c:pt idx="2629">
                  <c:v>43192</c:v>
                </c:pt>
                <c:pt idx="2630">
                  <c:v>43191</c:v>
                </c:pt>
                <c:pt idx="2631">
                  <c:v>43190</c:v>
                </c:pt>
                <c:pt idx="2632">
                  <c:v>43189</c:v>
                </c:pt>
                <c:pt idx="2633">
                  <c:v>43188</c:v>
                </c:pt>
                <c:pt idx="2634">
                  <c:v>43187</c:v>
                </c:pt>
                <c:pt idx="2635">
                  <c:v>43186</c:v>
                </c:pt>
                <c:pt idx="2636">
                  <c:v>43185</c:v>
                </c:pt>
                <c:pt idx="2637">
                  <c:v>43184</c:v>
                </c:pt>
                <c:pt idx="2638">
                  <c:v>43183</c:v>
                </c:pt>
                <c:pt idx="2639">
                  <c:v>43182</c:v>
                </c:pt>
                <c:pt idx="2640">
                  <c:v>43181</c:v>
                </c:pt>
                <c:pt idx="2641">
                  <c:v>43180</c:v>
                </c:pt>
                <c:pt idx="2642">
                  <c:v>43179</c:v>
                </c:pt>
                <c:pt idx="2643">
                  <c:v>43178</c:v>
                </c:pt>
                <c:pt idx="2644">
                  <c:v>43177</c:v>
                </c:pt>
                <c:pt idx="2645">
                  <c:v>43176</c:v>
                </c:pt>
                <c:pt idx="2646">
                  <c:v>43175</c:v>
                </c:pt>
                <c:pt idx="2647">
                  <c:v>43174</c:v>
                </c:pt>
                <c:pt idx="2648">
                  <c:v>43173</c:v>
                </c:pt>
                <c:pt idx="2649">
                  <c:v>43172</c:v>
                </c:pt>
                <c:pt idx="2650">
                  <c:v>43171</c:v>
                </c:pt>
                <c:pt idx="2651">
                  <c:v>43170</c:v>
                </c:pt>
                <c:pt idx="2652">
                  <c:v>43169</c:v>
                </c:pt>
                <c:pt idx="2653">
                  <c:v>43168</c:v>
                </c:pt>
                <c:pt idx="2654">
                  <c:v>43167</c:v>
                </c:pt>
                <c:pt idx="2655">
                  <c:v>43166</c:v>
                </c:pt>
                <c:pt idx="2656">
                  <c:v>43165</c:v>
                </c:pt>
                <c:pt idx="2657">
                  <c:v>43164</c:v>
                </c:pt>
                <c:pt idx="2658">
                  <c:v>43163</c:v>
                </c:pt>
                <c:pt idx="2659">
                  <c:v>43162</c:v>
                </c:pt>
                <c:pt idx="2660">
                  <c:v>43161</c:v>
                </c:pt>
                <c:pt idx="2661">
                  <c:v>43160</c:v>
                </c:pt>
                <c:pt idx="2662">
                  <c:v>43159</c:v>
                </c:pt>
                <c:pt idx="2663">
                  <c:v>43158</c:v>
                </c:pt>
                <c:pt idx="2664">
                  <c:v>43157</c:v>
                </c:pt>
                <c:pt idx="2665">
                  <c:v>43156</c:v>
                </c:pt>
                <c:pt idx="2666">
                  <c:v>43155</c:v>
                </c:pt>
                <c:pt idx="2667">
                  <c:v>43154</c:v>
                </c:pt>
                <c:pt idx="2668">
                  <c:v>43153</c:v>
                </c:pt>
                <c:pt idx="2669">
                  <c:v>43152</c:v>
                </c:pt>
                <c:pt idx="2670">
                  <c:v>43151</c:v>
                </c:pt>
                <c:pt idx="2671">
                  <c:v>43150</c:v>
                </c:pt>
                <c:pt idx="2672">
                  <c:v>43149</c:v>
                </c:pt>
                <c:pt idx="2673">
                  <c:v>43148</c:v>
                </c:pt>
                <c:pt idx="2674">
                  <c:v>43147</c:v>
                </c:pt>
                <c:pt idx="2675">
                  <c:v>43146</c:v>
                </c:pt>
                <c:pt idx="2676">
                  <c:v>43145</c:v>
                </c:pt>
                <c:pt idx="2677">
                  <c:v>43144</c:v>
                </c:pt>
                <c:pt idx="2678">
                  <c:v>43143</c:v>
                </c:pt>
                <c:pt idx="2679">
                  <c:v>43142</c:v>
                </c:pt>
                <c:pt idx="2680">
                  <c:v>43141</c:v>
                </c:pt>
                <c:pt idx="2681">
                  <c:v>43140</c:v>
                </c:pt>
                <c:pt idx="2682">
                  <c:v>43139</c:v>
                </c:pt>
                <c:pt idx="2683">
                  <c:v>43138</c:v>
                </c:pt>
                <c:pt idx="2684">
                  <c:v>43137</c:v>
                </c:pt>
                <c:pt idx="2685">
                  <c:v>43136</c:v>
                </c:pt>
                <c:pt idx="2686">
                  <c:v>43135</c:v>
                </c:pt>
                <c:pt idx="2687">
                  <c:v>43134</c:v>
                </c:pt>
                <c:pt idx="2688">
                  <c:v>43133</c:v>
                </c:pt>
                <c:pt idx="2689">
                  <c:v>43132</c:v>
                </c:pt>
                <c:pt idx="2690">
                  <c:v>43131</c:v>
                </c:pt>
                <c:pt idx="2691">
                  <c:v>43130</c:v>
                </c:pt>
                <c:pt idx="2692">
                  <c:v>43129</c:v>
                </c:pt>
                <c:pt idx="2693">
                  <c:v>43128</c:v>
                </c:pt>
                <c:pt idx="2694">
                  <c:v>43127</c:v>
                </c:pt>
                <c:pt idx="2695">
                  <c:v>43126</c:v>
                </c:pt>
                <c:pt idx="2696">
                  <c:v>43125</c:v>
                </c:pt>
                <c:pt idx="2697">
                  <c:v>43124</c:v>
                </c:pt>
                <c:pt idx="2698">
                  <c:v>43123</c:v>
                </c:pt>
                <c:pt idx="2699">
                  <c:v>43122</c:v>
                </c:pt>
                <c:pt idx="2700">
                  <c:v>43121</c:v>
                </c:pt>
                <c:pt idx="2701">
                  <c:v>43120</c:v>
                </c:pt>
                <c:pt idx="2702">
                  <c:v>43119</c:v>
                </c:pt>
                <c:pt idx="2703">
                  <c:v>43118</c:v>
                </c:pt>
                <c:pt idx="2704">
                  <c:v>43117</c:v>
                </c:pt>
                <c:pt idx="2705">
                  <c:v>43116</c:v>
                </c:pt>
                <c:pt idx="2706">
                  <c:v>43115</c:v>
                </c:pt>
                <c:pt idx="2707">
                  <c:v>43114</c:v>
                </c:pt>
                <c:pt idx="2708">
                  <c:v>43113</c:v>
                </c:pt>
                <c:pt idx="2709">
                  <c:v>43112</c:v>
                </c:pt>
                <c:pt idx="2710">
                  <c:v>43111</c:v>
                </c:pt>
                <c:pt idx="2711">
                  <c:v>43110</c:v>
                </c:pt>
                <c:pt idx="2712">
                  <c:v>43109</c:v>
                </c:pt>
                <c:pt idx="2713">
                  <c:v>43108</c:v>
                </c:pt>
                <c:pt idx="2714">
                  <c:v>43107</c:v>
                </c:pt>
                <c:pt idx="2715">
                  <c:v>43106</c:v>
                </c:pt>
                <c:pt idx="2716">
                  <c:v>43105</c:v>
                </c:pt>
                <c:pt idx="2717">
                  <c:v>43104</c:v>
                </c:pt>
                <c:pt idx="2718">
                  <c:v>43103</c:v>
                </c:pt>
                <c:pt idx="2719">
                  <c:v>43102</c:v>
                </c:pt>
                <c:pt idx="2720">
                  <c:v>43101</c:v>
                </c:pt>
                <c:pt idx="2721">
                  <c:v>43100</c:v>
                </c:pt>
                <c:pt idx="2722">
                  <c:v>43099</c:v>
                </c:pt>
                <c:pt idx="2723">
                  <c:v>43098</c:v>
                </c:pt>
                <c:pt idx="2724">
                  <c:v>43097</c:v>
                </c:pt>
                <c:pt idx="2725">
                  <c:v>43096</c:v>
                </c:pt>
                <c:pt idx="2726">
                  <c:v>43095</c:v>
                </c:pt>
                <c:pt idx="2727">
                  <c:v>43094</c:v>
                </c:pt>
                <c:pt idx="2728">
                  <c:v>43093</c:v>
                </c:pt>
                <c:pt idx="2729">
                  <c:v>43092</c:v>
                </c:pt>
                <c:pt idx="2730">
                  <c:v>43091</c:v>
                </c:pt>
                <c:pt idx="2731">
                  <c:v>43090</c:v>
                </c:pt>
                <c:pt idx="2732">
                  <c:v>43089</c:v>
                </c:pt>
                <c:pt idx="2733">
                  <c:v>43088</c:v>
                </c:pt>
                <c:pt idx="2734">
                  <c:v>43087</c:v>
                </c:pt>
                <c:pt idx="2735">
                  <c:v>43086</c:v>
                </c:pt>
                <c:pt idx="2736">
                  <c:v>43085</c:v>
                </c:pt>
                <c:pt idx="2737">
                  <c:v>43084</c:v>
                </c:pt>
                <c:pt idx="2738">
                  <c:v>43083</c:v>
                </c:pt>
                <c:pt idx="2739">
                  <c:v>43082</c:v>
                </c:pt>
                <c:pt idx="2740">
                  <c:v>43081</c:v>
                </c:pt>
                <c:pt idx="2741">
                  <c:v>43080</c:v>
                </c:pt>
                <c:pt idx="2742">
                  <c:v>43079</c:v>
                </c:pt>
                <c:pt idx="2743">
                  <c:v>43078</c:v>
                </c:pt>
                <c:pt idx="2744">
                  <c:v>43077</c:v>
                </c:pt>
                <c:pt idx="2745">
                  <c:v>43076</c:v>
                </c:pt>
                <c:pt idx="2746">
                  <c:v>43075</c:v>
                </c:pt>
                <c:pt idx="2747">
                  <c:v>43074</c:v>
                </c:pt>
                <c:pt idx="2748">
                  <c:v>43073</c:v>
                </c:pt>
                <c:pt idx="2749">
                  <c:v>43072</c:v>
                </c:pt>
                <c:pt idx="2750">
                  <c:v>43071</c:v>
                </c:pt>
                <c:pt idx="2751">
                  <c:v>43070</c:v>
                </c:pt>
                <c:pt idx="2752">
                  <c:v>43069</c:v>
                </c:pt>
                <c:pt idx="2753">
                  <c:v>43068</c:v>
                </c:pt>
                <c:pt idx="2754">
                  <c:v>43067</c:v>
                </c:pt>
                <c:pt idx="2755">
                  <c:v>43066</c:v>
                </c:pt>
                <c:pt idx="2756">
                  <c:v>43065</c:v>
                </c:pt>
                <c:pt idx="2757">
                  <c:v>43064</c:v>
                </c:pt>
                <c:pt idx="2758">
                  <c:v>43063</c:v>
                </c:pt>
                <c:pt idx="2759">
                  <c:v>43062</c:v>
                </c:pt>
                <c:pt idx="2760">
                  <c:v>43061</c:v>
                </c:pt>
                <c:pt idx="2761">
                  <c:v>43060</c:v>
                </c:pt>
                <c:pt idx="2762">
                  <c:v>43059</c:v>
                </c:pt>
                <c:pt idx="2763">
                  <c:v>43058</c:v>
                </c:pt>
                <c:pt idx="2764">
                  <c:v>43057</c:v>
                </c:pt>
                <c:pt idx="2765">
                  <c:v>43056</c:v>
                </c:pt>
                <c:pt idx="2766">
                  <c:v>43055</c:v>
                </c:pt>
                <c:pt idx="2767">
                  <c:v>43054</c:v>
                </c:pt>
                <c:pt idx="2768">
                  <c:v>43053</c:v>
                </c:pt>
                <c:pt idx="2769">
                  <c:v>43052</c:v>
                </c:pt>
                <c:pt idx="2770">
                  <c:v>43051</c:v>
                </c:pt>
                <c:pt idx="2771">
                  <c:v>43050</c:v>
                </c:pt>
                <c:pt idx="2772">
                  <c:v>43049</c:v>
                </c:pt>
                <c:pt idx="2773">
                  <c:v>43048</c:v>
                </c:pt>
                <c:pt idx="2774">
                  <c:v>43047</c:v>
                </c:pt>
                <c:pt idx="2775">
                  <c:v>43046</c:v>
                </c:pt>
                <c:pt idx="2776">
                  <c:v>43045</c:v>
                </c:pt>
                <c:pt idx="2777">
                  <c:v>43044</c:v>
                </c:pt>
                <c:pt idx="2778">
                  <c:v>43043</c:v>
                </c:pt>
                <c:pt idx="2779">
                  <c:v>43042</c:v>
                </c:pt>
                <c:pt idx="2780">
                  <c:v>43041</c:v>
                </c:pt>
                <c:pt idx="2781">
                  <c:v>43040</c:v>
                </c:pt>
                <c:pt idx="2782">
                  <c:v>43039</c:v>
                </c:pt>
                <c:pt idx="2783">
                  <c:v>43038</c:v>
                </c:pt>
                <c:pt idx="2784">
                  <c:v>43037</c:v>
                </c:pt>
                <c:pt idx="2785">
                  <c:v>43036</c:v>
                </c:pt>
                <c:pt idx="2786">
                  <c:v>43035</c:v>
                </c:pt>
                <c:pt idx="2787">
                  <c:v>43034</c:v>
                </c:pt>
                <c:pt idx="2788">
                  <c:v>43033</c:v>
                </c:pt>
                <c:pt idx="2789">
                  <c:v>43032</c:v>
                </c:pt>
                <c:pt idx="2790">
                  <c:v>43031</c:v>
                </c:pt>
                <c:pt idx="2791">
                  <c:v>43030</c:v>
                </c:pt>
                <c:pt idx="2792">
                  <c:v>43029</c:v>
                </c:pt>
                <c:pt idx="2793">
                  <c:v>43028</c:v>
                </c:pt>
                <c:pt idx="2794">
                  <c:v>43027</c:v>
                </c:pt>
                <c:pt idx="2795">
                  <c:v>43026</c:v>
                </c:pt>
                <c:pt idx="2796">
                  <c:v>43025</c:v>
                </c:pt>
                <c:pt idx="2797">
                  <c:v>43024</c:v>
                </c:pt>
                <c:pt idx="2798">
                  <c:v>43023</c:v>
                </c:pt>
                <c:pt idx="2799">
                  <c:v>43022</c:v>
                </c:pt>
                <c:pt idx="2800">
                  <c:v>43021</c:v>
                </c:pt>
                <c:pt idx="2801">
                  <c:v>43020</c:v>
                </c:pt>
                <c:pt idx="2802">
                  <c:v>43019</c:v>
                </c:pt>
                <c:pt idx="2803">
                  <c:v>43018</c:v>
                </c:pt>
                <c:pt idx="2804">
                  <c:v>43017</c:v>
                </c:pt>
                <c:pt idx="2805">
                  <c:v>43016</c:v>
                </c:pt>
                <c:pt idx="2806">
                  <c:v>43015</c:v>
                </c:pt>
                <c:pt idx="2807">
                  <c:v>43014</c:v>
                </c:pt>
                <c:pt idx="2808">
                  <c:v>43013</c:v>
                </c:pt>
                <c:pt idx="2809">
                  <c:v>43012</c:v>
                </c:pt>
                <c:pt idx="2810">
                  <c:v>43011</c:v>
                </c:pt>
                <c:pt idx="2811">
                  <c:v>43010</c:v>
                </c:pt>
                <c:pt idx="2812">
                  <c:v>43009</c:v>
                </c:pt>
                <c:pt idx="2813">
                  <c:v>43008</c:v>
                </c:pt>
                <c:pt idx="2814">
                  <c:v>43007</c:v>
                </c:pt>
                <c:pt idx="2815">
                  <c:v>43006</c:v>
                </c:pt>
                <c:pt idx="2816">
                  <c:v>43005</c:v>
                </c:pt>
                <c:pt idx="2817">
                  <c:v>43004</c:v>
                </c:pt>
                <c:pt idx="2818">
                  <c:v>43003</c:v>
                </c:pt>
                <c:pt idx="2819">
                  <c:v>43002</c:v>
                </c:pt>
                <c:pt idx="2820">
                  <c:v>43001</c:v>
                </c:pt>
                <c:pt idx="2821">
                  <c:v>43000</c:v>
                </c:pt>
                <c:pt idx="2822">
                  <c:v>42999</c:v>
                </c:pt>
                <c:pt idx="2823">
                  <c:v>42998</c:v>
                </c:pt>
                <c:pt idx="2824">
                  <c:v>42997</c:v>
                </c:pt>
                <c:pt idx="2825">
                  <c:v>42996</c:v>
                </c:pt>
                <c:pt idx="2826">
                  <c:v>42995</c:v>
                </c:pt>
                <c:pt idx="2827">
                  <c:v>42994</c:v>
                </c:pt>
                <c:pt idx="2828">
                  <c:v>42993</c:v>
                </c:pt>
                <c:pt idx="2829">
                  <c:v>42992</c:v>
                </c:pt>
                <c:pt idx="2830">
                  <c:v>42991</c:v>
                </c:pt>
                <c:pt idx="2831">
                  <c:v>42990</c:v>
                </c:pt>
                <c:pt idx="2832">
                  <c:v>42989</c:v>
                </c:pt>
                <c:pt idx="2833">
                  <c:v>42988</c:v>
                </c:pt>
                <c:pt idx="2834">
                  <c:v>42987</c:v>
                </c:pt>
                <c:pt idx="2835">
                  <c:v>42986</c:v>
                </c:pt>
                <c:pt idx="2836">
                  <c:v>42985</c:v>
                </c:pt>
                <c:pt idx="2837">
                  <c:v>42984</c:v>
                </c:pt>
                <c:pt idx="2838">
                  <c:v>42983</c:v>
                </c:pt>
                <c:pt idx="2839">
                  <c:v>42982</c:v>
                </c:pt>
                <c:pt idx="2840">
                  <c:v>42981</c:v>
                </c:pt>
                <c:pt idx="2841">
                  <c:v>42980</c:v>
                </c:pt>
                <c:pt idx="2842">
                  <c:v>42979</c:v>
                </c:pt>
                <c:pt idx="2843">
                  <c:v>42978</c:v>
                </c:pt>
                <c:pt idx="2844">
                  <c:v>42977</c:v>
                </c:pt>
                <c:pt idx="2845">
                  <c:v>42976</c:v>
                </c:pt>
                <c:pt idx="2846">
                  <c:v>42975</c:v>
                </c:pt>
                <c:pt idx="2847">
                  <c:v>42974</c:v>
                </c:pt>
                <c:pt idx="2848">
                  <c:v>42973</c:v>
                </c:pt>
                <c:pt idx="2849">
                  <c:v>42972</c:v>
                </c:pt>
                <c:pt idx="2850">
                  <c:v>42971</c:v>
                </c:pt>
                <c:pt idx="2851">
                  <c:v>42970</c:v>
                </c:pt>
                <c:pt idx="2852">
                  <c:v>42969</c:v>
                </c:pt>
                <c:pt idx="2853">
                  <c:v>42968</c:v>
                </c:pt>
                <c:pt idx="2854">
                  <c:v>42967</c:v>
                </c:pt>
                <c:pt idx="2855">
                  <c:v>42966</c:v>
                </c:pt>
                <c:pt idx="2856">
                  <c:v>42965</c:v>
                </c:pt>
                <c:pt idx="2857">
                  <c:v>42964</c:v>
                </c:pt>
                <c:pt idx="2858">
                  <c:v>42963</c:v>
                </c:pt>
                <c:pt idx="2859">
                  <c:v>42962</c:v>
                </c:pt>
                <c:pt idx="2860">
                  <c:v>42961</c:v>
                </c:pt>
                <c:pt idx="2861">
                  <c:v>42960</c:v>
                </c:pt>
                <c:pt idx="2862">
                  <c:v>42959</c:v>
                </c:pt>
                <c:pt idx="2863">
                  <c:v>42958</c:v>
                </c:pt>
                <c:pt idx="2864">
                  <c:v>42957</c:v>
                </c:pt>
                <c:pt idx="2865">
                  <c:v>42956</c:v>
                </c:pt>
                <c:pt idx="2866">
                  <c:v>42955</c:v>
                </c:pt>
                <c:pt idx="2867">
                  <c:v>42954</c:v>
                </c:pt>
                <c:pt idx="2868">
                  <c:v>42953</c:v>
                </c:pt>
                <c:pt idx="2869">
                  <c:v>42952</c:v>
                </c:pt>
                <c:pt idx="2870">
                  <c:v>42951</c:v>
                </c:pt>
                <c:pt idx="2871">
                  <c:v>42950</c:v>
                </c:pt>
                <c:pt idx="2872">
                  <c:v>42949</c:v>
                </c:pt>
                <c:pt idx="2873">
                  <c:v>42948</c:v>
                </c:pt>
                <c:pt idx="2874">
                  <c:v>42947</c:v>
                </c:pt>
                <c:pt idx="2875">
                  <c:v>42946</c:v>
                </c:pt>
                <c:pt idx="2876">
                  <c:v>42945</c:v>
                </c:pt>
                <c:pt idx="2877">
                  <c:v>42944</c:v>
                </c:pt>
                <c:pt idx="2878">
                  <c:v>42943</c:v>
                </c:pt>
                <c:pt idx="2879">
                  <c:v>42942</c:v>
                </c:pt>
                <c:pt idx="2880">
                  <c:v>42941</c:v>
                </c:pt>
                <c:pt idx="2881">
                  <c:v>42940</c:v>
                </c:pt>
                <c:pt idx="2882">
                  <c:v>42939</c:v>
                </c:pt>
                <c:pt idx="2883">
                  <c:v>42938</c:v>
                </c:pt>
                <c:pt idx="2884">
                  <c:v>42937</c:v>
                </c:pt>
                <c:pt idx="2885">
                  <c:v>42936</c:v>
                </c:pt>
                <c:pt idx="2886">
                  <c:v>42935</c:v>
                </c:pt>
                <c:pt idx="2887">
                  <c:v>42934</c:v>
                </c:pt>
                <c:pt idx="2888">
                  <c:v>42933</c:v>
                </c:pt>
                <c:pt idx="2889">
                  <c:v>42932</c:v>
                </c:pt>
                <c:pt idx="2890">
                  <c:v>42931</c:v>
                </c:pt>
                <c:pt idx="2891">
                  <c:v>42930</c:v>
                </c:pt>
                <c:pt idx="2892">
                  <c:v>42929</c:v>
                </c:pt>
                <c:pt idx="2893">
                  <c:v>42928</c:v>
                </c:pt>
                <c:pt idx="2894">
                  <c:v>42927</c:v>
                </c:pt>
                <c:pt idx="2895">
                  <c:v>42926</c:v>
                </c:pt>
                <c:pt idx="2896">
                  <c:v>42925</c:v>
                </c:pt>
                <c:pt idx="2897">
                  <c:v>42924</c:v>
                </c:pt>
                <c:pt idx="2898">
                  <c:v>42923</c:v>
                </c:pt>
                <c:pt idx="2899">
                  <c:v>42922</c:v>
                </c:pt>
                <c:pt idx="2900">
                  <c:v>42921</c:v>
                </c:pt>
                <c:pt idx="2901">
                  <c:v>42920</c:v>
                </c:pt>
                <c:pt idx="2902">
                  <c:v>42919</c:v>
                </c:pt>
                <c:pt idx="2903">
                  <c:v>42918</c:v>
                </c:pt>
                <c:pt idx="2904">
                  <c:v>42917</c:v>
                </c:pt>
                <c:pt idx="2905">
                  <c:v>42916</c:v>
                </c:pt>
                <c:pt idx="2906">
                  <c:v>42915</c:v>
                </c:pt>
                <c:pt idx="2907">
                  <c:v>42914</c:v>
                </c:pt>
                <c:pt idx="2908">
                  <c:v>42913</c:v>
                </c:pt>
                <c:pt idx="2909">
                  <c:v>42912</c:v>
                </c:pt>
                <c:pt idx="2910">
                  <c:v>42911</c:v>
                </c:pt>
                <c:pt idx="2911">
                  <c:v>42910</c:v>
                </c:pt>
                <c:pt idx="2912">
                  <c:v>42909</c:v>
                </c:pt>
                <c:pt idx="2913">
                  <c:v>42908</c:v>
                </c:pt>
                <c:pt idx="2914">
                  <c:v>42907</c:v>
                </c:pt>
                <c:pt idx="2915">
                  <c:v>42906</c:v>
                </c:pt>
                <c:pt idx="2916">
                  <c:v>42905</c:v>
                </c:pt>
                <c:pt idx="2917">
                  <c:v>42904</c:v>
                </c:pt>
                <c:pt idx="2918">
                  <c:v>42903</c:v>
                </c:pt>
                <c:pt idx="2919">
                  <c:v>42902</c:v>
                </c:pt>
                <c:pt idx="2920">
                  <c:v>42901</c:v>
                </c:pt>
                <c:pt idx="2921">
                  <c:v>42900</c:v>
                </c:pt>
                <c:pt idx="2922">
                  <c:v>42899</c:v>
                </c:pt>
                <c:pt idx="2923">
                  <c:v>42898</c:v>
                </c:pt>
                <c:pt idx="2924">
                  <c:v>42897</c:v>
                </c:pt>
                <c:pt idx="2925">
                  <c:v>42896</c:v>
                </c:pt>
                <c:pt idx="2926">
                  <c:v>42895</c:v>
                </c:pt>
                <c:pt idx="2927">
                  <c:v>42894</c:v>
                </c:pt>
                <c:pt idx="2928">
                  <c:v>42893</c:v>
                </c:pt>
                <c:pt idx="2929">
                  <c:v>42892</c:v>
                </c:pt>
                <c:pt idx="2930">
                  <c:v>42891</c:v>
                </c:pt>
                <c:pt idx="2931">
                  <c:v>42890</c:v>
                </c:pt>
                <c:pt idx="2932">
                  <c:v>42889</c:v>
                </c:pt>
                <c:pt idx="2933">
                  <c:v>42888</c:v>
                </c:pt>
                <c:pt idx="2934">
                  <c:v>42887</c:v>
                </c:pt>
                <c:pt idx="2935">
                  <c:v>42886</c:v>
                </c:pt>
                <c:pt idx="2936">
                  <c:v>42885</c:v>
                </c:pt>
                <c:pt idx="2937">
                  <c:v>42884</c:v>
                </c:pt>
                <c:pt idx="2938">
                  <c:v>42883</c:v>
                </c:pt>
                <c:pt idx="2939">
                  <c:v>42882</c:v>
                </c:pt>
                <c:pt idx="2940">
                  <c:v>42881</c:v>
                </c:pt>
                <c:pt idx="2941">
                  <c:v>42880</c:v>
                </c:pt>
                <c:pt idx="2942">
                  <c:v>42879</c:v>
                </c:pt>
                <c:pt idx="2943">
                  <c:v>42878</c:v>
                </c:pt>
                <c:pt idx="2944">
                  <c:v>42877</c:v>
                </c:pt>
                <c:pt idx="2945">
                  <c:v>42876</c:v>
                </c:pt>
                <c:pt idx="2946">
                  <c:v>42875</c:v>
                </c:pt>
                <c:pt idx="2947">
                  <c:v>42874</c:v>
                </c:pt>
                <c:pt idx="2948">
                  <c:v>42873</c:v>
                </c:pt>
                <c:pt idx="2949">
                  <c:v>42872</c:v>
                </c:pt>
                <c:pt idx="2950">
                  <c:v>42871</c:v>
                </c:pt>
                <c:pt idx="2951">
                  <c:v>42870</c:v>
                </c:pt>
                <c:pt idx="2952">
                  <c:v>42869</c:v>
                </c:pt>
                <c:pt idx="2953">
                  <c:v>42868</c:v>
                </c:pt>
                <c:pt idx="2954">
                  <c:v>42867</c:v>
                </c:pt>
                <c:pt idx="2955">
                  <c:v>42866</c:v>
                </c:pt>
                <c:pt idx="2956">
                  <c:v>42865</c:v>
                </c:pt>
                <c:pt idx="2957">
                  <c:v>42864</c:v>
                </c:pt>
                <c:pt idx="2958">
                  <c:v>42863</c:v>
                </c:pt>
                <c:pt idx="2959">
                  <c:v>42862</c:v>
                </c:pt>
                <c:pt idx="2960">
                  <c:v>42861</c:v>
                </c:pt>
                <c:pt idx="2961">
                  <c:v>42860</c:v>
                </c:pt>
                <c:pt idx="2962">
                  <c:v>42859</c:v>
                </c:pt>
                <c:pt idx="2963">
                  <c:v>42858</c:v>
                </c:pt>
                <c:pt idx="2964">
                  <c:v>42857</c:v>
                </c:pt>
                <c:pt idx="2965">
                  <c:v>42856</c:v>
                </c:pt>
                <c:pt idx="2966">
                  <c:v>42855</c:v>
                </c:pt>
                <c:pt idx="2967">
                  <c:v>42854</c:v>
                </c:pt>
                <c:pt idx="2968">
                  <c:v>42853</c:v>
                </c:pt>
                <c:pt idx="2969">
                  <c:v>42852</c:v>
                </c:pt>
                <c:pt idx="2970">
                  <c:v>42851</c:v>
                </c:pt>
                <c:pt idx="2971">
                  <c:v>42850</c:v>
                </c:pt>
                <c:pt idx="2972">
                  <c:v>42849</c:v>
                </c:pt>
                <c:pt idx="2973">
                  <c:v>42848</c:v>
                </c:pt>
                <c:pt idx="2974">
                  <c:v>42847</c:v>
                </c:pt>
                <c:pt idx="2975">
                  <c:v>42846</c:v>
                </c:pt>
                <c:pt idx="2976">
                  <c:v>42845</c:v>
                </c:pt>
                <c:pt idx="2977">
                  <c:v>42844</c:v>
                </c:pt>
                <c:pt idx="2978">
                  <c:v>42843</c:v>
                </c:pt>
                <c:pt idx="2979">
                  <c:v>42842</c:v>
                </c:pt>
                <c:pt idx="2980">
                  <c:v>42841</c:v>
                </c:pt>
                <c:pt idx="2981">
                  <c:v>42840</c:v>
                </c:pt>
                <c:pt idx="2982">
                  <c:v>42839</c:v>
                </c:pt>
                <c:pt idx="2983">
                  <c:v>42838</c:v>
                </c:pt>
                <c:pt idx="2984">
                  <c:v>42837</c:v>
                </c:pt>
                <c:pt idx="2985">
                  <c:v>42836</c:v>
                </c:pt>
                <c:pt idx="2986">
                  <c:v>42835</c:v>
                </c:pt>
                <c:pt idx="2987">
                  <c:v>42834</c:v>
                </c:pt>
                <c:pt idx="2988">
                  <c:v>42833</c:v>
                </c:pt>
                <c:pt idx="2989">
                  <c:v>42832</c:v>
                </c:pt>
                <c:pt idx="2990">
                  <c:v>42831</c:v>
                </c:pt>
                <c:pt idx="2991">
                  <c:v>42830</c:v>
                </c:pt>
                <c:pt idx="2992">
                  <c:v>42829</c:v>
                </c:pt>
                <c:pt idx="2993">
                  <c:v>42828</c:v>
                </c:pt>
                <c:pt idx="2994">
                  <c:v>42827</c:v>
                </c:pt>
                <c:pt idx="2995">
                  <c:v>42826</c:v>
                </c:pt>
                <c:pt idx="2996">
                  <c:v>42825</c:v>
                </c:pt>
                <c:pt idx="2997">
                  <c:v>42824</c:v>
                </c:pt>
                <c:pt idx="2998">
                  <c:v>42823</c:v>
                </c:pt>
                <c:pt idx="2999">
                  <c:v>42822</c:v>
                </c:pt>
                <c:pt idx="3000">
                  <c:v>42821</c:v>
                </c:pt>
                <c:pt idx="3001">
                  <c:v>42820</c:v>
                </c:pt>
                <c:pt idx="3002">
                  <c:v>42819</c:v>
                </c:pt>
                <c:pt idx="3003">
                  <c:v>42818</c:v>
                </c:pt>
                <c:pt idx="3004">
                  <c:v>42817</c:v>
                </c:pt>
                <c:pt idx="3005">
                  <c:v>42816</c:v>
                </c:pt>
                <c:pt idx="3006">
                  <c:v>42815</c:v>
                </c:pt>
                <c:pt idx="3007">
                  <c:v>42814</c:v>
                </c:pt>
                <c:pt idx="3008">
                  <c:v>42813</c:v>
                </c:pt>
                <c:pt idx="3009">
                  <c:v>42812</c:v>
                </c:pt>
                <c:pt idx="3010">
                  <c:v>42811</c:v>
                </c:pt>
                <c:pt idx="3011">
                  <c:v>42810</c:v>
                </c:pt>
                <c:pt idx="3012">
                  <c:v>42809</c:v>
                </c:pt>
                <c:pt idx="3013">
                  <c:v>42808</c:v>
                </c:pt>
                <c:pt idx="3014">
                  <c:v>42807</c:v>
                </c:pt>
                <c:pt idx="3015">
                  <c:v>42806</c:v>
                </c:pt>
                <c:pt idx="3016">
                  <c:v>42805</c:v>
                </c:pt>
                <c:pt idx="3017">
                  <c:v>42804</c:v>
                </c:pt>
                <c:pt idx="3018">
                  <c:v>42803</c:v>
                </c:pt>
                <c:pt idx="3019">
                  <c:v>42802</c:v>
                </c:pt>
                <c:pt idx="3020">
                  <c:v>42801</c:v>
                </c:pt>
                <c:pt idx="3021">
                  <c:v>42800</c:v>
                </c:pt>
                <c:pt idx="3022">
                  <c:v>42799</c:v>
                </c:pt>
                <c:pt idx="3023">
                  <c:v>42798</c:v>
                </c:pt>
                <c:pt idx="3024">
                  <c:v>42797</c:v>
                </c:pt>
                <c:pt idx="3025">
                  <c:v>42796</c:v>
                </c:pt>
                <c:pt idx="3026">
                  <c:v>42795</c:v>
                </c:pt>
                <c:pt idx="3027">
                  <c:v>42794</c:v>
                </c:pt>
                <c:pt idx="3028">
                  <c:v>42793</c:v>
                </c:pt>
                <c:pt idx="3029">
                  <c:v>42792</c:v>
                </c:pt>
                <c:pt idx="3030">
                  <c:v>42791</c:v>
                </c:pt>
                <c:pt idx="3031">
                  <c:v>42790</c:v>
                </c:pt>
                <c:pt idx="3032">
                  <c:v>42789</c:v>
                </c:pt>
                <c:pt idx="3033">
                  <c:v>42788</c:v>
                </c:pt>
                <c:pt idx="3034">
                  <c:v>42787</c:v>
                </c:pt>
                <c:pt idx="3035">
                  <c:v>42786</c:v>
                </c:pt>
                <c:pt idx="3036">
                  <c:v>42785</c:v>
                </c:pt>
                <c:pt idx="3037">
                  <c:v>42784</c:v>
                </c:pt>
                <c:pt idx="3038">
                  <c:v>42783</c:v>
                </c:pt>
                <c:pt idx="3039">
                  <c:v>42782</c:v>
                </c:pt>
                <c:pt idx="3040">
                  <c:v>42781</c:v>
                </c:pt>
                <c:pt idx="3041">
                  <c:v>42780</c:v>
                </c:pt>
                <c:pt idx="3042">
                  <c:v>42779</c:v>
                </c:pt>
                <c:pt idx="3043">
                  <c:v>42778</c:v>
                </c:pt>
                <c:pt idx="3044">
                  <c:v>42777</c:v>
                </c:pt>
                <c:pt idx="3045">
                  <c:v>42776</c:v>
                </c:pt>
                <c:pt idx="3046">
                  <c:v>42775</c:v>
                </c:pt>
                <c:pt idx="3047">
                  <c:v>42774</c:v>
                </c:pt>
                <c:pt idx="3048">
                  <c:v>42773</c:v>
                </c:pt>
                <c:pt idx="3049">
                  <c:v>42772</c:v>
                </c:pt>
                <c:pt idx="3050">
                  <c:v>42771</c:v>
                </c:pt>
                <c:pt idx="3051">
                  <c:v>42770</c:v>
                </c:pt>
                <c:pt idx="3052">
                  <c:v>42769</c:v>
                </c:pt>
                <c:pt idx="3053">
                  <c:v>42768</c:v>
                </c:pt>
                <c:pt idx="3054">
                  <c:v>42767</c:v>
                </c:pt>
                <c:pt idx="3055">
                  <c:v>42766</c:v>
                </c:pt>
                <c:pt idx="3056">
                  <c:v>42765</c:v>
                </c:pt>
                <c:pt idx="3057">
                  <c:v>42764</c:v>
                </c:pt>
                <c:pt idx="3058">
                  <c:v>42763</c:v>
                </c:pt>
                <c:pt idx="3059">
                  <c:v>42762</c:v>
                </c:pt>
                <c:pt idx="3060">
                  <c:v>42761</c:v>
                </c:pt>
                <c:pt idx="3061">
                  <c:v>42760</c:v>
                </c:pt>
                <c:pt idx="3062">
                  <c:v>42759</c:v>
                </c:pt>
                <c:pt idx="3063">
                  <c:v>42758</c:v>
                </c:pt>
                <c:pt idx="3064">
                  <c:v>42757</c:v>
                </c:pt>
                <c:pt idx="3065">
                  <c:v>42756</c:v>
                </c:pt>
                <c:pt idx="3066">
                  <c:v>42755</c:v>
                </c:pt>
                <c:pt idx="3067">
                  <c:v>42754</c:v>
                </c:pt>
                <c:pt idx="3068">
                  <c:v>42753</c:v>
                </c:pt>
                <c:pt idx="3069">
                  <c:v>42752</c:v>
                </c:pt>
                <c:pt idx="3070">
                  <c:v>42751</c:v>
                </c:pt>
                <c:pt idx="3071">
                  <c:v>42750</c:v>
                </c:pt>
                <c:pt idx="3072">
                  <c:v>42749</c:v>
                </c:pt>
                <c:pt idx="3073">
                  <c:v>42748</c:v>
                </c:pt>
                <c:pt idx="3074">
                  <c:v>42747</c:v>
                </c:pt>
                <c:pt idx="3075">
                  <c:v>42746</c:v>
                </c:pt>
                <c:pt idx="3076">
                  <c:v>42745</c:v>
                </c:pt>
                <c:pt idx="3077">
                  <c:v>42744</c:v>
                </c:pt>
                <c:pt idx="3078">
                  <c:v>42743</c:v>
                </c:pt>
                <c:pt idx="3079">
                  <c:v>42742</c:v>
                </c:pt>
                <c:pt idx="3080">
                  <c:v>42741</c:v>
                </c:pt>
                <c:pt idx="3081">
                  <c:v>42740</c:v>
                </c:pt>
                <c:pt idx="3082">
                  <c:v>42739</c:v>
                </c:pt>
                <c:pt idx="3083">
                  <c:v>42738</c:v>
                </c:pt>
                <c:pt idx="3084">
                  <c:v>42737</c:v>
                </c:pt>
                <c:pt idx="3085">
                  <c:v>42736</c:v>
                </c:pt>
                <c:pt idx="3086">
                  <c:v>42735</c:v>
                </c:pt>
                <c:pt idx="3087">
                  <c:v>42734</c:v>
                </c:pt>
                <c:pt idx="3088">
                  <c:v>42733</c:v>
                </c:pt>
                <c:pt idx="3089">
                  <c:v>42732</c:v>
                </c:pt>
                <c:pt idx="3090">
                  <c:v>42731</c:v>
                </c:pt>
                <c:pt idx="3091">
                  <c:v>42730</c:v>
                </c:pt>
                <c:pt idx="3092">
                  <c:v>42729</c:v>
                </c:pt>
                <c:pt idx="3093">
                  <c:v>42728</c:v>
                </c:pt>
                <c:pt idx="3094">
                  <c:v>42727</c:v>
                </c:pt>
                <c:pt idx="3095">
                  <c:v>42726</c:v>
                </c:pt>
                <c:pt idx="3096">
                  <c:v>42725</c:v>
                </c:pt>
                <c:pt idx="3097">
                  <c:v>42724</c:v>
                </c:pt>
                <c:pt idx="3098">
                  <c:v>42723</c:v>
                </c:pt>
                <c:pt idx="3099">
                  <c:v>42722</c:v>
                </c:pt>
                <c:pt idx="3100">
                  <c:v>42721</c:v>
                </c:pt>
                <c:pt idx="3101">
                  <c:v>42720</c:v>
                </c:pt>
                <c:pt idx="3102">
                  <c:v>42719</c:v>
                </c:pt>
                <c:pt idx="3103">
                  <c:v>42718</c:v>
                </c:pt>
                <c:pt idx="3104">
                  <c:v>42717</c:v>
                </c:pt>
                <c:pt idx="3105">
                  <c:v>42716</c:v>
                </c:pt>
                <c:pt idx="3106">
                  <c:v>42715</c:v>
                </c:pt>
                <c:pt idx="3107">
                  <c:v>42714</c:v>
                </c:pt>
                <c:pt idx="3108">
                  <c:v>42713</c:v>
                </c:pt>
                <c:pt idx="3109">
                  <c:v>42712</c:v>
                </c:pt>
                <c:pt idx="3110">
                  <c:v>42711</c:v>
                </c:pt>
                <c:pt idx="3111">
                  <c:v>42710</c:v>
                </c:pt>
                <c:pt idx="3112">
                  <c:v>42709</c:v>
                </c:pt>
                <c:pt idx="3113">
                  <c:v>42708</c:v>
                </c:pt>
                <c:pt idx="3114">
                  <c:v>42707</c:v>
                </c:pt>
                <c:pt idx="3115">
                  <c:v>42706</c:v>
                </c:pt>
                <c:pt idx="3116">
                  <c:v>42705</c:v>
                </c:pt>
                <c:pt idx="3117">
                  <c:v>42704</c:v>
                </c:pt>
                <c:pt idx="3118">
                  <c:v>42703</c:v>
                </c:pt>
                <c:pt idx="3119">
                  <c:v>42702</c:v>
                </c:pt>
                <c:pt idx="3120">
                  <c:v>42701</c:v>
                </c:pt>
                <c:pt idx="3121">
                  <c:v>42700</c:v>
                </c:pt>
                <c:pt idx="3122">
                  <c:v>42699</c:v>
                </c:pt>
                <c:pt idx="3123">
                  <c:v>42698</c:v>
                </c:pt>
                <c:pt idx="3124">
                  <c:v>42697</c:v>
                </c:pt>
                <c:pt idx="3125">
                  <c:v>42696</c:v>
                </c:pt>
                <c:pt idx="3126">
                  <c:v>42695</c:v>
                </c:pt>
                <c:pt idx="3127">
                  <c:v>42694</c:v>
                </c:pt>
                <c:pt idx="3128">
                  <c:v>42693</c:v>
                </c:pt>
                <c:pt idx="3129">
                  <c:v>42692</c:v>
                </c:pt>
                <c:pt idx="3130">
                  <c:v>42691</c:v>
                </c:pt>
                <c:pt idx="3131">
                  <c:v>42690</c:v>
                </c:pt>
                <c:pt idx="3132">
                  <c:v>42689</c:v>
                </c:pt>
                <c:pt idx="3133">
                  <c:v>42688</c:v>
                </c:pt>
                <c:pt idx="3134">
                  <c:v>42687</c:v>
                </c:pt>
                <c:pt idx="3135">
                  <c:v>42686</c:v>
                </c:pt>
                <c:pt idx="3136">
                  <c:v>42685</c:v>
                </c:pt>
                <c:pt idx="3137">
                  <c:v>42684</c:v>
                </c:pt>
                <c:pt idx="3138">
                  <c:v>42683</c:v>
                </c:pt>
                <c:pt idx="3139">
                  <c:v>42682</c:v>
                </c:pt>
                <c:pt idx="3140">
                  <c:v>42681</c:v>
                </c:pt>
                <c:pt idx="3141">
                  <c:v>42680</c:v>
                </c:pt>
                <c:pt idx="3142">
                  <c:v>42679</c:v>
                </c:pt>
                <c:pt idx="3143">
                  <c:v>42678</c:v>
                </c:pt>
                <c:pt idx="3144">
                  <c:v>42677</c:v>
                </c:pt>
                <c:pt idx="3145">
                  <c:v>42676</c:v>
                </c:pt>
                <c:pt idx="3146">
                  <c:v>42675</c:v>
                </c:pt>
                <c:pt idx="3147">
                  <c:v>42674</c:v>
                </c:pt>
                <c:pt idx="3148">
                  <c:v>42673</c:v>
                </c:pt>
                <c:pt idx="3149">
                  <c:v>42672</c:v>
                </c:pt>
                <c:pt idx="3150">
                  <c:v>42671</c:v>
                </c:pt>
                <c:pt idx="3151">
                  <c:v>42670</c:v>
                </c:pt>
                <c:pt idx="3152">
                  <c:v>42669</c:v>
                </c:pt>
                <c:pt idx="3153">
                  <c:v>42668</c:v>
                </c:pt>
                <c:pt idx="3154">
                  <c:v>42667</c:v>
                </c:pt>
                <c:pt idx="3155">
                  <c:v>42666</c:v>
                </c:pt>
                <c:pt idx="3156">
                  <c:v>42665</c:v>
                </c:pt>
                <c:pt idx="3157">
                  <c:v>42664</c:v>
                </c:pt>
                <c:pt idx="3158">
                  <c:v>42663</c:v>
                </c:pt>
                <c:pt idx="3159">
                  <c:v>42662</c:v>
                </c:pt>
                <c:pt idx="3160">
                  <c:v>42661</c:v>
                </c:pt>
                <c:pt idx="3161">
                  <c:v>42660</c:v>
                </c:pt>
                <c:pt idx="3162">
                  <c:v>42659</c:v>
                </c:pt>
                <c:pt idx="3163">
                  <c:v>42658</c:v>
                </c:pt>
                <c:pt idx="3164">
                  <c:v>42657</c:v>
                </c:pt>
                <c:pt idx="3165">
                  <c:v>42656</c:v>
                </c:pt>
                <c:pt idx="3166">
                  <c:v>42655</c:v>
                </c:pt>
                <c:pt idx="3167">
                  <c:v>42654</c:v>
                </c:pt>
                <c:pt idx="3168">
                  <c:v>42653</c:v>
                </c:pt>
                <c:pt idx="3169">
                  <c:v>42652</c:v>
                </c:pt>
                <c:pt idx="3170">
                  <c:v>42651</c:v>
                </c:pt>
                <c:pt idx="3171">
                  <c:v>42650</c:v>
                </c:pt>
                <c:pt idx="3172">
                  <c:v>42649</c:v>
                </c:pt>
                <c:pt idx="3173">
                  <c:v>42648</c:v>
                </c:pt>
                <c:pt idx="3174">
                  <c:v>42647</c:v>
                </c:pt>
                <c:pt idx="3175">
                  <c:v>42646</c:v>
                </c:pt>
                <c:pt idx="3176">
                  <c:v>42645</c:v>
                </c:pt>
                <c:pt idx="3177">
                  <c:v>42644</c:v>
                </c:pt>
                <c:pt idx="3178">
                  <c:v>42643</c:v>
                </c:pt>
                <c:pt idx="3179">
                  <c:v>42642</c:v>
                </c:pt>
                <c:pt idx="3180">
                  <c:v>42641</c:v>
                </c:pt>
                <c:pt idx="3181">
                  <c:v>42640</c:v>
                </c:pt>
                <c:pt idx="3182">
                  <c:v>42639</c:v>
                </c:pt>
                <c:pt idx="3183">
                  <c:v>42638</c:v>
                </c:pt>
                <c:pt idx="3184">
                  <c:v>42637</c:v>
                </c:pt>
                <c:pt idx="3185">
                  <c:v>42636</c:v>
                </c:pt>
                <c:pt idx="3186">
                  <c:v>42635</c:v>
                </c:pt>
              </c:numCache>
            </c:numRef>
          </c:cat>
          <c:val>
            <c:numRef>
              <c:f>'Share price history'!$G$6:$G$6980</c:f>
              <c:numCache>
                <c:formatCode>#,##0.00</c:formatCode>
                <c:ptCount val="6975"/>
                <c:pt idx="0">
                  <c:v>70.570032657850604</c:v>
                </c:pt>
                <c:pt idx="1">
                  <c:v>72.370019790069207</c:v>
                </c:pt>
                <c:pt idx="2">
                  <c:v>72.370019790069207</c:v>
                </c:pt>
                <c:pt idx="3">
                  <c:v>71.490048779640617</c:v>
                </c:pt>
                <c:pt idx="4">
                  <c:v>71.460035564703432</c:v>
                </c:pt>
                <c:pt idx="5">
                  <c:v>71.460035564703432</c:v>
                </c:pt>
                <c:pt idx="6">
                  <c:v>71.460035564703432</c:v>
                </c:pt>
                <c:pt idx="7">
                  <c:v>71.110031987262118</c:v>
                </c:pt>
                <c:pt idx="8">
                  <c:v>76.050012659591189</c:v>
                </c:pt>
                <c:pt idx="9">
                  <c:v>74.40004290802004</c:v>
                </c:pt>
                <c:pt idx="10">
                  <c:v>74.770080034108844</c:v>
                </c:pt>
                <c:pt idx="11">
                  <c:v>75.22004635138282</c:v>
                </c:pt>
                <c:pt idx="12">
                  <c:v>75.22004635138282</c:v>
                </c:pt>
                <c:pt idx="13">
                  <c:v>75.22004635138282</c:v>
                </c:pt>
                <c:pt idx="14">
                  <c:v>74.880016197828482</c:v>
                </c:pt>
                <c:pt idx="15">
                  <c:v>76.940007971250751</c:v>
                </c:pt>
                <c:pt idx="16">
                  <c:v>76.059993842493114</c:v>
                </c:pt>
                <c:pt idx="17">
                  <c:v>73.88999254153336</c:v>
                </c:pt>
                <c:pt idx="18">
                  <c:v>73.88999254153336</c:v>
                </c:pt>
                <c:pt idx="19">
                  <c:v>73.88999254153336</c:v>
                </c:pt>
                <c:pt idx="20">
                  <c:v>73.88999254153336</c:v>
                </c:pt>
                <c:pt idx="21">
                  <c:v>74.330026297212854</c:v>
                </c:pt>
                <c:pt idx="22">
                  <c:v>74.470029953525483</c:v>
                </c:pt>
                <c:pt idx="23">
                  <c:v>77.060017129239213</c:v>
                </c:pt>
                <c:pt idx="24">
                  <c:v>76.320018232457315</c:v>
                </c:pt>
                <c:pt idx="25">
                  <c:v>76.310021619625132</c:v>
                </c:pt>
                <c:pt idx="26">
                  <c:v>76.310021619625132</c:v>
                </c:pt>
                <c:pt idx="27">
                  <c:v>76.310021619625132</c:v>
                </c:pt>
                <c:pt idx="28">
                  <c:v>77.500034651702023</c:v>
                </c:pt>
                <c:pt idx="29">
                  <c:v>79.140053990548154</c:v>
                </c:pt>
                <c:pt idx="30">
                  <c:v>78.140018039676377</c:v>
                </c:pt>
                <c:pt idx="31">
                  <c:v>79.400016907989254</c:v>
                </c:pt>
                <c:pt idx="32">
                  <c:v>71.040026580049087</c:v>
                </c:pt>
                <c:pt idx="33">
                  <c:v>71.040026580049087</c:v>
                </c:pt>
                <c:pt idx="34">
                  <c:v>71.040026580049087</c:v>
                </c:pt>
                <c:pt idx="35">
                  <c:v>59.90000360888034</c:v>
                </c:pt>
                <c:pt idx="36">
                  <c:v>56.460008227589746</c:v>
                </c:pt>
                <c:pt idx="37">
                  <c:v>55.630008500758422</c:v>
                </c:pt>
                <c:pt idx="38">
                  <c:v>55.500027436502137</c:v>
                </c:pt>
                <c:pt idx="39">
                  <c:v>54.090009079809654</c:v>
                </c:pt>
                <c:pt idx="40">
                  <c:v>54.090009079809654</c:v>
                </c:pt>
                <c:pt idx="41">
                  <c:v>54.090009079809654</c:v>
                </c:pt>
                <c:pt idx="42">
                  <c:v>53.060008200619237</c:v>
                </c:pt>
                <c:pt idx="43">
                  <c:v>53.629987710001132</c:v>
                </c:pt>
                <c:pt idx="44">
                  <c:v>54.669974637530878</c:v>
                </c:pt>
                <c:pt idx="45">
                  <c:v>54.3999874995705</c:v>
                </c:pt>
                <c:pt idx="46">
                  <c:v>53.970008442310608</c:v>
                </c:pt>
                <c:pt idx="47">
                  <c:v>53.970008442310608</c:v>
                </c:pt>
                <c:pt idx="48">
                  <c:v>53.970008442310608</c:v>
                </c:pt>
                <c:pt idx="49">
                  <c:v>53.269987536098725</c:v>
                </c:pt>
                <c:pt idx="50">
                  <c:v>50.079992193365719</c:v>
                </c:pt>
                <c:pt idx="51">
                  <c:v>48.659996184703694</c:v>
                </c:pt>
                <c:pt idx="52">
                  <c:v>47.559981375470443</c:v>
                </c:pt>
                <c:pt idx="53">
                  <c:v>50.259998769359193</c:v>
                </c:pt>
                <c:pt idx="54">
                  <c:v>50.259998769359193</c:v>
                </c:pt>
                <c:pt idx="55">
                  <c:v>50.259998769359193</c:v>
                </c:pt>
                <c:pt idx="56">
                  <c:v>50.259998769359193</c:v>
                </c:pt>
                <c:pt idx="57">
                  <c:v>48.450003537215878</c:v>
                </c:pt>
                <c:pt idx="58">
                  <c:v>49.240010261857115</c:v>
                </c:pt>
                <c:pt idx="59">
                  <c:v>48.639987377567444</c:v>
                </c:pt>
                <c:pt idx="60">
                  <c:v>49.77999913782272</c:v>
                </c:pt>
                <c:pt idx="61">
                  <c:v>49.77999913782272</c:v>
                </c:pt>
                <c:pt idx="62">
                  <c:v>49.77999913782272</c:v>
                </c:pt>
                <c:pt idx="63">
                  <c:v>49.270005312829625</c:v>
                </c:pt>
                <c:pt idx="64">
                  <c:v>54.120025519813211</c:v>
                </c:pt>
                <c:pt idx="65">
                  <c:v>45.270010154641689</c:v>
                </c:pt>
                <c:pt idx="66">
                  <c:v>46.340000772478213</c:v>
                </c:pt>
                <c:pt idx="67">
                  <c:v>46.239983687761587</c:v>
                </c:pt>
                <c:pt idx="68">
                  <c:v>46.239983687761587</c:v>
                </c:pt>
                <c:pt idx="69">
                  <c:v>46.239983687761587</c:v>
                </c:pt>
                <c:pt idx="70">
                  <c:v>49.079997758029997</c:v>
                </c:pt>
                <c:pt idx="71">
                  <c:v>56.300025647060309</c:v>
                </c:pt>
                <c:pt idx="72">
                  <c:v>57.100054510811283</c:v>
                </c:pt>
                <c:pt idx="73">
                  <c:v>54.720060211952621</c:v>
                </c:pt>
                <c:pt idx="74">
                  <c:v>55.850074774872617</c:v>
                </c:pt>
                <c:pt idx="75">
                  <c:v>55.850074774872617</c:v>
                </c:pt>
                <c:pt idx="76">
                  <c:v>55.850074774872617</c:v>
                </c:pt>
                <c:pt idx="77">
                  <c:v>57.260104856975637</c:v>
                </c:pt>
                <c:pt idx="78">
                  <c:v>58.800078923995073</c:v>
                </c:pt>
                <c:pt idx="79">
                  <c:v>62.000089545718225</c:v>
                </c:pt>
                <c:pt idx="80">
                  <c:v>59.340109784517438</c:v>
                </c:pt>
                <c:pt idx="81">
                  <c:v>56.310118612117982</c:v>
                </c:pt>
                <c:pt idx="82">
                  <c:v>56.310118612117982</c:v>
                </c:pt>
                <c:pt idx="83">
                  <c:v>56.310118612117982</c:v>
                </c:pt>
                <c:pt idx="84">
                  <c:v>55.850136884735306</c:v>
                </c:pt>
                <c:pt idx="85">
                  <c:v>55.320114864221203</c:v>
                </c:pt>
                <c:pt idx="86">
                  <c:v>53.590118653838005</c:v>
                </c:pt>
                <c:pt idx="87">
                  <c:v>56.500099793607987</c:v>
                </c:pt>
                <c:pt idx="88">
                  <c:v>53.940102527645912</c:v>
                </c:pt>
                <c:pt idx="89">
                  <c:v>53.940102527645912</c:v>
                </c:pt>
                <c:pt idx="90">
                  <c:v>53.940102527645912</c:v>
                </c:pt>
                <c:pt idx="91">
                  <c:v>53.880080118394012</c:v>
                </c:pt>
                <c:pt idx="92">
                  <c:v>60.200063371303578</c:v>
                </c:pt>
                <c:pt idx="93">
                  <c:v>58.840034806779663</c:v>
                </c:pt>
                <c:pt idx="94">
                  <c:v>60.310031514924432</c:v>
                </c:pt>
                <c:pt idx="95">
                  <c:v>64.910009132088121</c:v>
                </c:pt>
                <c:pt idx="96">
                  <c:v>64.910009132088121</c:v>
                </c:pt>
                <c:pt idx="97">
                  <c:v>64.910009132088121</c:v>
                </c:pt>
                <c:pt idx="98">
                  <c:v>64.979992584101197</c:v>
                </c:pt>
                <c:pt idx="99">
                  <c:v>66.540023433499599</c:v>
                </c:pt>
                <c:pt idx="100">
                  <c:v>67.59999129703715</c:v>
                </c:pt>
                <c:pt idx="101">
                  <c:v>67.169969154509971</c:v>
                </c:pt>
                <c:pt idx="102">
                  <c:v>70.319951376416554</c:v>
                </c:pt>
                <c:pt idx="103">
                  <c:v>70.319951376416554</c:v>
                </c:pt>
                <c:pt idx="104">
                  <c:v>70.319951376416554</c:v>
                </c:pt>
                <c:pt idx="105">
                  <c:v>71.489955996251197</c:v>
                </c:pt>
                <c:pt idx="106">
                  <c:v>72.429951912167311</c:v>
                </c:pt>
                <c:pt idx="107">
                  <c:v>74.979944856802291</c:v>
                </c:pt>
                <c:pt idx="108">
                  <c:v>74.199954930572119</c:v>
                </c:pt>
                <c:pt idx="109">
                  <c:v>72.059989424628895</c:v>
                </c:pt>
                <c:pt idx="110">
                  <c:v>72.059989424628895</c:v>
                </c:pt>
                <c:pt idx="111">
                  <c:v>72.059989424628895</c:v>
                </c:pt>
                <c:pt idx="112">
                  <c:v>75.730017534380025</c:v>
                </c:pt>
                <c:pt idx="113">
                  <c:v>76.750025371568157</c:v>
                </c:pt>
                <c:pt idx="114">
                  <c:v>80.030057268726935</c:v>
                </c:pt>
                <c:pt idx="115">
                  <c:v>80.160076913480609</c:v>
                </c:pt>
                <c:pt idx="116">
                  <c:v>80.160076913480609</c:v>
                </c:pt>
                <c:pt idx="117">
                  <c:v>80.160076913480609</c:v>
                </c:pt>
                <c:pt idx="118">
                  <c:v>80.160076913480609</c:v>
                </c:pt>
                <c:pt idx="119">
                  <c:v>81.920047207690629</c:v>
                </c:pt>
                <c:pt idx="120">
                  <c:v>122.23005139820032</c:v>
                </c:pt>
                <c:pt idx="121">
                  <c:v>120.21004185487106</c:v>
                </c:pt>
                <c:pt idx="122">
                  <c:v>122.54001775241549</c:v>
                </c:pt>
                <c:pt idx="123">
                  <c:v>117.2900000597414</c:v>
                </c:pt>
                <c:pt idx="124">
                  <c:v>117.2900000597414</c:v>
                </c:pt>
                <c:pt idx="125">
                  <c:v>117.2900000597414</c:v>
                </c:pt>
                <c:pt idx="126">
                  <c:v>114.64995553366764</c:v>
                </c:pt>
                <c:pt idx="127">
                  <c:v>114.33997984829892</c:v>
                </c:pt>
                <c:pt idx="128">
                  <c:v>113.53997716916497</c:v>
                </c:pt>
                <c:pt idx="129">
                  <c:v>117.93996338309822</c:v>
                </c:pt>
                <c:pt idx="130">
                  <c:v>118.679932763881</c:v>
                </c:pt>
                <c:pt idx="131">
                  <c:v>118.679932763881</c:v>
                </c:pt>
                <c:pt idx="132">
                  <c:v>118.679932763881</c:v>
                </c:pt>
                <c:pt idx="133">
                  <c:v>118.93993546280268</c:v>
                </c:pt>
                <c:pt idx="134">
                  <c:v>122.58992797843254</c:v>
                </c:pt>
                <c:pt idx="135">
                  <c:v>120.55993971353602</c:v>
                </c:pt>
                <c:pt idx="136">
                  <c:v>119.09989411162167</c:v>
                </c:pt>
                <c:pt idx="137">
                  <c:v>119.95988653821411</c:v>
                </c:pt>
                <c:pt idx="138">
                  <c:v>119.95988653821411</c:v>
                </c:pt>
                <c:pt idx="139">
                  <c:v>119.95988653821411</c:v>
                </c:pt>
                <c:pt idx="140">
                  <c:v>119.13984697150921</c:v>
                </c:pt>
                <c:pt idx="141">
                  <c:v>120.68986693252361</c:v>
                </c:pt>
                <c:pt idx="142">
                  <c:v>124.49981012187317</c:v>
                </c:pt>
                <c:pt idx="143">
                  <c:v>124.41980818521009</c:v>
                </c:pt>
                <c:pt idx="144">
                  <c:v>124.41980818521009</c:v>
                </c:pt>
                <c:pt idx="145">
                  <c:v>124.41980818521009</c:v>
                </c:pt>
                <c:pt idx="146">
                  <c:v>124.41980818521009</c:v>
                </c:pt>
                <c:pt idx="147">
                  <c:v>120.839808032441</c:v>
                </c:pt>
                <c:pt idx="148">
                  <c:v>119.67975219442049</c:v>
                </c:pt>
                <c:pt idx="149">
                  <c:v>116.75970864101727</c:v>
                </c:pt>
                <c:pt idx="150">
                  <c:v>117.88968123566107</c:v>
                </c:pt>
                <c:pt idx="151">
                  <c:v>118.7996868368312</c:v>
                </c:pt>
                <c:pt idx="152">
                  <c:v>118.7996868368312</c:v>
                </c:pt>
                <c:pt idx="153">
                  <c:v>118.7996868368312</c:v>
                </c:pt>
                <c:pt idx="154">
                  <c:v>121.51966141835831</c:v>
                </c:pt>
                <c:pt idx="155">
                  <c:v>121.51966141835831</c:v>
                </c:pt>
                <c:pt idx="156">
                  <c:v>121.40966426253645</c:v>
                </c:pt>
                <c:pt idx="157">
                  <c:v>126.57968491312826</c:v>
                </c:pt>
                <c:pt idx="158">
                  <c:v>121.83975300208803</c:v>
                </c:pt>
                <c:pt idx="159">
                  <c:v>121.83975300208803</c:v>
                </c:pt>
                <c:pt idx="160">
                  <c:v>121.83975300208803</c:v>
                </c:pt>
                <c:pt idx="161">
                  <c:v>117.72980549235008</c:v>
                </c:pt>
                <c:pt idx="162">
                  <c:v>117.52976982410944</c:v>
                </c:pt>
                <c:pt idx="163">
                  <c:v>117.52976982410944</c:v>
                </c:pt>
                <c:pt idx="164">
                  <c:v>120.16977971466082</c:v>
                </c:pt>
                <c:pt idx="165">
                  <c:v>121.38974666868106</c:v>
                </c:pt>
                <c:pt idx="166">
                  <c:v>121.38974666868106</c:v>
                </c:pt>
                <c:pt idx="167">
                  <c:v>121.38974666868106</c:v>
                </c:pt>
                <c:pt idx="168">
                  <c:v>123.45979708642922</c:v>
                </c:pt>
                <c:pt idx="169">
                  <c:v>123.95985112587098</c:v>
                </c:pt>
                <c:pt idx="170">
                  <c:v>123.95985112587098</c:v>
                </c:pt>
                <c:pt idx="171">
                  <c:v>121.66990190217025</c:v>
                </c:pt>
                <c:pt idx="172">
                  <c:v>125.00991686085867</c:v>
                </c:pt>
                <c:pt idx="173">
                  <c:v>125.00991686085867</c:v>
                </c:pt>
                <c:pt idx="174">
                  <c:v>125.00991686085867</c:v>
                </c:pt>
                <c:pt idx="175">
                  <c:v>126.22992912586011</c:v>
                </c:pt>
                <c:pt idx="176">
                  <c:v>127.92999077324578</c:v>
                </c:pt>
                <c:pt idx="177">
                  <c:v>135.02002743382326</c:v>
                </c:pt>
                <c:pt idx="178">
                  <c:v>132.64997041246377</c:v>
                </c:pt>
                <c:pt idx="179">
                  <c:v>132.41995694724639</c:v>
                </c:pt>
                <c:pt idx="180">
                  <c:v>132.41995694724639</c:v>
                </c:pt>
                <c:pt idx="181">
                  <c:v>132.41995694724639</c:v>
                </c:pt>
                <c:pt idx="182">
                  <c:v>133.56999460075892</c:v>
                </c:pt>
                <c:pt idx="183">
                  <c:v>134.09995763332583</c:v>
                </c:pt>
                <c:pt idx="184">
                  <c:v>132.65993404922153</c:v>
                </c:pt>
                <c:pt idx="185">
                  <c:v>134.76989147007706</c:v>
                </c:pt>
                <c:pt idx="186">
                  <c:v>139.10984026671812</c:v>
                </c:pt>
                <c:pt idx="187">
                  <c:v>139.10984026671812</c:v>
                </c:pt>
                <c:pt idx="188">
                  <c:v>139.10984026671812</c:v>
                </c:pt>
                <c:pt idx="189">
                  <c:v>136.35987075323757</c:v>
                </c:pt>
                <c:pt idx="190">
                  <c:v>139.50986397185815</c:v>
                </c:pt>
                <c:pt idx="191">
                  <c:v>139.15987688150116</c:v>
                </c:pt>
                <c:pt idx="192">
                  <c:v>135.15982195086531</c:v>
                </c:pt>
                <c:pt idx="193">
                  <c:v>128.54979166352675</c:v>
                </c:pt>
                <c:pt idx="194">
                  <c:v>128.54979166352675</c:v>
                </c:pt>
                <c:pt idx="195">
                  <c:v>128.54979166352675</c:v>
                </c:pt>
                <c:pt idx="196">
                  <c:v>128.14983602529182</c:v>
                </c:pt>
                <c:pt idx="197">
                  <c:v>128.14983602529182</c:v>
                </c:pt>
                <c:pt idx="198">
                  <c:v>128.97982117455004</c:v>
                </c:pt>
                <c:pt idx="199">
                  <c:v>129.34976149241837</c:v>
                </c:pt>
                <c:pt idx="200">
                  <c:v>129.69982131013441</c:v>
                </c:pt>
                <c:pt idx="201">
                  <c:v>129.69982131013441</c:v>
                </c:pt>
                <c:pt idx="202">
                  <c:v>129.69982131013441</c:v>
                </c:pt>
                <c:pt idx="203">
                  <c:v>127.34983480841473</c:v>
                </c:pt>
                <c:pt idx="204">
                  <c:v>123.89984366165592</c:v>
                </c:pt>
                <c:pt idx="205">
                  <c:v>119.41980950796462</c:v>
                </c:pt>
                <c:pt idx="206">
                  <c:v>117.25976733390671</c:v>
                </c:pt>
                <c:pt idx="207">
                  <c:v>118.14978969971467</c:v>
                </c:pt>
                <c:pt idx="208">
                  <c:v>118.14978969971467</c:v>
                </c:pt>
                <c:pt idx="209">
                  <c:v>118.14978969971467</c:v>
                </c:pt>
                <c:pt idx="210">
                  <c:v>125.87981753489765</c:v>
                </c:pt>
                <c:pt idx="211">
                  <c:v>127.24978876069531</c:v>
                </c:pt>
                <c:pt idx="212">
                  <c:v>131.1998217954922</c:v>
                </c:pt>
                <c:pt idx="213">
                  <c:v>129.33978632830483</c:v>
                </c:pt>
                <c:pt idx="214">
                  <c:v>125.12979439585627</c:v>
                </c:pt>
                <c:pt idx="215">
                  <c:v>125.12979439585627</c:v>
                </c:pt>
                <c:pt idx="216">
                  <c:v>125.12979439585627</c:v>
                </c:pt>
                <c:pt idx="217">
                  <c:v>132.52972406897135</c:v>
                </c:pt>
                <c:pt idx="218">
                  <c:v>124.80974227056764</c:v>
                </c:pt>
                <c:pt idx="219">
                  <c:v>119.93971027457864</c:v>
                </c:pt>
                <c:pt idx="220">
                  <c:v>118.26974152425618</c:v>
                </c:pt>
                <c:pt idx="221">
                  <c:v>119.18976733834083</c:v>
                </c:pt>
                <c:pt idx="222">
                  <c:v>119.18976733834083</c:v>
                </c:pt>
                <c:pt idx="223">
                  <c:v>119.18976733834083</c:v>
                </c:pt>
                <c:pt idx="224">
                  <c:v>120.20974704199213</c:v>
                </c:pt>
                <c:pt idx="225">
                  <c:v>121.97979585971242</c:v>
                </c:pt>
                <c:pt idx="226">
                  <c:v>121.61980124801828</c:v>
                </c:pt>
                <c:pt idx="227">
                  <c:v>118.97975936741472</c:v>
                </c:pt>
                <c:pt idx="228">
                  <c:v>119.46970462608631</c:v>
                </c:pt>
                <c:pt idx="229">
                  <c:v>119.46970462608631</c:v>
                </c:pt>
                <c:pt idx="230">
                  <c:v>119.46970462608631</c:v>
                </c:pt>
                <c:pt idx="231">
                  <c:v>118.20970735538526</c:v>
                </c:pt>
                <c:pt idx="232">
                  <c:v>117.16970901814025</c:v>
                </c:pt>
                <c:pt idx="233">
                  <c:v>118.93964994903179</c:v>
                </c:pt>
                <c:pt idx="234">
                  <c:v>118.20970502053002</c:v>
                </c:pt>
                <c:pt idx="235">
                  <c:v>118.75968110372136</c:v>
                </c:pt>
                <c:pt idx="236">
                  <c:v>118.75968110372136</c:v>
                </c:pt>
                <c:pt idx="237">
                  <c:v>118.75968110372136</c:v>
                </c:pt>
                <c:pt idx="238">
                  <c:v>117.62972991812782</c:v>
                </c:pt>
                <c:pt idx="239">
                  <c:v>117.93967538503969</c:v>
                </c:pt>
                <c:pt idx="240">
                  <c:v>117.67972088161221</c:v>
                </c:pt>
                <c:pt idx="241">
                  <c:v>117.96969038056764</c:v>
                </c:pt>
                <c:pt idx="242">
                  <c:v>117.89965798372529</c:v>
                </c:pt>
                <c:pt idx="243">
                  <c:v>117.89965798372529</c:v>
                </c:pt>
                <c:pt idx="244">
                  <c:v>117.89965798372529</c:v>
                </c:pt>
                <c:pt idx="245">
                  <c:v>115.70962196872328</c:v>
                </c:pt>
                <c:pt idx="246">
                  <c:v>115.56966710186293</c:v>
                </c:pt>
                <c:pt idx="247">
                  <c:v>114.52962359004177</c:v>
                </c:pt>
                <c:pt idx="248">
                  <c:v>111.79958941609026</c:v>
                </c:pt>
                <c:pt idx="249">
                  <c:v>112.99953144045648</c:v>
                </c:pt>
                <c:pt idx="250">
                  <c:v>112.99953144045648</c:v>
                </c:pt>
                <c:pt idx="251">
                  <c:v>112.99953144045648</c:v>
                </c:pt>
                <c:pt idx="252">
                  <c:v>111.45949558989095</c:v>
                </c:pt>
                <c:pt idx="253">
                  <c:v>108.70947207481439</c:v>
                </c:pt>
                <c:pt idx="254">
                  <c:v>108.71947426644691</c:v>
                </c:pt>
                <c:pt idx="255">
                  <c:v>109.64952150787671</c:v>
                </c:pt>
                <c:pt idx="256">
                  <c:v>109.44955716693272</c:v>
                </c:pt>
                <c:pt idx="257">
                  <c:v>109.44955716693272</c:v>
                </c:pt>
                <c:pt idx="258">
                  <c:v>109.44955716693272</c:v>
                </c:pt>
                <c:pt idx="259">
                  <c:v>109.35955425378185</c:v>
                </c:pt>
                <c:pt idx="260">
                  <c:v>110.71952214428005</c:v>
                </c:pt>
                <c:pt idx="261">
                  <c:v>110.7895411342769</c:v>
                </c:pt>
                <c:pt idx="262">
                  <c:v>108.52952236063896</c:v>
                </c:pt>
                <c:pt idx="263">
                  <c:v>109.50952308270611</c:v>
                </c:pt>
                <c:pt idx="264">
                  <c:v>109.50952308270611</c:v>
                </c:pt>
                <c:pt idx="265">
                  <c:v>109.50952308270611</c:v>
                </c:pt>
                <c:pt idx="266">
                  <c:v>110.13952114364777</c:v>
                </c:pt>
                <c:pt idx="267">
                  <c:v>108.01952985079605</c:v>
                </c:pt>
                <c:pt idx="268">
                  <c:v>105.83955258617853</c:v>
                </c:pt>
                <c:pt idx="269">
                  <c:v>105.36960415166213</c:v>
                </c:pt>
                <c:pt idx="270">
                  <c:v>106.05962809202887</c:v>
                </c:pt>
                <c:pt idx="271">
                  <c:v>106.05962809202887</c:v>
                </c:pt>
                <c:pt idx="272">
                  <c:v>106.05962809202887</c:v>
                </c:pt>
                <c:pt idx="273">
                  <c:v>104.49965720920979</c:v>
                </c:pt>
                <c:pt idx="274">
                  <c:v>101.6096748374821</c:v>
                </c:pt>
                <c:pt idx="275">
                  <c:v>99.709706382366122</c:v>
                </c:pt>
                <c:pt idx="276">
                  <c:v>99.319678006833286</c:v>
                </c:pt>
                <c:pt idx="277">
                  <c:v>100.30963378263411</c:v>
                </c:pt>
                <c:pt idx="278">
                  <c:v>100.30963378263411</c:v>
                </c:pt>
                <c:pt idx="279">
                  <c:v>100.30963378263411</c:v>
                </c:pt>
                <c:pt idx="280">
                  <c:v>103.53965691990754</c:v>
                </c:pt>
                <c:pt idx="281">
                  <c:v>101.3496927587759</c:v>
                </c:pt>
                <c:pt idx="282">
                  <c:v>100.96974361355809</c:v>
                </c:pt>
                <c:pt idx="283">
                  <c:v>104.52971201567597</c:v>
                </c:pt>
                <c:pt idx="284">
                  <c:v>104.52971201567597</c:v>
                </c:pt>
                <c:pt idx="285">
                  <c:v>104.52971201567597</c:v>
                </c:pt>
                <c:pt idx="286">
                  <c:v>104.52971201567597</c:v>
                </c:pt>
                <c:pt idx="287">
                  <c:v>103.50972716419994</c:v>
                </c:pt>
                <c:pt idx="288">
                  <c:v>102.17975546704095</c:v>
                </c:pt>
                <c:pt idx="289">
                  <c:v>103.91978840407886</c:v>
                </c:pt>
                <c:pt idx="290">
                  <c:v>103.96979787685761</c:v>
                </c:pt>
                <c:pt idx="291">
                  <c:v>104.9998463697448</c:v>
                </c:pt>
                <c:pt idx="292">
                  <c:v>104.9998463697448</c:v>
                </c:pt>
                <c:pt idx="293">
                  <c:v>104.9998463697448</c:v>
                </c:pt>
                <c:pt idx="294">
                  <c:v>103.16982010079687</c:v>
                </c:pt>
                <c:pt idx="295">
                  <c:v>104.35983530275418</c:v>
                </c:pt>
                <c:pt idx="296">
                  <c:v>102.13982618071631</c:v>
                </c:pt>
                <c:pt idx="297">
                  <c:v>102.63978457136341</c:v>
                </c:pt>
                <c:pt idx="298">
                  <c:v>101.429828151346</c:v>
                </c:pt>
                <c:pt idx="299">
                  <c:v>101.429828151346</c:v>
                </c:pt>
                <c:pt idx="300">
                  <c:v>101.429828151346</c:v>
                </c:pt>
                <c:pt idx="301">
                  <c:v>100.49980297461887</c:v>
                </c:pt>
                <c:pt idx="302">
                  <c:v>98.689831465540848</c:v>
                </c:pt>
                <c:pt idx="303">
                  <c:v>98.319853855482677</c:v>
                </c:pt>
                <c:pt idx="304">
                  <c:v>97.039897606058773</c:v>
                </c:pt>
                <c:pt idx="305">
                  <c:v>99.299863192455874</c:v>
                </c:pt>
                <c:pt idx="306">
                  <c:v>99.299863192455874</c:v>
                </c:pt>
                <c:pt idx="307">
                  <c:v>99.299863192455874</c:v>
                </c:pt>
                <c:pt idx="308">
                  <c:v>88.269840467338227</c:v>
                </c:pt>
                <c:pt idx="309">
                  <c:v>84.909871925379051</c:v>
                </c:pt>
                <c:pt idx="310">
                  <c:v>84.789894225050617</c:v>
                </c:pt>
                <c:pt idx="311">
                  <c:v>83.219868191745149</c:v>
                </c:pt>
                <c:pt idx="312">
                  <c:v>83.07987859631038</c:v>
                </c:pt>
                <c:pt idx="313">
                  <c:v>83.07987859631038</c:v>
                </c:pt>
                <c:pt idx="314">
                  <c:v>83.07987859631038</c:v>
                </c:pt>
                <c:pt idx="315">
                  <c:v>87.749837181259849</c:v>
                </c:pt>
                <c:pt idx="316">
                  <c:v>89.87980889239175</c:v>
                </c:pt>
                <c:pt idx="317">
                  <c:v>89.839830167967008</c:v>
                </c:pt>
                <c:pt idx="318">
                  <c:v>92.209806617653939</c:v>
                </c:pt>
                <c:pt idx="319">
                  <c:v>92.429789516703693</c:v>
                </c:pt>
                <c:pt idx="320">
                  <c:v>92.429789516703693</c:v>
                </c:pt>
                <c:pt idx="321">
                  <c:v>92.429789516703693</c:v>
                </c:pt>
                <c:pt idx="322">
                  <c:v>90.879833948708466</c:v>
                </c:pt>
                <c:pt idx="323">
                  <c:v>89.31986254928519</c:v>
                </c:pt>
                <c:pt idx="324">
                  <c:v>100.89983377176991</c:v>
                </c:pt>
                <c:pt idx="325">
                  <c:v>100.43981939892284</c:v>
                </c:pt>
                <c:pt idx="326">
                  <c:v>96.009829840263237</c:v>
                </c:pt>
                <c:pt idx="327">
                  <c:v>96.009829840263237</c:v>
                </c:pt>
                <c:pt idx="328">
                  <c:v>96.009829840263237</c:v>
                </c:pt>
                <c:pt idx="329">
                  <c:v>95.7197988497485</c:v>
                </c:pt>
                <c:pt idx="330">
                  <c:v>95.239790306603226</c:v>
                </c:pt>
                <c:pt idx="331">
                  <c:v>100.94981467400922</c:v>
                </c:pt>
                <c:pt idx="332">
                  <c:v>100.08984274514296</c:v>
                </c:pt>
                <c:pt idx="333">
                  <c:v>99.479832412787758</c:v>
                </c:pt>
                <c:pt idx="334">
                  <c:v>99.479832412787758</c:v>
                </c:pt>
                <c:pt idx="335">
                  <c:v>99.479832412787758</c:v>
                </c:pt>
                <c:pt idx="336">
                  <c:v>98.569835689700454</c:v>
                </c:pt>
                <c:pt idx="337">
                  <c:v>99.819880047535747</c:v>
                </c:pt>
                <c:pt idx="338">
                  <c:v>101.51982959408875</c:v>
                </c:pt>
                <c:pt idx="339">
                  <c:v>99.079791567164207</c:v>
                </c:pt>
                <c:pt idx="340">
                  <c:v>99.89976887004957</c:v>
                </c:pt>
                <c:pt idx="341">
                  <c:v>99.89976887004957</c:v>
                </c:pt>
                <c:pt idx="342">
                  <c:v>99.89976887004957</c:v>
                </c:pt>
                <c:pt idx="343">
                  <c:v>99.469761092845189</c:v>
                </c:pt>
                <c:pt idx="344">
                  <c:v>99.469761092845189</c:v>
                </c:pt>
                <c:pt idx="345">
                  <c:v>98.339739150269452</c:v>
                </c:pt>
                <c:pt idx="346">
                  <c:v>97.969707564797218</c:v>
                </c:pt>
                <c:pt idx="347">
                  <c:v>97.669666349770722</c:v>
                </c:pt>
                <c:pt idx="348">
                  <c:v>97.669666349770722</c:v>
                </c:pt>
                <c:pt idx="349">
                  <c:v>97.669666349770722</c:v>
                </c:pt>
                <c:pt idx="350">
                  <c:v>98.21969665101642</c:v>
                </c:pt>
                <c:pt idx="351">
                  <c:v>97.709652266186922</c:v>
                </c:pt>
                <c:pt idx="352">
                  <c:v>97.729686851991588</c:v>
                </c:pt>
                <c:pt idx="353">
                  <c:v>95.759717934640165</c:v>
                </c:pt>
                <c:pt idx="354">
                  <c:v>97.709710629676607</c:v>
                </c:pt>
                <c:pt idx="355">
                  <c:v>97.709710629676607</c:v>
                </c:pt>
                <c:pt idx="356">
                  <c:v>97.709710629676607</c:v>
                </c:pt>
                <c:pt idx="357">
                  <c:v>97.27973420449274</c:v>
                </c:pt>
                <c:pt idx="358">
                  <c:v>99.24974234020344</c:v>
                </c:pt>
                <c:pt idx="359">
                  <c:v>99.24974234020344</c:v>
                </c:pt>
                <c:pt idx="360">
                  <c:v>97.679735944369597</c:v>
                </c:pt>
                <c:pt idx="361">
                  <c:v>95.659783946554171</c:v>
                </c:pt>
                <c:pt idx="362">
                  <c:v>95.659783946554171</c:v>
                </c:pt>
                <c:pt idx="363">
                  <c:v>95.659783946554171</c:v>
                </c:pt>
                <c:pt idx="364">
                  <c:v>95.619814863941031</c:v>
                </c:pt>
                <c:pt idx="365">
                  <c:v>97.459856963410218</c:v>
                </c:pt>
                <c:pt idx="366">
                  <c:v>92.189825583906227</c:v>
                </c:pt>
                <c:pt idx="367">
                  <c:v>92.649831999785164</c:v>
                </c:pt>
                <c:pt idx="368">
                  <c:v>94.169827180302434</c:v>
                </c:pt>
                <c:pt idx="369">
                  <c:v>94.169827180302434</c:v>
                </c:pt>
                <c:pt idx="370">
                  <c:v>94.169827180302434</c:v>
                </c:pt>
                <c:pt idx="371">
                  <c:v>97.189806022850462</c:v>
                </c:pt>
                <c:pt idx="372">
                  <c:v>97.40975725473163</c:v>
                </c:pt>
                <c:pt idx="373">
                  <c:v>94.479751210200874</c:v>
                </c:pt>
                <c:pt idx="374">
                  <c:v>93.109734575654699</c:v>
                </c:pt>
                <c:pt idx="375">
                  <c:v>92.779717121852272</c:v>
                </c:pt>
                <c:pt idx="376">
                  <c:v>92.779717121852272</c:v>
                </c:pt>
                <c:pt idx="377">
                  <c:v>92.779717121852272</c:v>
                </c:pt>
                <c:pt idx="378">
                  <c:v>93.709692106315345</c:v>
                </c:pt>
                <c:pt idx="379">
                  <c:v>95.449643660604508</c:v>
                </c:pt>
                <c:pt idx="380">
                  <c:v>95.089634305125287</c:v>
                </c:pt>
                <c:pt idx="381">
                  <c:v>94.749672480266113</c:v>
                </c:pt>
                <c:pt idx="382">
                  <c:v>94.749672480266113</c:v>
                </c:pt>
                <c:pt idx="383">
                  <c:v>94.749672480266113</c:v>
                </c:pt>
                <c:pt idx="384">
                  <c:v>94.749672480266113</c:v>
                </c:pt>
                <c:pt idx="385">
                  <c:v>92.509643961385137</c:v>
                </c:pt>
                <c:pt idx="386">
                  <c:v>95.319667767161036</c:v>
                </c:pt>
                <c:pt idx="387">
                  <c:v>95.649659091025072</c:v>
                </c:pt>
                <c:pt idx="388">
                  <c:v>97.499616820578723</c:v>
                </c:pt>
                <c:pt idx="389">
                  <c:v>94.779630970973741</c:v>
                </c:pt>
                <c:pt idx="390">
                  <c:v>94.779630970973741</c:v>
                </c:pt>
                <c:pt idx="391">
                  <c:v>94.779630970973741</c:v>
                </c:pt>
                <c:pt idx="392">
                  <c:v>93.189629512235982</c:v>
                </c:pt>
                <c:pt idx="393">
                  <c:v>90.249656695716325</c:v>
                </c:pt>
                <c:pt idx="394">
                  <c:v>86.17965034869836</c:v>
                </c:pt>
                <c:pt idx="395">
                  <c:v>87.529619672913697</c:v>
                </c:pt>
                <c:pt idx="396">
                  <c:v>87.25963835185307</c:v>
                </c:pt>
                <c:pt idx="397">
                  <c:v>87.25963835185307</c:v>
                </c:pt>
                <c:pt idx="398">
                  <c:v>87.25963835185307</c:v>
                </c:pt>
                <c:pt idx="399">
                  <c:v>88.669663338258047</c:v>
                </c:pt>
                <c:pt idx="400">
                  <c:v>86.019655801966849</c:v>
                </c:pt>
                <c:pt idx="401">
                  <c:v>89.63966399264585</c:v>
                </c:pt>
                <c:pt idx="402">
                  <c:v>91.359692931466569</c:v>
                </c:pt>
                <c:pt idx="403">
                  <c:v>88.589671095647844</c:v>
                </c:pt>
                <c:pt idx="404">
                  <c:v>88.589671095647844</c:v>
                </c:pt>
                <c:pt idx="405">
                  <c:v>88.589671095647844</c:v>
                </c:pt>
                <c:pt idx="406">
                  <c:v>88.119640930922316</c:v>
                </c:pt>
                <c:pt idx="407">
                  <c:v>85.409677280489674</c:v>
                </c:pt>
                <c:pt idx="408">
                  <c:v>82.84970426830337</c:v>
                </c:pt>
                <c:pt idx="409">
                  <c:v>84.499730505891918</c:v>
                </c:pt>
                <c:pt idx="410">
                  <c:v>84.729771836427815</c:v>
                </c:pt>
                <c:pt idx="411">
                  <c:v>84.729771836427815</c:v>
                </c:pt>
                <c:pt idx="412">
                  <c:v>84.729771836427815</c:v>
                </c:pt>
                <c:pt idx="413">
                  <c:v>83.339748176590476</c:v>
                </c:pt>
                <c:pt idx="414">
                  <c:v>83.78978310162934</c:v>
                </c:pt>
                <c:pt idx="415">
                  <c:v>81.069809909360387</c:v>
                </c:pt>
                <c:pt idx="416">
                  <c:v>77.839845519527572</c:v>
                </c:pt>
                <c:pt idx="417">
                  <c:v>77.299828914729289</c:v>
                </c:pt>
                <c:pt idx="418">
                  <c:v>77.299828914729289</c:v>
                </c:pt>
                <c:pt idx="419">
                  <c:v>77.299828914729289</c:v>
                </c:pt>
                <c:pt idx="420">
                  <c:v>80.80980269477692</c:v>
                </c:pt>
                <c:pt idx="421">
                  <c:v>80.129821033486763</c:v>
                </c:pt>
                <c:pt idx="422">
                  <c:v>82.129847069318799</c:v>
                </c:pt>
                <c:pt idx="423">
                  <c:v>80.989834163631528</c:v>
                </c:pt>
                <c:pt idx="424">
                  <c:v>86.3698096038557</c:v>
                </c:pt>
                <c:pt idx="425">
                  <c:v>86.3698096038557</c:v>
                </c:pt>
                <c:pt idx="426">
                  <c:v>86.3698096038557</c:v>
                </c:pt>
                <c:pt idx="427">
                  <c:v>87.69977671778085</c:v>
                </c:pt>
                <c:pt idx="428">
                  <c:v>86.439744561310619</c:v>
                </c:pt>
                <c:pt idx="429">
                  <c:v>86.839728350091136</c:v>
                </c:pt>
                <c:pt idx="430">
                  <c:v>86.679717591417386</c:v>
                </c:pt>
                <c:pt idx="431">
                  <c:v>85.829745620537196</c:v>
                </c:pt>
                <c:pt idx="432">
                  <c:v>85.829745620537196</c:v>
                </c:pt>
                <c:pt idx="433">
                  <c:v>85.829745620537196</c:v>
                </c:pt>
                <c:pt idx="434">
                  <c:v>84.559742842781475</c:v>
                </c:pt>
                <c:pt idx="435">
                  <c:v>86.939717612421518</c:v>
                </c:pt>
                <c:pt idx="436">
                  <c:v>87.08968605180273</c:v>
                </c:pt>
                <c:pt idx="437">
                  <c:v>87.309706512213509</c:v>
                </c:pt>
                <c:pt idx="438">
                  <c:v>87.419680470245069</c:v>
                </c:pt>
                <c:pt idx="439">
                  <c:v>87.419680470245069</c:v>
                </c:pt>
                <c:pt idx="440">
                  <c:v>87.419680470245069</c:v>
                </c:pt>
                <c:pt idx="441">
                  <c:v>87.419680470245069</c:v>
                </c:pt>
                <c:pt idx="442">
                  <c:v>87.209679561860113</c:v>
                </c:pt>
                <c:pt idx="443">
                  <c:v>87.049682245892157</c:v>
                </c:pt>
                <c:pt idx="444">
                  <c:v>87.549678459574778</c:v>
                </c:pt>
                <c:pt idx="445">
                  <c:v>85.059725125962473</c:v>
                </c:pt>
                <c:pt idx="446">
                  <c:v>85.059725125962473</c:v>
                </c:pt>
                <c:pt idx="447">
                  <c:v>85.059725125962473</c:v>
                </c:pt>
                <c:pt idx="448">
                  <c:v>85.059725125962473</c:v>
                </c:pt>
                <c:pt idx="449">
                  <c:v>83.469710608579632</c:v>
                </c:pt>
                <c:pt idx="450">
                  <c:v>79.759688689201425</c:v>
                </c:pt>
                <c:pt idx="451">
                  <c:v>78.349707355629519</c:v>
                </c:pt>
                <c:pt idx="452">
                  <c:v>76.71972018067099</c:v>
                </c:pt>
                <c:pt idx="453">
                  <c:v>76.71972018067099</c:v>
                </c:pt>
                <c:pt idx="454">
                  <c:v>76.71972018067099</c:v>
                </c:pt>
                <c:pt idx="455">
                  <c:v>77.529751019320855</c:v>
                </c:pt>
                <c:pt idx="456">
                  <c:v>80.159710976757282</c:v>
                </c:pt>
                <c:pt idx="457">
                  <c:v>80.429713525060905</c:v>
                </c:pt>
                <c:pt idx="458">
                  <c:v>81.449708221113909</c:v>
                </c:pt>
                <c:pt idx="459">
                  <c:v>81.589716174068627</c:v>
                </c:pt>
                <c:pt idx="460">
                  <c:v>81.589716174068627</c:v>
                </c:pt>
                <c:pt idx="461">
                  <c:v>81.589716174068627</c:v>
                </c:pt>
                <c:pt idx="462">
                  <c:v>81.829722750897005</c:v>
                </c:pt>
                <c:pt idx="463">
                  <c:v>82.179726204803274</c:v>
                </c:pt>
                <c:pt idx="464">
                  <c:v>81.449692609940371</c:v>
                </c:pt>
                <c:pt idx="465">
                  <c:v>83.449646846257792</c:v>
                </c:pt>
                <c:pt idx="466">
                  <c:v>83.889648050281508</c:v>
                </c:pt>
                <c:pt idx="467">
                  <c:v>83.889648050281508</c:v>
                </c:pt>
                <c:pt idx="468">
                  <c:v>83.889648050281508</c:v>
                </c:pt>
                <c:pt idx="469">
                  <c:v>85.429602056960277</c:v>
                </c:pt>
                <c:pt idx="470">
                  <c:v>84.89957401637605</c:v>
                </c:pt>
                <c:pt idx="471">
                  <c:v>85.599607607389274</c:v>
                </c:pt>
                <c:pt idx="472">
                  <c:v>82.189641568359605</c:v>
                </c:pt>
                <c:pt idx="473">
                  <c:v>81.439663705297519</c:v>
                </c:pt>
                <c:pt idx="474">
                  <c:v>81.439663705297519</c:v>
                </c:pt>
                <c:pt idx="475">
                  <c:v>81.439663705297519</c:v>
                </c:pt>
                <c:pt idx="476">
                  <c:v>83.4996844196138</c:v>
                </c:pt>
                <c:pt idx="477">
                  <c:v>82.079705514217835</c:v>
                </c:pt>
                <c:pt idx="478">
                  <c:v>82.559707654521219</c:v>
                </c:pt>
                <c:pt idx="479">
                  <c:v>88.929649519988459</c:v>
                </c:pt>
                <c:pt idx="480">
                  <c:v>88.929649519988459</c:v>
                </c:pt>
                <c:pt idx="481">
                  <c:v>88.929649519988459</c:v>
                </c:pt>
                <c:pt idx="482">
                  <c:v>88.929649519988459</c:v>
                </c:pt>
                <c:pt idx="483">
                  <c:v>75.709679537267945</c:v>
                </c:pt>
                <c:pt idx="484">
                  <c:v>74.309685070539004</c:v>
                </c:pt>
                <c:pt idx="485">
                  <c:v>72.939659447143299</c:v>
                </c:pt>
                <c:pt idx="486">
                  <c:v>73.909649689670545</c:v>
                </c:pt>
                <c:pt idx="487">
                  <c:v>71.309629295912274</c:v>
                </c:pt>
                <c:pt idx="488">
                  <c:v>71.309629295912274</c:v>
                </c:pt>
                <c:pt idx="489">
                  <c:v>71.309629295912274</c:v>
                </c:pt>
                <c:pt idx="490">
                  <c:v>70.169653111463447</c:v>
                </c:pt>
                <c:pt idx="491">
                  <c:v>69.599632124364902</c:v>
                </c:pt>
                <c:pt idx="492">
                  <c:v>68.599654954098995</c:v>
                </c:pt>
                <c:pt idx="493">
                  <c:v>67.499680166112029</c:v>
                </c:pt>
                <c:pt idx="494">
                  <c:v>69.999647579776152</c:v>
                </c:pt>
                <c:pt idx="495">
                  <c:v>69.999647579776152</c:v>
                </c:pt>
                <c:pt idx="496">
                  <c:v>69.999647579776152</c:v>
                </c:pt>
                <c:pt idx="497">
                  <c:v>67.209640964075462</c:v>
                </c:pt>
                <c:pt idx="498">
                  <c:v>68.429603943174371</c:v>
                </c:pt>
                <c:pt idx="499">
                  <c:v>69.2795952978841</c:v>
                </c:pt>
                <c:pt idx="500">
                  <c:v>71.509549076278773</c:v>
                </c:pt>
                <c:pt idx="501">
                  <c:v>68.00957244931945</c:v>
                </c:pt>
                <c:pt idx="502">
                  <c:v>68.00957244931945</c:v>
                </c:pt>
                <c:pt idx="503">
                  <c:v>68.00957244931945</c:v>
                </c:pt>
                <c:pt idx="504">
                  <c:v>69.11956351988529</c:v>
                </c:pt>
                <c:pt idx="505">
                  <c:v>69.649526769071144</c:v>
                </c:pt>
                <c:pt idx="506">
                  <c:v>70.179522523166099</c:v>
                </c:pt>
                <c:pt idx="507">
                  <c:v>69.389522806019571</c:v>
                </c:pt>
                <c:pt idx="508">
                  <c:v>66.849508867105044</c:v>
                </c:pt>
                <c:pt idx="509">
                  <c:v>66.849508867105044</c:v>
                </c:pt>
                <c:pt idx="510">
                  <c:v>66.849508867105044</c:v>
                </c:pt>
                <c:pt idx="511">
                  <c:v>65.04952350227363</c:v>
                </c:pt>
                <c:pt idx="512">
                  <c:v>64.499535959149966</c:v>
                </c:pt>
                <c:pt idx="513">
                  <c:v>63.759542706498351</c:v>
                </c:pt>
                <c:pt idx="514">
                  <c:v>66.959539079087961</c:v>
                </c:pt>
                <c:pt idx="515">
                  <c:v>66.959539079087961</c:v>
                </c:pt>
                <c:pt idx="516">
                  <c:v>66.959539079087961</c:v>
                </c:pt>
                <c:pt idx="517">
                  <c:v>66.959539079087961</c:v>
                </c:pt>
                <c:pt idx="518">
                  <c:v>68.07951518336958</c:v>
                </c:pt>
                <c:pt idx="519">
                  <c:v>68.479503966035196</c:v>
                </c:pt>
                <c:pt idx="520">
                  <c:v>68.449523074928379</c:v>
                </c:pt>
                <c:pt idx="521">
                  <c:v>68.989503922126872</c:v>
                </c:pt>
                <c:pt idx="522">
                  <c:v>67.639487393245076</c:v>
                </c:pt>
                <c:pt idx="523">
                  <c:v>67.639487393245076</c:v>
                </c:pt>
                <c:pt idx="524">
                  <c:v>67.639487393245076</c:v>
                </c:pt>
                <c:pt idx="525">
                  <c:v>68.399473948284466</c:v>
                </c:pt>
                <c:pt idx="526">
                  <c:v>69.319482114913612</c:v>
                </c:pt>
                <c:pt idx="527">
                  <c:v>70.589457036456494</c:v>
                </c:pt>
                <c:pt idx="528">
                  <c:v>71.959420483623717</c:v>
                </c:pt>
                <c:pt idx="529">
                  <c:v>71.959420483623717</c:v>
                </c:pt>
                <c:pt idx="530">
                  <c:v>71.959420483623717</c:v>
                </c:pt>
                <c:pt idx="531">
                  <c:v>71.959420483623717</c:v>
                </c:pt>
                <c:pt idx="532">
                  <c:v>73.399444178970953</c:v>
                </c:pt>
                <c:pt idx="533">
                  <c:v>74.079419167509528</c:v>
                </c:pt>
                <c:pt idx="534">
                  <c:v>73.58938743656941</c:v>
                </c:pt>
                <c:pt idx="535">
                  <c:v>73.429384807074811</c:v>
                </c:pt>
                <c:pt idx="536">
                  <c:v>73.429384807074811</c:v>
                </c:pt>
                <c:pt idx="537">
                  <c:v>73.429384807074811</c:v>
                </c:pt>
                <c:pt idx="538">
                  <c:v>73.429384807074811</c:v>
                </c:pt>
                <c:pt idx="539">
                  <c:v>76.379385825825665</c:v>
                </c:pt>
                <c:pt idx="540">
                  <c:v>75.469376088945182</c:v>
                </c:pt>
                <c:pt idx="541">
                  <c:v>77.649382502708733</c:v>
                </c:pt>
                <c:pt idx="542">
                  <c:v>75.629396939842465</c:v>
                </c:pt>
                <c:pt idx="543">
                  <c:v>74.889414633845433</c:v>
                </c:pt>
                <c:pt idx="544">
                  <c:v>74.889414633845433</c:v>
                </c:pt>
                <c:pt idx="545">
                  <c:v>74.889414633845433</c:v>
                </c:pt>
                <c:pt idx="546">
                  <c:v>76.079372092748102</c:v>
                </c:pt>
                <c:pt idx="547">
                  <c:v>74.009403097513754</c:v>
                </c:pt>
                <c:pt idx="548">
                  <c:v>71.349425177472412</c:v>
                </c:pt>
                <c:pt idx="549">
                  <c:v>71.62942459822689</c:v>
                </c:pt>
                <c:pt idx="550">
                  <c:v>70.629452805407922</c:v>
                </c:pt>
                <c:pt idx="551">
                  <c:v>70.629452805407922</c:v>
                </c:pt>
                <c:pt idx="552">
                  <c:v>70.629452805407922</c:v>
                </c:pt>
                <c:pt idx="553">
                  <c:v>68.779490840276992</c:v>
                </c:pt>
                <c:pt idx="554">
                  <c:v>68.309521333502502</c:v>
                </c:pt>
                <c:pt idx="555">
                  <c:v>68.329541889276058</c:v>
                </c:pt>
                <c:pt idx="556">
                  <c:v>68.759564203806661</c:v>
                </c:pt>
                <c:pt idx="557">
                  <c:v>71.599560782233965</c:v>
                </c:pt>
                <c:pt idx="558">
                  <c:v>71.599560782233965</c:v>
                </c:pt>
                <c:pt idx="559">
                  <c:v>71.599560782233965</c:v>
                </c:pt>
                <c:pt idx="560">
                  <c:v>70.459594994812889</c:v>
                </c:pt>
                <c:pt idx="561">
                  <c:v>70.369592286278746</c:v>
                </c:pt>
                <c:pt idx="562">
                  <c:v>69.02958988738483</c:v>
                </c:pt>
                <c:pt idx="563">
                  <c:v>69.189556141183246</c:v>
                </c:pt>
                <c:pt idx="564">
                  <c:v>67.269548682682142</c:v>
                </c:pt>
                <c:pt idx="565">
                  <c:v>67.269548682682142</c:v>
                </c:pt>
                <c:pt idx="566">
                  <c:v>67.269548682682142</c:v>
                </c:pt>
                <c:pt idx="567">
                  <c:v>66.829542971756112</c:v>
                </c:pt>
                <c:pt idx="568">
                  <c:v>66.829542971756112</c:v>
                </c:pt>
                <c:pt idx="569">
                  <c:v>65.849569675840243</c:v>
                </c:pt>
                <c:pt idx="570">
                  <c:v>67.28956639673028</c:v>
                </c:pt>
                <c:pt idx="571">
                  <c:v>66.469597442677411</c:v>
                </c:pt>
                <c:pt idx="572">
                  <c:v>66.469597442677411</c:v>
                </c:pt>
                <c:pt idx="573">
                  <c:v>66.469597442677411</c:v>
                </c:pt>
                <c:pt idx="574">
                  <c:v>66.299605254804092</c:v>
                </c:pt>
                <c:pt idx="575">
                  <c:v>68.049567944053365</c:v>
                </c:pt>
                <c:pt idx="576">
                  <c:v>67.629588201323145</c:v>
                </c:pt>
                <c:pt idx="577">
                  <c:v>63.459594769429174</c:v>
                </c:pt>
                <c:pt idx="578">
                  <c:v>64.009564951492393</c:v>
                </c:pt>
                <c:pt idx="579">
                  <c:v>64.009564951492393</c:v>
                </c:pt>
                <c:pt idx="580">
                  <c:v>64.009564951492393</c:v>
                </c:pt>
                <c:pt idx="581">
                  <c:v>76.809480895287592</c:v>
                </c:pt>
                <c:pt idx="582">
                  <c:v>78.839438764598484</c:v>
                </c:pt>
                <c:pt idx="583">
                  <c:v>77.699432688197248</c:v>
                </c:pt>
                <c:pt idx="584">
                  <c:v>77.469425962514535</c:v>
                </c:pt>
                <c:pt idx="585">
                  <c:v>79.079403539168482</c:v>
                </c:pt>
                <c:pt idx="586">
                  <c:v>79.079403539168482</c:v>
                </c:pt>
                <c:pt idx="587">
                  <c:v>79.079403539168482</c:v>
                </c:pt>
                <c:pt idx="588">
                  <c:v>75.679429489905004</c:v>
                </c:pt>
                <c:pt idx="589">
                  <c:v>70.759453900733135</c:v>
                </c:pt>
                <c:pt idx="590">
                  <c:v>70.959417539359038</c:v>
                </c:pt>
                <c:pt idx="591">
                  <c:v>67.949460296600535</c:v>
                </c:pt>
                <c:pt idx="592">
                  <c:v>66.859450672290194</c:v>
                </c:pt>
                <c:pt idx="593">
                  <c:v>66.859450672290194</c:v>
                </c:pt>
                <c:pt idx="594">
                  <c:v>66.859450672290194</c:v>
                </c:pt>
                <c:pt idx="595">
                  <c:v>66.219439786751238</c:v>
                </c:pt>
                <c:pt idx="596">
                  <c:v>71.66939563935469</c:v>
                </c:pt>
                <c:pt idx="597">
                  <c:v>76.519344748184096</c:v>
                </c:pt>
                <c:pt idx="598">
                  <c:v>73.639382151616516</c:v>
                </c:pt>
                <c:pt idx="599">
                  <c:v>74.059372855077669</c:v>
                </c:pt>
                <c:pt idx="600">
                  <c:v>74.059372855077669</c:v>
                </c:pt>
                <c:pt idx="601">
                  <c:v>74.059372855077669</c:v>
                </c:pt>
                <c:pt idx="602">
                  <c:v>75.869388865235592</c:v>
                </c:pt>
                <c:pt idx="603">
                  <c:v>76.76935602592755</c:v>
                </c:pt>
                <c:pt idx="604">
                  <c:v>79.589366458277226</c:v>
                </c:pt>
                <c:pt idx="605">
                  <c:v>80.869366795923085</c:v>
                </c:pt>
                <c:pt idx="606">
                  <c:v>80.239407209918014</c:v>
                </c:pt>
                <c:pt idx="607">
                  <c:v>80.239407209918014</c:v>
                </c:pt>
                <c:pt idx="608">
                  <c:v>80.239407209918014</c:v>
                </c:pt>
                <c:pt idx="609">
                  <c:v>84.489392638415595</c:v>
                </c:pt>
                <c:pt idx="610">
                  <c:v>84.769385920109713</c:v>
                </c:pt>
                <c:pt idx="611">
                  <c:v>85.159416045598547</c:v>
                </c:pt>
                <c:pt idx="612">
                  <c:v>83.959384562053131</c:v>
                </c:pt>
                <c:pt idx="613">
                  <c:v>82.14938711573221</c:v>
                </c:pt>
                <c:pt idx="614">
                  <c:v>82.14938711573221</c:v>
                </c:pt>
                <c:pt idx="615">
                  <c:v>82.14938711573221</c:v>
                </c:pt>
                <c:pt idx="616">
                  <c:v>78.159426549791888</c:v>
                </c:pt>
                <c:pt idx="617">
                  <c:v>79.369413254862252</c:v>
                </c:pt>
                <c:pt idx="618">
                  <c:v>76.399460622618562</c:v>
                </c:pt>
                <c:pt idx="619">
                  <c:v>78.309427560827146</c:v>
                </c:pt>
                <c:pt idx="620">
                  <c:v>78.149455625162432</c:v>
                </c:pt>
                <c:pt idx="621">
                  <c:v>78.149455625162432</c:v>
                </c:pt>
                <c:pt idx="622">
                  <c:v>78.149455625162432</c:v>
                </c:pt>
                <c:pt idx="623">
                  <c:v>77.68945635408987</c:v>
                </c:pt>
                <c:pt idx="624">
                  <c:v>75.429439488146031</c:v>
                </c:pt>
                <c:pt idx="625">
                  <c:v>74.36945169316337</c:v>
                </c:pt>
                <c:pt idx="626">
                  <c:v>75.099418036477928</c:v>
                </c:pt>
                <c:pt idx="627">
                  <c:v>76.349410586601778</c:v>
                </c:pt>
                <c:pt idx="628">
                  <c:v>76.349410586601778</c:v>
                </c:pt>
                <c:pt idx="629">
                  <c:v>76.349410586601778</c:v>
                </c:pt>
                <c:pt idx="630">
                  <c:v>75.719424970844344</c:v>
                </c:pt>
                <c:pt idx="631">
                  <c:v>78.289432160372911</c:v>
                </c:pt>
                <c:pt idx="632">
                  <c:v>79.059391574921065</c:v>
                </c:pt>
                <c:pt idx="633">
                  <c:v>80.709414852158602</c:v>
                </c:pt>
                <c:pt idx="634">
                  <c:v>83.379389668110861</c:v>
                </c:pt>
                <c:pt idx="635">
                  <c:v>83.379389668110861</c:v>
                </c:pt>
                <c:pt idx="636">
                  <c:v>83.379389668110861</c:v>
                </c:pt>
                <c:pt idx="637">
                  <c:v>85.369349197914232</c:v>
                </c:pt>
                <c:pt idx="638">
                  <c:v>85.329329742265116</c:v>
                </c:pt>
                <c:pt idx="639">
                  <c:v>85.799338518670382</c:v>
                </c:pt>
                <c:pt idx="640">
                  <c:v>86.529299690862501</c:v>
                </c:pt>
                <c:pt idx="641">
                  <c:v>83.88930331552298</c:v>
                </c:pt>
                <c:pt idx="642">
                  <c:v>83.88930331552298</c:v>
                </c:pt>
                <c:pt idx="643">
                  <c:v>83.88930331552298</c:v>
                </c:pt>
                <c:pt idx="644">
                  <c:v>84.309332409587554</c:v>
                </c:pt>
                <c:pt idx="645">
                  <c:v>83.469380038262514</c:v>
                </c:pt>
                <c:pt idx="646">
                  <c:v>81.419402326486249</c:v>
                </c:pt>
                <c:pt idx="647">
                  <c:v>79.929437678717292</c:v>
                </c:pt>
                <c:pt idx="648">
                  <c:v>79.929437678717292</c:v>
                </c:pt>
                <c:pt idx="649">
                  <c:v>79.929437678717292</c:v>
                </c:pt>
                <c:pt idx="650">
                  <c:v>79.929437678717292</c:v>
                </c:pt>
                <c:pt idx="651">
                  <c:v>80.029474521869631</c:v>
                </c:pt>
                <c:pt idx="652">
                  <c:v>80.279464775179534</c:v>
                </c:pt>
                <c:pt idx="653">
                  <c:v>78.799453440657103</c:v>
                </c:pt>
                <c:pt idx="654">
                  <c:v>76.209474451425407</c:v>
                </c:pt>
                <c:pt idx="655">
                  <c:v>75.909480185731411</c:v>
                </c:pt>
                <c:pt idx="656">
                  <c:v>75.909480185731411</c:v>
                </c:pt>
                <c:pt idx="657">
                  <c:v>75.909480185731411</c:v>
                </c:pt>
                <c:pt idx="658">
                  <c:v>74.509520799430902</c:v>
                </c:pt>
                <c:pt idx="659">
                  <c:v>77.669504593830908</c:v>
                </c:pt>
                <c:pt idx="660">
                  <c:v>74.589552780421727</c:v>
                </c:pt>
                <c:pt idx="661">
                  <c:v>73.339553431731304</c:v>
                </c:pt>
                <c:pt idx="662">
                  <c:v>72.179555790620242</c:v>
                </c:pt>
                <c:pt idx="663">
                  <c:v>72.179555790620242</c:v>
                </c:pt>
                <c:pt idx="664">
                  <c:v>72.179555790620242</c:v>
                </c:pt>
                <c:pt idx="665">
                  <c:v>71.18959330610555</c:v>
                </c:pt>
                <c:pt idx="666">
                  <c:v>72.739601473913169</c:v>
                </c:pt>
                <c:pt idx="667">
                  <c:v>73.689607898946377</c:v>
                </c:pt>
                <c:pt idx="668">
                  <c:v>75.259598380767571</c:v>
                </c:pt>
                <c:pt idx="669">
                  <c:v>74.619586190015809</c:v>
                </c:pt>
                <c:pt idx="670">
                  <c:v>74.619586190015809</c:v>
                </c:pt>
                <c:pt idx="671">
                  <c:v>74.619586190015809</c:v>
                </c:pt>
                <c:pt idx="672">
                  <c:v>77.089534887821614</c:v>
                </c:pt>
                <c:pt idx="673">
                  <c:v>80.929476698197703</c:v>
                </c:pt>
                <c:pt idx="674">
                  <c:v>85.299452973482161</c:v>
                </c:pt>
                <c:pt idx="675">
                  <c:v>85.799492415278408</c:v>
                </c:pt>
                <c:pt idx="676">
                  <c:v>84.83953309827146</c:v>
                </c:pt>
                <c:pt idx="677">
                  <c:v>84.83953309827146</c:v>
                </c:pt>
                <c:pt idx="678">
                  <c:v>84.83953309827146</c:v>
                </c:pt>
                <c:pt idx="679">
                  <c:v>84.759520111286406</c:v>
                </c:pt>
                <c:pt idx="680">
                  <c:v>86.639510857380714</c:v>
                </c:pt>
                <c:pt idx="681">
                  <c:v>90.049505532900611</c:v>
                </c:pt>
                <c:pt idx="682">
                  <c:v>91.259515448228669</c:v>
                </c:pt>
                <c:pt idx="683">
                  <c:v>90.449539819148185</c:v>
                </c:pt>
                <c:pt idx="684">
                  <c:v>90.449539819148185</c:v>
                </c:pt>
                <c:pt idx="685">
                  <c:v>90.449539819148185</c:v>
                </c:pt>
                <c:pt idx="686">
                  <c:v>85.379532424704394</c:v>
                </c:pt>
                <c:pt idx="687">
                  <c:v>84.589550611543189</c:v>
                </c:pt>
                <c:pt idx="688">
                  <c:v>83.229579286009795</c:v>
                </c:pt>
                <c:pt idx="689">
                  <c:v>82.069607454251397</c:v>
                </c:pt>
                <c:pt idx="690">
                  <c:v>84.159627647243042</c:v>
                </c:pt>
                <c:pt idx="691">
                  <c:v>84.159627647243042</c:v>
                </c:pt>
                <c:pt idx="692">
                  <c:v>84.159627647243042</c:v>
                </c:pt>
                <c:pt idx="693">
                  <c:v>84.399660281082433</c:v>
                </c:pt>
                <c:pt idx="694">
                  <c:v>88.309658731058789</c:v>
                </c:pt>
                <c:pt idx="695">
                  <c:v>88.529654923543788</c:v>
                </c:pt>
                <c:pt idx="696">
                  <c:v>90.689609349418902</c:v>
                </c:pt>
                <c:pt idx="697">
                  <c:v>87.99963646204705</c:v>
                </c:pt>
                <c:pt idx="698">
                  <c:v>87.99963646204705</c:v>
                </c:pt>
                <c:pt idx="699">
                  <c:v>87.99963646204705</c:v>
                </c:pt>
                <c:pt idx="700">
                  <c:v>87.009640769373107</c:v>
                </c:pt>
                <c:pt idx="701">
                  <c:v>84.509675547331938</c:v>
                </c:pt>
                <c:pt idx="702">
                  <c:v>82.689675783340604</c:v>
                </c:pt>
                <c:pt idx="703">
                  <c:v>75.909722966834792</c:v>
                </c:pt>
                <c:pt idx="704">
                  <c:v>75.799737547653152</c:v>
                </c:pt>
                <c:pt idx="705">
                  <c:v>75.799737547653152</c:v>
                </c:pt>
                <c:pt idx="706">
                  <c:v>75.799737547653152</c:v>
                </c:pt>
                <c:pt idx="707">
                  <c:v>75.34974884753565</c:v>
                </c:pt>
                <c:pt idx="708">
                  <c:v>77.16971951251891</c:v>
                </c:pt>
                <c:pt idx="709">
                  <c:v>77.449700178664784</c:v>
                </c:pt>
                <c:pt idx="710">
                  <c:v>77.449700178664784</c:v>
                </c:pt>
                <c:pt idx="711">
                  <c:v>77.219662803174131</c:v>
                </c:pt>
                <c:pt idx="712">
                  <c:v>77.219662803174131</c:v>
                </c:pt>
                <c:pt idx="713">
                  <c:v>77.219662803174131</c:v>
                </c:pt>
                <c:pt idx="714">
                  <c:v>77.369682617769982</c:v>
                </c:pt>
                <c:pt idx="715">
                  <c:v>78.249678502205782</c:v>
                </c:pt>
                <c:pt idx="716">
                  <c:v>76.76971199437817</c:v>
                </c:pt>
                <c:pt idx="717">
                  <c:v>75.229685110481512</c:v>
                </c:pt>
                <c:pt idx="718">
                  <c:v>76.239708772296908</c:v>
                </c:pt>
                <c:pt idx="719">
                  <c:v>76.239708772296908</c:v>
                </c:pt>
                <c:pt idx="720">
                  <c:v>76.239708772296908</c:v>
                </c:pt>
                <c:pt idx="721">
                  <c:v>76.799732421111642</c:v>
                </c:pt>
                <c:pt idx="722">
                  <c:v>76.459716063776028</c:v>
                </c:pt>
                <c:pt idx="723">
                  <c:v>75.679685544865109</c:v>
                </c:pt>
                <c:pt idx="724">
                  <c:v>76.429690093755113</c:v>
                </c:pt>
                <c:pt idx="725">
                  <c:v>76.429690093755113</c:v>
                </c:pt>
                <c:pt idx="726">
                  <c:v>76.429690093755113</c:v>
                </c:pt>
                <c:pt idx="727">
                  <c:v>76.429690093755113</c:v>
                </c:pt>
                <c:pt idx="728">
                  <c:v>77.269688881586845</c:v>
                </c:pt>
                <c:pt idx="729">
                  <c:v>76.809675733618207</c:v>
                </c:pt>
                <c:pt idx="730">
                  <c:v>77.519678468713153</c:v>
                </c:pt>
                <c:pt idx="731">
                  <c:v>75.479688916370407</c:v>
                </c:pt>
                <c:pt idx="732">
                  <c:v>74.579661560656405</c:v>
                </c:pt>
                <c:pt idx="733">
                  <c:v>74.579661560656405</c:v>
                </c:pt>
                <c:pt idx="734">
                  <c:v>74.579661560656405</c:v>
                </c:pt>
                <c:pt idx="735">
                  <c:v>74.539633777317988</c:v>
                </c:pt>
                <c:pt idx="736">
                  <c:v>73.659622270057625</c:v>
                </c:pt>
                <c:pt idx="737">
                  <c:v>74.879636182377098</c:v>
                </c:pt>
                <c:pt idx="738">
                  <c:v>75.369614043272406</c:v>
                </c:pt>
                <c:pt idx="739">
                  <c:v>74.239612895391659</c:v>
                </c:pt>
                <c:pt idx="740">
                  <c:v>74.239612895391659</c:v>
                </c:pt>
                <c:pt idx="741">
                  <c:v>74.239612895391659</c:v>
                </c:pt>
                <c:pt idx="742">
                  <c:v>73.259618972397902</c:v>
                </c:pt>
                <c:pt idx="743">
                  <c:v>70.079616226871167</c:v>
                </c:pt>
                <c:pt idx="744">
                  <c:v>69.979615356526693</c:v>
                </c:pt>
                <c:pt idx="745">
                  <c:v>67.669644376104003</c:v>
                </c:pt>
                <c:pt idx="746">
                  <c:v>67.669644376104003</c:v>
                </c:pt>
                <c:pt idx="747">
                  <c:v>67.669644376104003</c:v>
                </c:pt>
                <c:pt idx="748">
                  <c:v>67.669644376104003</c:v>
                </c:pt>
                <c:pt idx="749">
                  <c:v>66.25963925280432</c:v>
                </c:pt>
                <c:pt idx="750">
                  <c:v>66.299617922411542</c:v>
                </c:pt>
                <c:pt idx="751">
                  <c:v>66.81960811274493</c:v>
                </c:pt>
                <c:pt idx="752">
                  <c:v>68.519578864369947</c:v>
                </c:pt>
                <c:pt idx="753">
                  <c:v>66.819620889324625</c:v>
                </c:pt>
                <c:pt idx="754">
                  <c:v>66.819620889324625</c:v>
                </c:pt>
                <c:pt idx="755">
                  <c:v>66.819620889324625</c:v>
                </c:pt>
                <c:pt idx="756">
                  <c:v>67.519596546724514</c:v>
                </c:pt>
                <c:pt idx="757">
                  <c:v>66.159619410129878</c:v>
                </c:pt>
                <c:pt idx="758">
                  <c:v>64.139606638652182</c:v>
                </c:pt>
                <c:pt idx="759">
                  <c:v>63.979593674871317</c:v>
                </c:pt>
                <c:pt idx="760">
                  <c:v>62.299622066233262</c:v>
                </c:pt>
                <c:pt idx="761">
                  <c:v>62.299622066233262</c:v>
                </c:pt>
                <c:pt idx="762">
                  <c:v>62.299622066233262</c:v>
                </c:pt>
                <c:pt idx="763">
                  <c:v>64.52963727104607</c:v>
                </c:pt>
                <c:pt idx="764">
                  <c:v>64.969611479988544</c:v>
                </c:pt>
                <c:pt idx="765">
                  <c:v>64.119641512104096</c:v>
                </c:pt>
                <c:pt idx="766">
                  <c:v>64.66965694441636</c:v>
                </c:pt>
                <c:pt idx="767">
                  <c:v>62.69969522029006</c:v>
                </c:pt>
                <c:pt idx="768">
                  <c:v>62.69969522029006</c:v>
                </c:pt>
                <c:pt idx="769">
                  <c:v>62.69969522029006</c:v>
                </c:pt>
                <c:pt idx="770">
                  <c:v>61.439690056609123</c:v>
                </c:pt>
                <c:pt idx="771">
                  <c:v>62.509668044527295</c:v>
                </c:pt>
                <c:pt idx="772">
                  <c:v>62.579694722922248</c:v>
                </c:pt>
                <c:pt idx="773">
                  <c:v>62.939709863340553</c:v>
                </c:pt>
                <c:pt idx="774">
                  <c:v>64.339676892852125</c:v>
                </c:pt>
                <c:pt idx="775">
                  <c:v>64.339676892852125</c:v>
                </c:pt>
                <c:pt idx="776">
                  <c:v>64.339676892852125</c:v>
                </c:pt>
                <c:pt idx="777">
                  <c:v>64.219650366317481</c:v>
                </c:pt>
                <c:pt idx="778">
                  <c:v>59.999692026983638</c:v>
                </c:pt>
                <c:pt idx="779">
                  <c:v>59.369719928818945</c:v>
                </c:pt>
                <c:pt idx="780">
                  <c:v>61.45971913781964</c:v>
                </c:pt>
                <c:pt idx="781">
                  <c:v>62.189701858231572</c:v>
                </c:pt>
                <c:pt idx="782">
                  <c:v>62.189701858231572</c:v>
                </c:pt>
                <c:pt idx="783">
                  <c:v>62.189701858231572</c:v>
                </c:pt>
                <c:pt idx="784">
                  <c:v>62.219691749654906</c:v>
                </c:pt>
                <c:pt idx="785">
                  <c:v>61.609694167700503</c:v>
                </c:pt>
                <c:pt idx="786">
                  <c:v>62.119696879077736</c:v>
                </c:pt>
                <c:pt idx="787">
                  <c:v>61.199682058689454</c:v>
                </c:pt>
                <c:pt idx="788">
                  <c:v>60.689706455345195</c:v>
                </c:pt>
                <c:pt idx="789">
                  <c:v>60.689706455345195</c:v>
                </c:pt>
                <c:pt idx="790">
                  <c:v>60.689706455345195</c:v>
                </c:pt>
                <c:pt idx="791">
                  <c:v>61.32968168371476</c:v>
                </c:pt>
                <c:pt idx="792">
                  <c:v>60.019691888555158</c:v>
                </c:pt>
                <c:pt idx="793">
                  <c:v>61.509702932389366</c:v>
                </c:pt>
                <c:pt idx="794">
                  <c:v>61.519730648485073</c:v>
                </c:pt>
                <c:pt idx="795">
                  <c:v>60.849714442755882</c:v>
                </c:pt>
                <c:pt idx="796">
                  <c:v>60.849714442755882</c:v>
                </c:pt>
                <c:pt idx="797">
                  <c:v>60.849714442755882</c:v>
                </c:pt>
                <c:pt idx="798">
                  <c:v>60.849714442755882</c:v>
                </c:pt>
                <c:pt idx="799">
                  <c:v>58.639701377250077</c:v>
                </c:pt>
                <c:pt idx="800">
                  <c:v>60.57970587829665</c:v>
                </c:pt>
                <c:pt idx="801">
                  <c:v>60.459693386923618</c:v>
                </c:pt>
                <c:pt idx="802">
                  <c:v>60.909694207730325</c:v>
                </c:pt>
                <c:pt idx="803">
                  <c:v>60.909694207730325</c:v>
                </c:pt>
                <c:pt idx="804">
                  <c:v>60.909694207730325</c:v>
                </c:pt>
                <c:pt idx="805">
                  <c:v>60.089710024732817</c:v>
                </c:pt>
                <c:pt idx="806">
                  <c:v>59.839699759139137</c:v>
                </c:pt>
                <c:pt idx="807">
                  <c:v>58.239681002945218</c:v>
                </c:pt>
                <c:pt idx="808">
                  <c:v>59.899680858579018</c:v>
                </c:pt>
                <c:pt idx="809">
                  <c:v>60.449651790569618</c:v>
                </c:pt>
                <c:pt idx="810">
                  <c:v>60.449651790569618</c:v>
                </c:pt>
                <c:pt idx="811">
                  <c:v>60.449651790569618</c:v>
                </c:pt>
                <c:pt idx="812">
                  <c:v>60.189632577833379</c:v>
                </c:pt>
                <c:pt idx="813">
                  <c:v>57.889620082341857</c:v>
                </c:pt>
                <c:pt idx="814">
                  <c:v>59.239632057295559</c:v>
                </c:pt>
                <c:pt idx="815">
                  <c:v>56.839635296534674</c:v>
                </c:pt>
                <c:pt idx="816">
                  <c:v>58.509616778630338</c:v>
                </c:pt>
                <c:pt idx="817">
                  <c:v>58.509616778630338</c:v>
                </c:pt>
                <c:pt idx="818">
                  <c:v>58.509616778630338</c:v>
                </c:pt>
                <c:pt idx="819">
                  <c:v>58.879616287380237</c:v>
                </c:pt>
                <c:pt idx="820">
                  <c:v>55.089615977009885</c:v>
                </c:pt>
                <c:pt idx="821">
                  <c:v>56.529594333466264</c:v>
                </c:pt>
                <c:pt idx="822">
                  <c:v>54.249592461494572</c:v>
                </c:pt>
                <c:pt idx="823">
                  <c:v>53.349584963165967</c:v>
                </c:pt>
                <c:pt idx="824">
                  <c:v>53.349584963165967</c:v>
                </c:pt>
                <c:pt idx="825">
                  <c:v>53.349584963165967</c:v>
                </c:pt>
                <c:pt idx="826">
                  <c:v>55.759569308237282</c:v>
                </c:pt>
                <c:pt idx="827">
                  <c:v>58.219579416919814</c:v>
                </c:pt>
                <c:pt idx="828">
                  <c:v>57.639609664475856</c:v>
                </c:pt>
                <c:pt idx="829">
                  <c:v>56.829617131500576</c:v>
                </c:pt>
                <c:pt idx="830">
                  <c:v>57.289595292100856</c:v>
                </c:pt>
                <c:pt idx="831">
                  <c:v>57.289595292100856</c:v>
                </c:pt>
                <c:pt idx="832">
                  <c:v>57.289595292100856</c:v>
                </c:pt>
                <c:pt idx="833">
                  <c:v>56.389617004705762</c:v>
                </c:pt>
                <c:pt idx="834">
                  <c:v>55.40964207496787</c:v>
                </c:pt>
                <c:pt idx="835">
                  <c:v>55.95961315303591</c:v>
                </c:pt>
                <c:pt idx="836">
                  <c:v>55.079606283445308</c:v>
                </c:pt>
                <c:pt idx="837">
                  <c:v>54.969612089653914</c:v>
                </c:pt>
                <c:pt idx="838">
                  <c:v>54.969612089653914</c:v>
                </c:pt>
                <c:pt idx="839">
                  <c:v>54.969612089653914</c:v>
                </c:pt>
                <c:pt idx="840">
                  <c:v>56.249628638962136</c:v>
                </c:pt>
                <c:pt idx="841">
                  <c:v>56.409606282378967</c:v>
                </c:pt>
                <c:pt idx="842">
                  <c:v>56.74959309460877</c:v>
                </c:pt>
                <c:pt idx="843">
                  <c:v>60.299548089748434</c:v>
                </c:pt>
                <c:pt idx="844">
                  <c:v>60.299548089748434</c:v>
                </c:pt>
                <c:pt idx="845">
                  <c:v>60.299548089748434</c:v>
                </c:pt>
                <c:pt idx="846">
                  <c:v>60.299548089748434</c:v>
                </c:pt>
                <c:pt idx="847">
                  <c:v>63.069497343581183</c:v>
                </c:pt>
                <c:pt idx="848">
                  <c:v>66.299475175164858</c:v>
                </c:pt>
                <c:pt idx="849">
                  <c:v>49.919604837771189</c:v>
                </c:pt>
                <c:pt idx="850">
                  <c:v>48.629607246347334</c:v>
                </c:pt>
                <c:pt idx="851">
                  <c:v>48.689592824707375</c:v>
                </c:pt>
                <c:pt idx="852">
                  <c:v>48.689592824707375</c:v>
                </c:pt>
                <c:pt idx="853">
                  <c:v>48.689592824707375</c:v>
                </c:pt>
                <c:pt idx="854">
                  <c:v>49.879569719505618</c:v>
                </c:pt>
                <c:pt idx="855">
                  <c:v>51.749539322940059</c:v>
                </c:pt>
                <c:pt idx="856">
                  <c:v>52.699554186255696</c:v>
                </c:pt>
                <c:pt idx="857">
                  <c:v>52.339562674182666</c:v>
                </c:pt>
                <c:pt idx="858">
                  <c:v>53.099576918618858</c:v>
                </c:pt>
                <c:pt idx="859">
                  <c:v>53.099576918618858</c:v>
                </c:pt>
                <c:pt idx="860">
                  <c:v>53.099576918618858</c:v>
                </c:pt>
                <c:pt idx="861">
                  <c:v>57.009517679123888</c:v>
                </c:pt>
                <c:pt idx="862">
                  <c:v>52.309556350580571</c:v>
                </c:pt>
                <c:pt idx="863">
                  <c:v>50.699590843349988</c:v>
                </c:pt>
                <c:pt idx="864">
                  <c:v>49.219606495632817</c:v>
                </c:pt>
                <c:pt idx="865">
                  <c:v>51.949610475743619</c:v>
                </c:pt>
                <c:pt idx="866">
                  <c:v>51.949610475743619</c:v>
                </c:pt>
                <c:pt idx="867">
                  <c:v>51.949610475743619</c:v>
                </c:pt>
                <c:pt idx="868">
                  <c:v>49.749631999110932</c:v>
                </c:pt>
                <c:pt idx="869">
                  <c:v>48.709632632768695</c:v>
                </c:pt>
                <c:pt idx="870">
                  <c:v>47.619619541464566</c:v>
                </c:pt>
                <c:pt idx="871">
                  <c:v>47.189627654278773</c:v>
                </c:pt>
                <c:pt idx="872">
                  <c:v>45.569627400201611</c:v>
                </c:pt>
                <c:pt idx="873">
                  <c:v>45.569627400201611</c:v>
                </c:pt>
                <c:pt idx="874">
                  <c:v>45.569627400201611</c:v>
                </c:pt>
                <c:pt idx="875">
                  <c:v>44.259630846409586</c:v>
                </c:pt>
                <c:pt idx="876">
                  <c:v>45.679627754795142</c:v>
                </c:pt>
                <c:pt idx="877">
                  <c:v>47.069592831097445</c:v>
                </c:pt>
                <c:pt idx="878">
                  <c:v>47.029570666460287</c:v>
                </c:pt>
                <c:pt idx="879">
                  <c:v>47.029570666460287</c:v>
                </c:pt>
                <c:pt idx="880">
                  <c:v>47.029570666460287</c:v>
                </c:pt>
                <c:pt idx="881">
                  <c:v>47.029570666460287</c:v>
                </c:pt>
                <c:pt idx="882">
                  <c:v>46.699591353953252</c:v>
                </c:pt>
                <c:pt idx="883">
                  <c:v>47.309601353809271</c:v>
                </c:pt>
                <c:pt idx="884">
                  <c:v>44.839611361936974</c:v>
                </c:pt>
                <c:pt idx="885">
                  <c:v>43.989600315049273</c:v>
                </c:pt>
                <c:pt idx="886">
                  <c:v>42.289600658190665</c:v>
                </c:pt>
                <c:pt idx="887">
                  <c:v>42.289600658190665</c:v>
                </c:pt>
                <c:pt idx="888">
                  <c:v>42.289600658190665</c:v>
                </c:pt>
                <c:pt idx="889">
                  <c:v>42.589601813363998</c:v>
                </c:pt>
                <c:pt idx="890">
                  <c:v>44.309566246348503</c:v>
                </c:pt>
                <c:pt idx="891">
                  <c:v>44.019565349823864</c:v>
                </c:pt>
                <c:pt idx="892">
                  <c:v>44.829545579351588</c:v>
                </c:pt>
                <c:pt idx="893">
                  <c:v>44.829545579351588</c:v>
                </c:pt>
                <c:pt idx="894">
                  <c:v>44.829545579351588</c:v>
                </c:pt>
                <c:pt idx="895">
                  <c:v>44.829545579351588</c:v>
                </c:pt>
                <c:pt idx="896">
                  <c:v>45.33952455150694</c:v>
                </c:pt>
                <c:pt idx="897">
                  <c:v>43.319534650742803</c:v>
                </c:pt>
                <c:pt idx="898">
                  <c:v>43.819515320550288</c:v>
                </c:pt>
                <c:pt idx="899">
                  <c:v>44.879524817207923</c:v>
                </c:pt>
                <c:pt idx="900">
                  <c:v>44.879524817207923</c:v>
                </c:pt>
                <c:pt idx="901">
                  <c:v>44.879524817207923</c:v>
                </c:pt>
                <c:pt idx="902">
                  <c:v>44.879524817207923</c:v>
                </c:pt>
                <c:pt idx="903">
                  <c:v>44.899505096976078</c:v>
                </c:pt>
                <c:pt idx="904">
                  <c:v>46.569486897106309</c:v>
                </c:pt>
                <c:pt idx="905">
                  <c:v>46.589473781358514</c:v>
                </c:pt>
                <c:pt idx="906">
                  <c:v>44.129517933664324</c:v>
                </c:pt>
                <c:pt idx="907">
                  <c:v>46.149480704081988</c:v>
                </c:pt>
                <c:pt idx="908">
                  <c:v>46.149480704081988</c:v>
                </c:pt>
                <c:pt idx="909">
                  <c:v>46.149480704081988</c:v>
                </c:pt>
                <c:pt idx="910">
                  <c:v>46.779459687696196</c:v>
                </c:pt>
                <c:pt idx="911">
                  <c:v>50.939428082013862</c:v>
                </c:pt>
                <c:pt idx="912">
                  <c:v>51.939417690815119</c:v>
                </c:pt>
                <c:pt idx="913">
                  <c:v>49.219452316879718</c:v>
                </c:pt>
                <c:pt idx="914">
                  <c:v>47.809455845096139</c:v>
                </c:pt>
                <c:pt idx="915">
                  <c:v>47.809455845096139</c:v>
                </c:pt>
                <c:pt idx="916">
                  <c:v>47.809455845096139</c:v>
                </c:pt>
                <c:pt idx="917">
                  <c:v>48.509447167726442</c:v>
                </c:pt>
                <c:pt idx="918">
                  <c:v>47.769450608352457</c:v>
                </c:pt>
                <c:pt idx="919">
                  <c:v>47.449451507386634</c:v>
                </c:pt>
                <c:pt idx="920">
                  <c:v>50.839424321118841</c:v>
                </c:pt>
                <c:pt idx="921">
                  <c:v>54.489396548950275</c:v>
                </c:pt>
                <c:pt idx="922">
                  <c:v>54.489396548950275</c:v>
                </c:pt>
                <c:pt idx="923">
                  <c:v>54.489396548950275</c:v>
                </c:pt>
                <c:pt idx="924">
                  <c:v>51.909445212446478</c:v>
                </c:pt>
                <c:pt idx="925">
                  <c:v>52.139432248092817</c:v>
                </c:pt>
                <c:pt idx="926">
                  <c:v>48.689489761548536</c:v>
                </c:pt>
                <c:pt idx="927">
                  <c:v>49.009472608207524</c:v>
                </c:pt>
                <c:pt idx="928">
                  <c:v>49.389475230632002</c:v>
                </c:pt>
                <c:pt idx="929">
                  <c:v>49.389475230632002</c:v>
                </c:pt>
                <c:pt idx="930">
                  <c:v>49.389475230632002</c:v>
                </c:pt>
                <c:pt idx="931">
                  <c:v>49.539480778429088</c:v>
                </c:pt>
                <c:pt idx="932">
                  <c:v>49.539480778429088</c:v>
                </c:pt>
                <c:pt idx="933">
                  <c:v>48.379485846292539</c:v>
                </c:pt>
                <c:pt idx="934">
                  <c:v>48.319473060751086</c:v>
                </c:pt>
                <c:pt idx="935">
                  <c:v>49.769456403613972</c:v>
                </c:pt>
                <c:pt idx="936">
                  <c:v>49.769456403613972</c:v>
                </c:pt>
                <c:pt idx="937">
                  <c:v>49.769456403613972</c:v>
                </c:pt>
                <c:pt idx="938">
                  <c:v>50.059450802110604</c:v>
                </c:pt>
                <c:pt idx="939">
                  <c:v>51.419443667676994</c:v>
                </c:pt>
                <c:pt idx="940">
                  <c:v>53.559409889824941</c:v>
                </c:pt>
                <c:pt idx="941">
                  <c:v>47.759454032646339</c:v>
                </c:pt>
                <c:pt idx="942">
                  <c:v>48.769419950399154</c:v>
                </c:pt>
                <c:pt idx="943">
                  <c:v>48.769419950399154</c:v>
                </c:pt>
                <c:pt idx="944">
                  <c:v>48.769419950399154</c:v>
                </c:pt>
                <c:pt idx="945">
                  <c:v>47.509422554822706</c:v>
                </c:pt>
                <c:pt idx="946">
                  <c:v>39.889525874622869</c:v>
                </c:pt>
                <c:pt idx="947">
                  <c:v>43.36949407956736</c:v>
                </c:pt>
                <c:pt idx="948">
                  <c:v>43.719468424303912</c:v>
                </c:pt>
                <c:pt idx="949">
                  <c:v>46.249452208463488</c:v>
                </c:pt>
                <c:pt idx="950">
                  <c:v>46.249452208463488</c:v>
                </c:pt>
                <c:pt idx="951">
                  <c:v>46.249452208463488</c:v>
                </c:pt>
                <c:pt idx="952">
                  <c:v>49.1694278508118</c:v>
                </c:pt>
                <c:pt idx="953">
                  <c:v>49.499440621434907</c:v>
                </c:pt>
                <c:pt idx="954">
                  <c:v>53.079379362541516</c:v>
                </c:pt>
                <c:pt idx="955">
                  <c:v>53.2393636503107</c:v>
                </c:pt>
                <c:pt idx="956">
                  <c:v>53.709374385558725</c:v>
                </c:pt>
                <c:pt idx="957">
                  <c:v>53.709374385558725</c:v>
                </c:pt>
                <c:pt idx="958">
                  <c:v>53.709374385558725</c:v>
                </c:pt>
                <c:pt idx="959">
                  <c:v>53.759370600216926</c:v>
                </c:pt>
                <c:pt idx="960">
                  <c:v>55.359367026002445</c:v>
                </c:pt>
                <c:pt idx="961">
                  <c:v>57.839344604614503</c:v>
                </c:pt>
                <c:pt idx="962">
                  <c:v>55.669353216245263</c:v>
                </c:pt>
                <c:pt idx="963">
                  <c:v>56.929312766391035</c:v>
                </c:pt>
                <c:pt idx="964">
                  <c:v>56.929312766391035</c:v>
                </c:pt>
                <c:pt idx="965">
                  <c:v>56.929312766391035</c:v>
                </c:pt>
                <c:pt idx="966">
                  <c:v>56.479341849873087</c:v>
                </c:pt>
                <c:pt idx="967">
                  <c:v>55.229336281806951</c:v>
                </c:pt>
                <c:pt idx="968">
                  <c:v>56.389321004184019</c:v>
                </c:pt>
                <c:pt idx="969">
                  <c:v>54.609329896216835</c:v>
                </c:pt>
                <c:pt idx="970">
                  <c:v>50.599379657722025</c:v>
                </c:pt>
                <c:pt idx="971">
                  <c:v>50.599379657722025</c:v>
                </c:pt>
                <c:pt idx="972">
                  <c:v>50.599379657722025</c:v>
                </c:pt>
                <c:pt idx="973">
                  <c:v>52.469334261466429</c:v>
                </c:pt>
                <c:pt idx="974">
                  <c:v>52.619352034115686</c:v>
                </c:pt>
                <c:pt idx="975">
                  <c:v>52.49933854619907</c:v>
                </c:pt>
                <c:pt idx="976">
                  <c:v>54.829310077962063</c:v>
                </c:pt>
                <c:pt idx="977">
                  <c:v>56.789278444932002</c:v>
                </c:pt>
                <c:pt idx="978">
                  <c:v>56.789278444932002</c:v>
                </c:pt>
                <c:pt idx="979">
                  <c:v>56.789278444932002</c:v>
                </c:pt>
                <c:pt idx="980">
                  <c:v>61.169240760335036</c:v>
                </c:pt>
                <c:pt idx="981">
                  <c:v>61.799222029705859</c:v>
                </c:pt>
                <c:pt idx="982">
                  <c:v>63.65921703297532</c:v>
                </c:pt>
                <c:pt idx="983">
                  <c:v>61.129260335471173</c:v>
                </c:pt>
                <c:pt idx="984">
                  <c:v>59.749290717069726</c:v>
                </c:pt>
                <c:pt idx="985">
                  <c:v>59.749290717069726</c:v>
                </c:pt>
                <c:pt idx="986">
                  <c:v>59.749290717069726</c:v>
                </c:pt>
                <c:pt idx="987">
                  <c:v>60.799294533666142</c:v>
                </c:pt>
                <c:pt idx="988">
                  <c:v>62.959237080175726</c:v>
                </c:pt>
                <c:pt idx="989">
                  <c:v>59.33930228366313</c:v>
                </c:pt>
                <c:pt idx="990">
                  <c:v>57.449334090745772</c:v>
                </c:pt>
                <c:pt idx="991">
                  <c:v>57.699345354165366</c:v>
                </c:pt>
                <c:pt idx="992">
                  <c:v>57.699345354165366</c:v>
                </c:pt>
                <c:pt idx="993">
                  <c:v>57.699345354165366</c:v>
                </c:pt>
                <c:pt idx="994">
                  <c:v>59.239331002917197</c:v>
                </c:pt>
                <c:pt idx="995">
                  <c:v>61.629315872450846</c:v>
                </c:pt>
                <c:pt idx="996">
                  <c:v>61.569285818777537</c:v>
                </c:pt>
                <c:pt idx="997">
                  <c:v>63.029296441549597</c:v>
                </c:pt>
                <c:pt idx="998">
                  <c:v>61.889295616297389</c:v>
                </c:pt>
                <c:pt idx="999">
                  <c:v>61.889295616297389</c:v>
                </c:pt>
                <c:pt idx="1000">
                  <c:v>61.889295616297389</c:v>
                </c:pt>
                <c:pt idx="1001">
                  <c:v>62.779254325617337</c:v>
                </c:pt>
                <c:pt idx="1002">
                  <c:v>63.609227526381559</c:v>
                </c:pt>
                <c:pt idx="1003">
                  <c:v>63.849236807541104</c:v>
                </c:pt>
                <c:pt idx="1004">
                  <c:v>67.429187215168838</c:v>
                </c:pt>
                <c:pt idx="1005">
                  <c:v>66.879172897261753</c:v>
                </c:pt>
                <c:pt idx="1006">
                  <c:v>66.879172897261753</c:v>
                </c:pt>
                <c:pt idx="1007">
                  <c:v>66.879172897261753</c:v>
                </c:pt>
                <c:pt idx="1008">
                  <c:v>64.389178957785248</c:v>
                </c:pt>
                <c:pt idx="1009">
                  <c:v>62.179205631239718</c:v>
                </c:pt>
                <c:pt idx="1010">
                  <c:v>60.029257764407475</c:v>
                </c:pt>
                <c:pt idx="1011">
                  <c:v>61.269224326323609</c:v>
                </c:pt>
                <c:pt idx="1012">
                  <c:v>61.269224326323609</c:v>
                </c:pt>
                <c:pt idx="1013">
                  <c:v>61.269224326323609</c:v>
                </c:pt>
                <c:pt idx="1014">
                  <c:v>61.269224326323609</c:v>
                </c:pt>
                <c:pt idx="1015">
                  <c:v>61.889230638863744</c:v>
                </c:pt>
                <c:pt idx="1016">
                  <c:v>62.699242148176033</c:v>
                </c:pt>
                <c:pt idx="1017">
                  <c:v>62.819226871500604</c:v>
                </c:pt>
                <c:pt idx="1018">
                  <c:v>62.519259464589496</c:v>
                </c:pt>
                <c:pt idx="1019">
                  <c:v>63.409272006472342</c:v>
                </c:pt>
                <c:pt idx="1020">
                  <c:v>63.409272006472342</c:v>
                </c:pt>
                <c:pt idx="1021">
                  <c:v>63.409272006472342</c:v>
                </c:pt>
                <c:pt idx="1022">
                  <c:v>66.229247119576812</c:v>
                </c:pt>
                <c:pt idx="1023">
                  <c:v>63.899287403001182</c:v>
                </c:pt>
                <c:pt idx="1024">
                  <c:v>63.38932032101858</c:v>
                </c:pt>
                <c:pt idx="1025">
                  <c:v>63.939326406769609</c:v>
                </c:pt>
                <c:pt idx="1026">
                  <c:v>65.689289067528577</c:v>
                </c:pt>
                <c:pt idx="1027">
                  <c:v>65.689289067528577</c:v>
                </c:pt>
                <c:pt idx="1028">
                  <c:v>65.689289067528577</c:v>
                </c:pt>
                <c:pt idx="1029">
                  <c:v>69.119263394202477</c:v>
                </c:pt>
                <c:pt idx="1030">
                  <c:v>70.169276446954711</c:v>
                </c:pt>
                <c:pt idx="1031">
                  <c:v>73.739212964190045</c:v>
                </c:pt>
                <c:pt idx="1032">
                  <c:v>75.40922567601099</c:v>
                </c:pt>
                <c:pt idx="1033">
                  <c:v>74.489209450092886</c:v>
                </c:pt>
                <c:pt idx="1034">
                  <c:v>74.489209450092886</c:v>
                </c:pt>
                <c:pt idx="1035">
                  <c:v>74.489209450092886</c:v>
                </c:pt>
                <c:pt idx="1036">
                  <c:v>71.589271250286288</c:v>
                </c:pt>
                <c:pt idx="1037">
                  <c:v>74.239240956218524</c:v>
                </c:pt>
                <c:pt idx="1038">
                  <c:v>54.499436174824673</c:v>
                </c:pt>
                <c:pt idx="1039">
                  <c:v>54.969424756492685</c:v>
                </c:pt>
                <c:pt idx="1040">
                  <c:v>52.779447155662766</c:v>
                </c:pt>
                <c:pt idx="1041">
                  <c:v>52.779447155662766</c:v>
                </c:pt>
                <c:pt idx="1042">
                  <c:v>52.779447155662766</c:v>
                </c:pt>
                <c:pt idx="1043">
                  <c:v>50.459472011012451</c:v>
                </c:pt>
                <c:pt idx="1044">
                  <c:v>50.0294687273013</c:v>
                </c:pt>
                <c:pt idx="1045">
                  <c:v>47.699491658269793</c:v>
                </c:pt>
                <c:pt idx="1046">
                  <c:v>45.429515078349873</c:v>
                </c:pt>
                <c:pt idx="1047">
                  <c:v>44.999499857709601</c:v>
                </c:pt>
                <c:pt idx="1048">
                  <c:v>44.999499857709601</c:v>
                </c:pt>
                <c:pt idx="1049">
                  <c:v>44.999499857709601</c:v>
                </c:pt>
                <c:pt idx="1050">
                  <c:v>47.129469083467853</c:v>
                </c:pt>
                <c:pt idx="1051">
                  <c:v>46.629461369205856</c:v>
                </c:pt>
                <c:pt idx="1052">
                  <c:v>42.72949741100593</c:v>
                </c:pt>
                <c:pt idx="1053">
                  <c:v>46.559429524240414</c:v>
                </c:pt>
                <c:pt idx="1054">
                  <c:v>47.269416154886819</c:v>
                </c:pt>
                <c:pt idx="1055">
                  <c:v>47.269416154886819</c:v>
                </c:pt>
                <c:pt idx="1056">
                  <c:v>47.269416154886819</c:v>
                </c:pt>
                <c:pt idx="1057">
                  <c:v>50.989343726449981</c:v>
                </c:pt>
                <c:pt idx="1058">
                  <c:v>49.779356898322455</c:v>
                </c:pt>
                <c:pt idx="1059">
                  <c:v>46.019388759145251</c:v>
                </c:pt>
                <c:pt idx="1060">
                  <c:v>43.619405451782718</c:v>
                </c:pt>
                <c:pt idx="1061">
                  <c:v>43.099411057375484</c:v>
                </c:pt>
                <c:pt idx="1062">
                  <c:v>43.099411057375484</c:v>
                </c:pt>
                <c:pt idx="1063">
                  <c:v>43.099411057375484</c:v>
                </c:pt>
                <c:pt idx="1064">
                  <c:v>41.209423277595135</c:v>
                </c:pt>
                <c:pt idx="1065">
                  <c:v>44.159403938927291</c:v>
                </c:pt>
                <c:pt idx="1066">
                  <c:v>45.149394716884416</c:v>
                </c:pt>
                <c:pt idx="1067">
                  <c:v>43.509437016845474</c:v>
                </c:pt>
                <c:pt idx="1068">
                  <c:v>45.629425767425843</c:v>
                </c:pt>
                <c:pt idx="1069">
                  <c:v>45.629425767425843</c:v>
                </c:pt>
                <c:pt idx="1070">
                  <c:v>45.629425767425843</c:v>
                </c:pt>
                <c:pt idx="1071">
                  <c:v>45.529443110355494</c:v>
                </c:pt>
                <c:pt idx="1072">
                  <c:v>42.989454198491806</c:v>
                </c:pt>
                <c:pt idx="1073">
                  <c:v>44.289437776095774</c:v>
                </c:pt>
                <c:pt idx="1074">
                  <c:v>41.659475112258875</c:v>
                </c:pt>
                <c:pt idx="1075">
                  <c:v>41.659475112258875</c:v>
                </c:pt>
                <c:pt idx="1076">
                  <c:v>41.659475112258875</c:v>
                </c:pt>
                <c:pt idx="1077">
                  <c:v>41.659475112258875</c:v>
                </c:pt>
                <c:pt idx="1078">
                  <c:v>41.889490303515473</c:v>
                </c:pt>
                <c:pt idx="1079">
                  <c:v>43.33945511380287</c:v>
                </c:pt>
                <c:pt idx="1080">
                  <c:v>44.149465354664905</c:v>
                </c:pt>
                <c:pt idx="1081">
                  <c:v>47.839415121842883</c:v>
                </c:pt>
                <c:pt idx="1082">
                  <c:v>49.489391432192171</c:v>
                </c:pt>
                <c:pt idx="1083">
                  <c:v>49.489391432192171</c:v>
                </c:pt>
                <c:pt idx="1084">
                  <c:v>49.489391432192171</c:v>
                </c:pt>
                <c:pt idx="1085">
                  <c:v>47.469424990568506</c:v>
                </c:pt>
                <c:pt idx="1086">
                  <c:v>45.379429964140066</c:v>
                </c:pt>
                <c:pt idx="1087">
                  <c:v>47.059403613747229</c:v>
                </c:pt>
                <c:pt idx="1088">
                  <c:v>46.299398979498754</c:v>
                </c:pt>
                <c:pt idx="1089">
                  <c:v>46.299398979498754</c:v>
                </c:pt>
                <c:pt idx="1090">
                  <c:v>46.299398979498754</c:v>
                </c:pt>
                <c:pt idx="1091">
                  <c:v>46.299398979498754</c:v>
                </c:pt>
                <c:pt idx="1092">
                  <c:v>44.229417988231525</c:v>
                </c:pt>
                <c:pt idx="1093">
                  <c:v>48.139343616072551</c:v>
                </c:pt>
                <c:pt idx="1094">
                  <c:v>45.399399082637231</c:v>
                </c:pt>
                <c:pt idx="1095">
                  <c:v>45.579392102048217</c:v>
                </c:pt>
                <c:pt idx="1096">
                  <c:v>49.269319226909126</c:v>
                </c:pt>
                <c:pt idx="1097">
                  <c:v>49.269319226909126</c:v>
                </c:pt>
                <c:pt idx="1098">
                  <c:v>49.269319226909126</c:v>
                </c:pt>
                <c:pt idx="1099">
                  <c:v>52.509300601951324</c:v>
                </c:pt>
                <c:pt idx="1100">
                  <c:v>54.709269757437397</c:v>
                </c:pt>
                <c:pt idx="1101">
                  <c:v>53.209299601666423</c:v>
                </c:pt>
                <c:pt idx="1102">
                  <c:v>52.659325605047314</c:v>
                </c:pt>
                <c:pt idx="1103">
                  <c:v>51.149345768612122</c:v>
                </c:pt>
                <c:pt idx="1104">
                  <c:v>51.149345768612122</c:v>
                </c:pt>
                <c:pt idx="1105">
                  <c:v>51.149345768612122</c:v>
                </c:pt>
                <c:pt idx="1106">
                  <c:v>54.609280566760972</c:v>
                </c:pt>
                <c:pt idx="1107">
                  <c:v>51.559339403675928</c:v>
                </c:pt>
                <c:pt idx="1108">
                  <c:v>52.049331813366962</c:v>
                </c:pt>
                <c:pt idx="1109">
                  <c:v>52.489350034707925</c:v>
                </c:pt>
                <c:pt idx="1110">
                  <c:v>52.489350034707925</c:v>
                </c:pt>
                <c:pt idx="1111">
                  <c:v>52.489350034707925</c:v>
                </c:pt>
                <c:pt idx="1112">
                  <c:v>52.489350034707925</c:v>
                </c:pt>
                <c:pt idx="1113">
                  <c:v>49.029394681433828</c:v>
                </c:pt>
                <c:pt idx="1114">
                  <c:v>46.329409362600217</c:v>
                </c:pt>
                <c:pt idx="1115">
                  <c:v>42.779442856074574</c:v>
                </c:pt>
                <c:pt idx="1116">
                  <c:v>52.499325471922766</c:v>
                </c:pt>
                <c:pt idx="1117">
                  <c:v>52.639346132635573</c:v>
                </c:pt>
                <c:pt idx="1118">
                  <c:v>52.639346132635573</c:v>
                </c:pt>
                <c:pt idx="1119">
                  <c:v>52.639346132635573</c:v>
                </c:pt>
                <c:pt idx="1120">
                  <c:v>53.679329461625095</c:v>
                </c:pt>
                <c:pt idx="1121">
                  <c:v>50.779370397589176</c:v>
                </c:pt>
                <c:pt idx="1122">
                  <c:v>53.369330644432864</c:v>
                </c:pt>
                <c:pt idx="1123">
                  <c:v>50.96933745183815</c:v>
                </c:pt>
                <c:pt idx="1124">
                  <c:v>51.919304974965087</c:v>
                </c:pt>
                <c:pt idx="1125">
                  <c:v>51.919304974965087</c:v>
                </c:pt>
                <c:pt idx="1126">
                  <c:v>51.919304974965087</c:v>
                </c:pt>
                <c:pt idx="1127">
                  <c:v>44.839389560335867</c:v>
                </c:pt>
                <c:pt idx="1128">
                  <c:v>43.339412493921252</c:v>
                </c:pt>
                <c:pt idx="1129">
                  <c:v>43.749388008953154</c:v>
                </c:pt>
                <c:pt idx="1130">
                  <c:v>44.989385450746632</c:v>
                </c:pt>
                <c:pt idx="1131">
                  <c:v>48.919318937598618</c:v>
                </c:pt>
                <c:pt idx="1132">
                  <c:v>48.919318937598618</c:v>
                </c:pt>
                <c:pt idx="1133">
                  <c:v>48.919318937598618</c:v>
                </c:pt>
                <c:pt idx="1134">
                  <c:v>55.159203876080191</c:v>
                </c:pt>
                <c:pt idx="1135">
                  <c:v>62.489114520183151</c:v>
                </c:pt>
                <c:pt idx="1136">
                  <c:v>60.299169289912122</c:v>
                </c:pt>
                <c:pt idx="1137">
                  <c:v>62.079165193505496</c:v>
                </c:pt>
                <c:pt idx="1138">
                  <c:v>58.919210116535474</c:v>
                </c:pt>
                <c:pt idx="1139">
                  <c:v>58.919210116535474</c:v>
                </c:pt>
                <c:pt idx="1140">
                  <c:v>58.919210116535474</c:v>
                </c:pt>
                <c:pt idx="1141">
                  <c:v>60.799181611133328</c:v>
                </c:pt>
                <c:pt idx="1142">
                  <c:v>57.029208738280552</c:v>
                </c:pt>
                <c:pt idx="1143">
                  <c:v>59.56917895995403</c:v>
                </c:pt>
                <c:pt idx="1144">
                  <c:v>63.019163040612348</c:v>
                </c:pt>
                <c:pt idx="1145">
                  <c:v>59.43919949427184</c:v>
                </c:pt>
                <c:pt idx="1146">
                  <c:v>59.43919949427184</c:v>
                </c:pt>
                <c:pt idx="1147">
                  <c:v>59.43919949427184</c:v>
                </c:pt>
                <c:pt idx="1148">
                  <c:v>63.469174744685652</c:v>
                </c:pt>
                <c:pt idx="1149">
                  <c:v>66.919123223341813</c:v>
                </c:pt>
                <c:pt idx="1150">
                  <c:v>66.889156881059108</c:v>
                </c:pt>
                <c:pt idx="1151">
                  <c:v>62.029228831351539</c:v>
                </c:pt>
                <c:pt idx="1152">
                  <c:v>63.57922680154644</c:v>
                </c:pt>
                <c:pt idx="1153">
                  <c:v>63.57922680154644</c:v>
                </c:pt>
                <c:pt idx="1154">
                  <c:v>63.57922680154644</c:v>
                </c:pt>
                <c:pt idx="1155">
                  <c:v>63.57922680154644</c:v>
                </c:pt>
                <c:pt idx="1156">
                  <c:v>67.009157539355911</c:v>
                </c:pt>
                <c:pt idx="1157">
                  <c:v>65.839195043434088</c:v>
                </c:pt>
                <c:pt idx="1158">
                  <c:v>67.199171884022931</c:v>
                </c:pt>
                <c:pt idx="1159">
                  <c:v>67.789140776198195</c:v>
                </c:pt>
                <c:pt idx="1160">
                  <c:v>67.789140776198195</c:v>
                </c:pt>
                <c:pt idx="1161">
                  <c:v>67.789140776198195</c:v>
                </c:pt>
                <c:pt idx="1162">
                  <c:v>68.55912834665952</c:v>
                </c:pt>
                <c:pt idx="1163">
                  <c:v>67.729108126568434</c:v>
                </c:pt>
                <c:pt idx="1164">
                  <c:v>71.969018939341879</c:v>
                </c:pt>
                <c:pt idx="1165">
                  <c:v>75.219006555589232</c:v>
                </c:pt>
                <c:pt idx="1166">
                  <c:v>72.329027916170702</c:v>
                </c:pt>
                <c:pt idx="1167">
                  <c:v>72.329027916170702</c:v>
                </c:pt>
                <c:pt idx="1168">
                  <c:v>72.329027916170702</c:v>
                </c:pt>
                <c:pt idx="1169">
                  <c:v>69.249038433752673</c:v>
                </c:pt>
                <c:pt idx="1170">
                  <c:v>71.628983023698069</c:v>
                </c:pt>
                <c:pt idx="1171">
                  <c:v>73.32896850044385</c:v>
                </c:pt>
                <c:pt idx="1172">
                  <c:v>68.889003345803459</c:v>
                </c:pt>
                <c:pt idx="1173">
                  <c:v>65.449065891606523</c:v>
                </c:pt>
                <c:pt idx="1174">
                  <c:v>65.449065891606523</c:v>
                </c:pt>
                <c:pt idx="1175">
                  <c:v>65.449065891606523</c:v>
                </c:pt>
                <c:pt idx="1176">
                  <c:v>68.399048452306019</c:v>
                </c:pt>
                <c:pt idx="1177">
                  <c:v>66.639044644207843</c:v>
                </c:pt>
                <c:pt idx="1178">
                  <c:v>67.749044997445992</c:v>
                </c:pt>
                <c:pt idx="1179">
                  <c:v>66.959061984156904</c:v>
                </c:pt>
                <c:pt idx="1180">
                  <c:v>68.809062436833614</c:v>
                </c:pt>
                <c:pt idx="1181">
                  <c:v>68.809062436833614</c:v>
                </c:pt>
                <c:pt idx="1182">
                  <c:v>68.809062436833614</c:v>
                </c:pt>
                <c:pt idx="1183">
                  <c:v>65.409097546373133</c:v>
                </c:pt>
                <c:pt idx="1184">
                  <c:v>60.309172953874643</c:v>
                </c:pt>
                <c:pt idx="1185">
                  <c:v>53.869264045077728</c:v>
                </c:pt>
                <c:pt idx="1186">
                  <c:v>52.479297374808546</c:v>
                </c:pt>
                <c:pt idx="1187">
                  <c:v>56.799218756557266</c:v>
                </c:pt>
                <c:pt idx="1188">
                  <c:v>56.799218756557266</c:v>
                </c:pt>
                <c:pt idx="1189">
                  <c:v>56.799218756557266</c:v>
                </c:pt>
                <c:pt idx="1190">
                  <c:v>63.029145562218027</c:v>
                </c:pt>
                <c:pt idx="1191">
                  <c:v>66.39909903557033</c:v>
                </c:pt>
                <c:pt idx="1192">
                  <c:v>62.349147791617995</c:v>
                </c:pt>
                <c:pt idx="1193">
                  <c:v>66.109103026235118</c:v>
                </c:pt>
                <c:pt idx="1194">
                  <c:v>75.659010280924207</c:v>
                </c:pt>
                <c:pt idx="1195">
                  <c:v>75.659010280924207</c:v>
                </c:pt>
                <c:pt idx="1196">
                  <c:v>75.659010280924207</c:v>
                </c:pt>
                <c:pt idx="1197">
                  <c:v>79.278967202350742</c:v>
                </c:pt>
                <c:pt idx="1198">
                  <c:v>82.25896264198181</c:v>
                </c:pt>
                <c:pt idx="1199">
                  <c:v>82.078963475080968</c:v>
                </c:pt>
                <c:pt idx="1200">
                  <c:v>85.318950625067927</c:v>
                </c:pt>
                <c:pt idx="1201">
                  <c:v>83.628976272552194</c:v>
                </c:pt>
                <c:pt idx="1202">
                  <c:v>83.628976272552194</c:v>
                </c:pt>
                <c:pt idx="1203">
                  <c:v>83.628976272552194</c:v>
                </c:pt>
                <c:pt idx="1204">
                  <c:v>82.819006390057439</c:v>
                </c:pt>
                <c:pt idx="1205">
                  <c:v>74.119125765124423</c:v>
                </c:pt>
                <c:pt idx="1206">
                  <c:v>74.799124606925986</c:v>
                </c:pt>
                <c:pt idx="1207">
                  <c:v>78.049088658673128</c:v>
                </c:pt>
                <c:pt idx="1208">
                  <c:v>78.049088658673128</c:v>
                </c:pt>
                <c:pt idx="1209">
                  <c:v>78.049088658673128</c:v>
                </c:pt>
                <c:pt idx="1210">
                  <c:v>78.049088658673128</c:v>
                </c:pt>
                <c:pt idx="1211">
                  <c:v>79.409048014977643</c:v>
                </c:pt>
                <c:pt idx="1212">
                  <c:v>80.909020343118712</c:v>
                </c:pt>
                <c:pt idx="1213">
                  <c:v>80.518986373127277</c:v>
                </c:pt>
                <c:pt idx="1214">
                  <c:v>76.509069529990924</c:v>
                </c:pt>
                <c:pt idx="1215">
                  <c:v>76.299094422141181</c:v>
                </c:pt>
                <c:pt idx="1216">
                  <c:v>76.299094422141181</c:v>
                </c:pt>
                <c:pt idx="1217">
                  <c:v>76.299094422141181</c:v>
                </c:pt>
                <c:pt idx="1218">
                  <c:v>82.139014042537511</c:v>
                </c:pt>
                <c:pt idx="1219">
                  <c:v>79.939012480073416</c:v>
                </c:pt>
                <c:pt idx="1220">
                  <c:v>76.489050352953782</c:v>
                </c:pt>
                <c:pt idx="1221">
                  <c:v>73.569093049806952</c:v>
                </c:pt>
                <c:pt idx="1222">
                  <c:v>73.039121186477871</c:v>
                </c:pt>
                <c:pt idx="1223">
                  <c:v>73.039121186477871</c:v>
                </c:pt>
                <c:pt idx="1224">
                  <c:v>73.039121186477871</c:v>
                </c:pt>
                <c:pt idx="1225">
                  <c:v>65.839208681863951</c:v>
                </c:pt>
                <c:pt idx="1226">
                  <c:v>70.009164549952786</c:v>
                </c:pt>
                <c:pt idx="1227">
                  <c:v>71.089150930894945</c:v>
                </c:pt>
                <c:pt idx="1228">
                  <c:v>69.539191883014439</c:v>
                </c:pt>
                <c:pt idx="1229">
                  <c:v>63.599274080950025</c:v>
                </c:pt>
                <c:pt idx="1230">
                  <c:v>63.599274080950025</c:v>
                </c:pt>
                <c:pt idx="1231">
                  <c:v>63.599274080950025</c:v>
                </c:pt>
                <c:pt idx="1232">
                  <c:v>60.169321886793362</c:v>
                </c:pt>
                <c:pt idx="1233">
                  <c:v>61.459290944425923</c:v>
                </c:pt>
                <c:pt idx="1234">
                  <c:v>62.669246078462805</c:v>
                </c:pt>
                <c:pt idx="1235">
                  <c:v>65.329189352123876</c:v>
                </c:pt>
                <c:pt idx="1236">
                  <c:v>59.449243067997443</c:v>
                </c:pt>
                <c:pt idx="1237">
                  <c:v>59.449243067997443</c:v>
                </c:pt>
                <c:pt idx="1238">
                  <c:v>59.449243067997443</c:v>
                </c:pt>
                <c:pt idx="1239">
                  <c:v>67.729129100538245</c:v>
                </c:pt>
                <c:pt idx="1240">
                  <c:v>68.999127032702162</c:v>
                </c:pt>
                <c:pt idx="1241">
                  <c:v>70.999100700329748</c:v>
                </c:pt>
                <c:pt idx="1242">
                  <c:v>75.469057507437768</c:v>
                </c:pt>
                <c:pt idx="1243">
                  <c:v>75.469057507437768</c:v>
                </c:pt>
                <c:pt idx="1244">
                  <c:v>75.469057507437768</c:v>
                </c:pt>
                <c:pt idx="1245">
                  <c:v>75.469057507437768</c:v>
                </c:pt>
                <c:pt idx="1246">
                  <c:v>75.759063201372626</c:v>
                </c:pt>
                <c:pt idx="1247">
                  <c:v>82.388987407001437</c:v>
                </c:pt>
                <c:pt idx="1248">
                  <c:v>84.878997683030846</c:v>
                </c:pt>
                <c:pt idx="1249">
                  <c:v>80.999061631805716</c:v>
                </c:pt>
                <c:pt idx="1250">
                  <c:v>78.939067720569739</c:v>
                </c:pt>
                <c:pt idx="1251">
                  <c:v>78.939067720569739</c:v>
                </c:pt>
                <c:pt idx="1252">
                  <c:v>78.939067720569739</c:v>
                </c:pt>
                <c:pt idx="1253">
                  <c:v>76.929065107442483</c:v>
                </c:pt>
                <c:pt idx="1254">
                  <c:v>79.639021739183406</c:v>
                </c:pt>
                <c:pt idx="1255">
                  <c:v>85.358923181581162</c:v>
                </c:pt>
                <c:pt idx="1256">
                  <c:v>90.108829933886099</c:v>
                </c:pt>
                <c:pt idx="1257">
                  <c:v>91.638831870800999</c:v>
                </c:pt>
                <c:pt idx="1258">
                  <c:v>91.638831870800999</c:v>
                </c:pt>
                <c:pt idx="1259">
                  <c:v>91.638831870800999</c:v>
                </c:pt>
                <c:pt idx="1260">
                  <c:v>94.268838187391026</c:v>
                </c:pt>
                <c:pt idx="1261">
                  <c:v>92.568902855355276</c:v>
                </c:pt>
                <c:pt idx="1262">
                  <c:v>94.788857907550096</c:v>
                </c:pt>
                <c:pt idx="1263">
                  <c:v>97.678782362527855</c:v>
                </c:pt>
                <c:pt idx="1264">
                  <c:v>96.048833655395796</c:v>
                </c:pt>
                <c:pt idx="1265">
                  <c:v>96.048833655395796</c:v>
                </c:pt>
                <c:pt idx="1266">
                  <c:v>96.048833655395796</c:v>
                </c:pt>
                <c:pt idx="1267">
                  <c:v>96.048833655395796</c:v>
                </c:pt>
                <c:pt idx="1268">
                  <c:v>93.488829049532455</c:v>
                </c:pt>
                <c:pt idx="1269">
                  <c:v>93.528859401356243</c:v>
                </c:pt>
                <c:pt idx="1270">
                  <c:v>88.03892793329203</c:v>
                </c:pt>
                <c:pt idx="1271">
                  <c:v>89.988897349968511</c:v>
                </c:pt>
                <c:pt idx="1272">
                  <c:v>89.988897349968511</c:v>
                </c:pt>
                <c:pt idx="1273">
                  <c:v>89.988897349968511</c:v>
                </c:pt>
                <c:pt idx="1274">
                  <c:v>87.108902805415852</c:v>
                </c:pt>
                <c:pt idx="1275">
                  <c:v>91.428823276402582</c:v>
                </c:pt>
                <c:pt idx="1276">
                  <c:v>88.328834500763776</c:v>
                </c:pt>
                <c:pt idx="1277">
                  <c:v>92.498771624361623</c:v>
                </c:pt>
                <c:pt idx="1278">
                  <c:v>94.058735756889646</c:v>
                </c:pt>
                <c:pt idx="1279">
                  <c:v>94.058735756889646</c:v>
                </c:pt>
                <c:pt idx="1280">
                  <c:v>94.058735756889646</c:v>
                </c:pt>
                <c:pt idx="1281">
                  <c:v>94.50869163777709</c:v>
                </c:pt>
                <c:pt idx="1282">
                  <c:v>97.898627409070997</c:v>
                </c:pt>
                <c:pt idx="1283">
                  <c:v>95.718635485880071</c:v>
                </c:pt>
                <c:pt idx="1284">
                  <c:v>89.628722319180994</c:v>
                </c:pt>
                <c:pt idx="1285">
                  <c:v>89.508691164329619</c:v>
                </c:pt>
                <c:pt idx="1286">
                  <c:v>89.508691164329619</c:v>
                </c:pt>
                <c:pt idx="1287">
                  <c:v>89.508691164329619</c:v>
                </c:pt>
                <c:pt idx="1288">
                  <c:v>95.888641956934251</c:v>
                </c:pt>
                <c:pt idx="1289">
                  <c:v>95.218683301226818</c:v>
                </c:pt>
                <c:pt idx="1290">
                  <c:v>103.41853185494142</c:v>
                </c:pt>
                <c:pt idx="1291">
                  <c:v>107.05852158896627</c:v>
                </c:pt>
                <c:pt idx="1292">
                  <c:v>103.97857229890054</c:v>
                </c:pt>
                <c:pt idx="1293">
                  <c:v>103.97857229890054</c:v>
                </c:pt>
                <c:pt idx="1294">
                  <c:v>103.97857229890054</c:v>
                </c:pt>
                <c:pt idx="1295">
                  <c:v>106.20852652175124</c:v>
                </c:pt>
                <c:pt idx="1296">
                  <c:v>106.20852652175124</c:v>
                </c:pt>
                <c:pt idx="1297">
                  <c:v>102.73853258373559</c:v>
                </c:pt>
                <c:pt idx="1298">
                  <c:v>103.26850655939843</c:v>
                </c:pt>
                <c:pt idx="1299">
                  <c:v>107.78839742877943</c:v>
                </c:pt>
                <c:pt idx="1300">
                  <c:v>107.78839742877943</c:v>
                </c:pt>
                <c:pt idx="1301">
                  <c:v>107.78839742877943</c:v>
                </c:pt>
                <c:pt idx="1302">
                  <c:v>105.46840883953615</c:v>
                </c:pt>
                <c:pt idx="1303">
                  <c:v>107.49840879114818</c:v>
                </c:pt>
                <c:pt idx="1304">
                  <c:v>111.63829155695474</c:v>
                </c:pt>
                <c:pt idx="1305">
                  <c:v>105.44836696759023</c:v>
                </c:pt>
                <c:pt idx="1306">
                  <c:v>100.32840766750225</c:v>
                </c:pt>
                <c:pt idx="1307">
                  <c:v>100.32840766750225</c:v>
                </c:pt>
                <c:pt idx="1308">
                  <c:v>100.32840766750225</c:v>
                </c:pt>
                <c:pt idx="1309">
                  <c:v>91.548536794739562</c:v>
                </c:pt>
                <c:pt idx="1310">
                  <c:v>88.658620404049174</c:v>
                </c:pt>
                <c:pt idx="1311">
                  <c:v>97.088525836888707</c:v>
                </c:pt>
                <c:pt idx="1312">
                  <c:v>88.748638755734802</c:v>
                </c:pt>
                <c:pt idx="1313">
                  <c:v>68.548970788603157</c:v>
                </c:pt>
                <c:pt idx="1314">
                  <c:v>68.548970788603157</c:v>
                </c:pt>
                <c:pt idx="1315">
                  <c:v>68.548970788603157</c:v>
                </c:pt>
                <c:pt idx="1316">
                  <c:v>72.428915355269595</c:v>
                </c:pt>
                <c:pt idx="1317">
                  <c:v>76.708887747120173</c:v>
                </c:pt>
                <c:pt idx="1318">
                  <c:v>75.038897092330359</c:v>
                </c:pt>
                <c:pt idx="1319">
                  <c:v>76.488897114938254</c:v>
                </c:pt>
                <c:pt idx="1320">
                  <c:v>74.908918212010533</c:v>
                </c:pt>
                <c:pt idx="1321">
                  <c:v>74.908918212010533</c:v>
                </c:pt>
                <c:pt idx="1322">
                  <c:v>74.908918212010533</c:v>
                </c:pt>
                <c:pt idx="1323">
                  <c:v>75.428925222494414</c:v>
                </c:pt>
                <c:pt idx="1324">
                  <c:v>73.048989155798495</c:v>
                </c:pt>
                <c:pt idx="1325">
                  <c:v>76.778908532297507</c:v>
                </c:pt>
                <c:pt idx="1326">
                  <c:v>76.108921694619767</c:v>
                </c:pt>
                <c:pt idx="1327">
                  <c:v>73.958935441340017</c:v>
                </c:pt>
                <c:pt idx="1328">
                  <c:v>73.958935441340017</c:v>
                </c:pt>
                <c:pt idx="1329">
                  <c:v>73.958935441340017</c:v>
                </c:pt>
                <c:pt idx="1330">
                  <c:v>81.058794163310196</c:v>
                </c:pt>
                <c:pt idx="1331">
                  <c:v>79.558792686008204</c:v>
                </c:pt>
                <c:pt idx="1332">
                  <c:v>81.40872454251226</c:v>
                </c:pt>
                <c:pt idx="1333">
                  <c:v>80.81874768441601</c:v>
                </c:pt>
                <c:pt idx="1334">
                  <c:v>78.45878586440071</c:v>
                </c:pt>
                <c:pt idx="1335">
                  <c:v>78.45878586440071</c:v>
                </c:pt>
                <c:pt idx="1336">
                  <c:v>78.45878586440071</c:v>
                </c:pt>
                <c:pt idx="1337">
                  <c:v>77.088840087210883</c:v>
                </c:pt>
                <c:pt idx="1338">
                  <c:v>75.718858775387787</c:v>
                </c:pt>
                <c:pt idx="1339">
                  <c:v>72.748885523875586</c:v>
                </c:pt>
                <c:pt idx="1340">
                  <c:v>70.718899513345008</c:v>
                </c:pt>
                <c:pt idx="1341">
                  <c:v>70.998919250870443</c:v>
                </c:pt>
                <c:pt idx="1342">
                  <c:v>70.998919250870443</c:v>
                </c:pt>
                <c:pt idx="1343">
                  <c:v>70.998919250870443</c:v>
                </c:pt>
                <c:pt idx="1344">
                  <c:v>70.418948788647143</c:v>
                </c:pt>
                <c:pt idx="1345">
                  <c:v>68.288948205179395</c:v>
                </c:pt>
                <c:pt idx="1346">
                  <c:v>67.598965563671015</c:v>
                </c:pt>
                <c:pt idx="1347">
                  <c:v>66.028994169307396</c:v>
                </c:pt>
                <c:pt idx="1348">
                  <c:v>70.418908953466499</c:v>
                </c:pt>
                <c:pt idx="1349">
                  <c:v>70.418908953466499</c:v>
                </c:pt>
                <c:pt idx="1350">
                  <c:v>70.418908953466499</c:v>
                </c:pt>
                <c:pt idx="1351">
                  <c:v>70.298908716287798</c:v>
                </c:pt>
                <c:pt idx="1352">
                  <c:v>67.808963573855806</c:v>
                </c:pt>
                <c:pt idx="1353">
                  <c:v>69.268945130368579</c:v>
                </c:pt>
                <c:pt idx="1354">
                  <c:v>75.788830884904229</c:v>
                </c:pt>
                <c:pt idx="1355">
                  <c:v>76.458839697170532</c:v>
                </c:pt>
                <c:pt idx="1356">
                  <c:v>76.458839697170532</c:v>
                </c:pt>
                <c:pt idx="1357">
                  <c:v>76.458839697170532</c:v>
                </c:pt>
                <c:pt idx="1358">
                  <c:v>76.398866586899814</c:v>
                </c:pt>
                <c:pt idx="1359">
                  <c:v>75.578910981659774</c:v>
                </c:pt>
                <c:pt idx="1360">
                  <c:v>72.138964461321663</c:v>
                </c:pt>
                <c:pt idx="1361">
                  <c:v>69.708979156891573</c:v>
                </c:pt>
                <c:pt idx="1362">
                  <c:v>72.578969341565085</c:v>
                </c:pt>
                <c:pt idx="1363">
                  <c:v>72.578969341565085</c:v>
                </c:pt>
                <c:pt idx="1364">
                  <c:v>72.578969341565085</c:v>
                </c:pt>
                <c:pt idx="1365">
                  <c:v>73.198964571485561</c:v>
                </c:pt>
                <c:pt idx="1366">
                  <c:v>70.819020566333364</c:v>
                </c:pt>
                <c:pt idx="1367">
                  <c:v>70.829007456384701</c:v>
                </c:pt>
                <c:pt idx="1368">
                  <c:v>71.199028809105627</c:v>
                </c:pt>
                <c:pt idx="1369">
                  <c:v>72.77898785648199</c:v>
                </c:pt>
                <c:pt idx="1370">
                  <c:v>72.77898785648199</c:v>
                </c:pt>
                <c:pt idx="1371">
                  <c:v>72.77898785648199</c:v>
                </c:pt>
                <c:pt idx="1372">
                  <c:v>72.818965468524212</c:v>
                </c:pt>
                <c:pt idx="1373">
                  <c:v>72.298991124357826</c:v>
                </c:pt>
                <c:pt idx="1374">
                  <c:v>75.278985025580454</c:v>
                </c:pt>
                <c:pt idx="1375">
                  <c:v>78.198933190929779</c:v>
                </c:pt>
                <c:pt idx="1376">
                  <c:v>78.198933190929779</c:v>
                </c:pt>
                <c:pt idx="1377">
                  <c:v>78.198933190929779</c:v>
                </c:pt>
                <c:pt idx="1378">
                  <c:v>78.198933190929779</c:v>
                </c:pt>
                <c:pt idx="1379">
                  <c:v>78.018943488302256</c:v>
                </c:pt>
                <c:pt idx="1380">
                  <c:v>79.50894104345663</c:v>
                </c:pt>
                <c:pt idx="1381">
                  <c:v>80.048951268715385</c:v>
                </c:pt>
                <c:pt idx="1382">
                  <c:v>80.708908009509145</c:v>
                </c:pt>
                <c:pt idx="1383">
                  <c:v>80.578934188662814</c:v>
                </c:pt>
                <c:pt idx="1384">
                  <c:v>80.578934188662814</c:v>
                </c:pt>
                <c:pt idx="1385">
                  <c:v>80.578934188662814</c:v>
                </c:pt>
                <c:pt idx="1386">
                  <c:v>78.418962291310947</c:v>
                </c:pt>
                <c:pt idx="1387">
                  <c:v>80.058970297862658</c:v>
                </c:pt>
                <c:pt idx="1388">
                  <c:v>80.61894952123717</c:v>
                </c:pt>
                <c:pt idx="1389">
                  <c:v>79.388976114298359</c:v>
                </c:pt>
                <c:pt idx="1390">
                  <c:v>77.179031720027083</c:v>
                </c:pt>
                <c:pt idx="1391">
                  <c:v>77.179031720027083</c:v>
                </c:pt>
                <c:pt idx="1392">
                  <c:v>77.179031720027083</c:v>
                </c:pt>
                <c:pt idx="1393">
                  <c:v>75.789060353150319</c:v>
                </c:pt>
                <c:pt idx="1394">
                  <c:v>76.899020819661303</c:v>
                </c:pt>
                <c:pt idx="1395">
                  <c:v>79.258956241759691</c:v>
                </c:pt>
                <c:pt idx="1396">
                  <c:v>78.958991034818411</c:v>
                </c:pt>
                <c:pt idx="1397">
                  <c:v>80.908978321341053</c:v>
                </c:pt>
                <c:pt idx="1398">
                  <c:v>80.908978321341053</c:v>
                </c:pt>
                <c:pt idx="1399">
                  <c:v>80.908978321341053</c:v>
                </c:pt>
                <c:pt idx="1400">
                  <c:v>85.608907333976347</c:v>
                </c:pt>
                <c:pt idx="1401">
                  <c:v>82.398972943971017</c:v>
                </c:pt>
                <c:pt idx="1402">
                  <c:v>87.528864642965956</c:v>
                </c:pt>
                <c:pt idx="1403">
                  <c:v>81.318943520985869</c:v>
                </c:pt>
                <c:pt idx="1404">
                  <c:v>84.03894811569856</c:v>
                </c:pt>
                <c:pt idx="1405">
                  <c:v>84.03894811569856</c:v>
                </c:pt>
                <c:pt idx="1406">
                  <c:v>84.03894811569856</c:v>
                </c:pt>
                <c:pt idx="1407">
                  <c:v>83.378920580384232</c:v>
                </c:pt>
                <c:pt idx="1408">
                  <c:v>86.438856085822351</c:v>
                </c:pt>
                <c:pt idx="1409">
                  <c:v>83.15890264759588</c:v>
                </c:pt>
                <c:pt idx="1410">
                  <c:v>83.188933852716715</c:v>
                </c:pt>
                <c:pt idx="1411">
                  <c:v>81.908942803526003</c:v>
                </c:pt>
                <c:pt idx="1412">
                  <c:v>81.908942803526003</c:v>
                </c:pt>
                <c:pt idx="1413">
                  <c:v>81.908942803526003</c:v>
                </c:pt>
                <c:pt idx="1414">
                  <c:v>84.098877575594472</c:v>
                </c:pt>
                <c:pt idx="1415">
                  <c:v>85.558853857824388</c:v>
                </c:pt>
                <c:pt idx="1416">
                  <c:v>82.678899743073913</c:v>
                </c:pt>
                <c:pt idx="1417">
                  <c:v>81.44893931054537</c:v>
                </c:pt>
                <c:pt idx="1418">
                  <c:v>81.148931710013443</c:v>
                </c:pt>
                <c:pt idx="1419">
                  <c:v>81.148931710013443</c:v>
                </c:pt>
                <c:pt idx="1420">
                  <c:v>81.148931710013443</c:v>
                </c:pt>
                <c:pt idx="1421">
                  <c:v>74.109019510621465</c:v>
                </c:pt>
                <c:pt idx="1422">
                  <c:v>74.148985813975187</c:v>
                </c:pt>
                <c:pt idx="1423">
                  <c:v>72.999032061904018</c:v>
                </c:pt>
                <c:pt idx="1424">
                  <c:v>70.939033468997792</c:v>
                </c:pt>
                <c:pt idx="1425">
                  <c:v>70.619058514866921</c:v>
                </c:pt>
                <c:pt idx="1426">
                  <c:v>70.619058514866921</c:v>
                </c:pt>
                <c:pt idx="1427">
                  <c:v>70.619058514866921</c:v>
                </c:pt>
                <c:pt idx="1428">
                  <c:v>71.989009363045682</c:v>
                </c:pt>
                <c:pt idx="1429">
                  <c:v>73.629022203608869</c:v>
                </c:pt>
                <c:pt idx="1430">
                  <c:v>76.498957077321663</c:v>
                </c:pt>
                <c:pt idx="1431">
                  <c:v>77.848935467259423</c:v>
                </c:pt>
                <c:pt idx="1432">
                  <c:v>77.948943962363131</c:v>
                </c:pt>
                <c:pt idx="1433">
                  <c:v>77.948943962363131</c:v>
                </c:pt>
                <c:pt idx="1434">
                  <c:v>77.948943962363131</c:v>
                </c:pt>
                <c:pt idx="1435">
                  <c:v>76.108934365151242</c:v>
                </c:pt>
                <c:pt idx="1436">
                  <c:v>77.638886257746393</c:v>
                </c:pt>
                <c:pt idx="1437">
                  <c:v>76.558870274780062</c:v>
                </c:pt>
                <c:pt idx="1438">
                  <c:v>76.618862844387223</c:v>
                </c:pt>
                <c:pt idx="1439">
                  <c:v>76.618862844387223</c:v>
                </c:pt>
                <c:pt idx="1440">
                  <c:v>76.618862844387223</c:v>
                </c:pt>
                <c:pt idx="1441">
                  <c:v>76.618862844387223</c:v>
                </c:pt>
                <c:pt idx="1442">
                  <c:v>76.678825686073722</c:v>
                </c:pt>
                <c:pt idx="1443">
                  <c:v>77.358809622656878</c:v>
                </c:pt>
                <c:pt idx="1444">
                  <c:v>79.968749706838977</c:v>
                </c:pt>
                <c:pt idx="1445">
                  <c:v>79.888781037020919</c:v>
                </c:pt>
                <c:pt idx="1446">
                  <c:v>76.018815193167171</c:v>
                </c:pt>
                <c:pt idx="1447">
                  <c:v>76.018815193167171</c:v>
                </c:pt>
                <c:pt idx="1448">
                  <c:v>76.018815193167171</c:v>
                </c:pt>
                <c:pt idx="1449">
                  <c:v>75.878818772531829</c:v>
                </c:pt>
                <c:pt idx="1450">
                  <c:v>65.388986741488722</c:v>
                </c:pt>
                <c:pt idx="1451">
                  <c:v>64.499029137450179</c:v>
                </c:pt>
                <c:pt idx="1452">
                  <c:v>61.259096768462946</c:v>
                </c:pt>
                <c:pt idx="1453">
                  <c:v>60.879089491854792</c:v>
                </c:pt>
                <c:pt idx="1454">
                  <c:v>60.879089491854792</c:v>
                </c:pt>
                <c:pt idx="1455">
                  <c:v>60.879089491854792</c:v>
                </c:pt>
                <c:pt idx="1456">
                  <c:v>62.139083691874944</c:v>
                </c:pt>
                <c:pt idx="1457">
                  <c:v>59.019154146242137</c:v>
                </c:pt>
                <c:pt idx="1458">
                  <c:v>58.575154475319216</c:v>
                </c:pt>
                <c:pt idx="1459">
                  <c:v>60.155128936845465</c:v>
                </c:pt>
                <c:pt idx="1460">
                  <c:v>59.980106984664218</c:v>
                </c:pt>
                <c:pt idx="1461">
                  <c:v>59.980106984664218</c:v>
                </c:pt>
                <c:pt idx="1462">
                  <c:v>59.980106984664218</c:v>
                </c:pt>
                <c:pt idx="1463">
                  <c:v>59.026126724542166</c:v>
                </c:pt>
                <c:pt idx="1464">
                  <c:v>58.529155663800829</c:v>
                </c:pt>
                <c:pt idx="1465">
                  <c:v>60.486123710324676</c:v>
                </c:pt>
                <c:pt idx="1466">
                  <c:v>59.984116638179749</c:v>
                </c:pt>
                <c:pt idx="1467">
                  <c:v>57.474162488159337</c:v>
                </c:pt>
                <c:pt idx="1468">
                  <c:v>57.474162488159337</c:v>
                </c:pt>
                <c:pt idx="1469">
                  <c:v>57.474162488159337</c:v>
                </c:pt>
                <c:pt idx="1470">
                  <c:v>56.795176157200018</c:v>
                </c:pt>
                <c:pt idx="1471">
                  <c:v>58.188142090709512</c:v>
                </c:pt>
                <c:pt idx="1472">
                  <c:v>58.309133542810848</c:v>
                </c:pt>
                <c:pt idx="1473">
                  <c:v>58.813103022611607</c:v>
                </c:pt>
                <c:pt idx="1474">
                  <c:v>58.813103022611607</c:v>
                </c:pt>
                <c:pt idx="1475">
                  <c:v>58.813103022611607</c:v>
                </c:pt>
                <c:pt idx="1476">
                  <c:v>58.813103022611607</c:v>
                </c:pt>
                <c:pt idx="1477">
                  <c:v>58.457099287948004</c:v>
                </c:pt>
                <c:pt idx="1478">
                  <c:v>58.146075927810145</c:v>
                </c:pt>
                <c:pt idx="1479">
                  <c:v>56.128102267004536</c:v>
                </c:pt>
                <c:pt idx="1480">
                  <c:v>55.556096695428408</c:v>
                </c:pt>
                <c:pt idx="1481">
                  <c:v>53.971126619979472</c:v>
                </c:pt>
                <c:pt idx="1482">
                  <c:v>53.971126619979472</c:v>
                </c:pt>
                <c:pt idx="1483">
                  <c:v>53.971126619979472</c:v>
                </c:pt>
                <c:pt idx="1484">
                  <c:v>54.329101066909338</c:v>
                </c:pt>
                <c:pt idx="1485">
                  <c:v>50.909175391626071</c:v>
                </c:pt>
                <c:pt idx="1486">
                  <c:v>50.849173367052956</c:v>
                </c:pt>
                <c:pt idx="1487">
                  <c:v>50.763180539219512</c:v>
                </c:pt>
                <c:pt idx="1488">
                  <c:v>51.748154919966147</c:v>
                </c:pt>
                <c:pt idx="1489">
                  <c:v>51.748154919966147</c:v>
                </c:pt>
                <c:pt idx="1490">
                  <c:v>51.748154919966147</c:v>
                </c:pt>
                <c:pt idx="1491">
                  <c:v>49.349191998533428</c:v>
                </c:pt>
                <c:pt idx="1492">
                  <c:v>50.475192594941383</c:v>
                </c:pt>
                <c:pt idx="1493">
                  <c:v>51.434182935778985</c:v>
                </c:pt>
                <c:pt idx="1494">
                  <c:v>48.959244183080095</c:v>
                </c:pt>
                <c:pt idx="1495">
                  <c:v>66.142013232767965</c:v>
                </c:pt>
                <c:pt idx="1496">
                  <c:v>66.142013232767965</c:v>
                </c:pt>
                <c:pt idx="1497">
                  <c:v>66.142013232767965</c:v>
                </c:pt>
                <c:pt idx="1498">
                  <c:v>61.22911176311883</c:v>
                </c:pt>
                <c:pt idx="1499">
                  <c:v>63.913077541392049</c:v>
                </c:pt>
                <c:pt idx="1500">
                  <c:v>66.654024329885601</c:v>
                </c:pt>
                <c:pt idx="1501">
                  <c:v>70.154967682126767</c:v>
                </c:pt>
                <c:pt idx="1502">
                  <c:v>72.929952369797576</c:v>
                </c:pt>
                <c:pt idx="1503">
                  <c:v>72.929952369797576</c:v>
                </c:pt>
                <c:pt idx="1504">
                  <c:v>72.929952369797576</c:v>
                </c:pt>
                <c:pt idx="1505">
                  <c:v>74.896894616208442</c:v>
                </c:pt>
                <c:pt idx="1506">
                  <c:v>74.635892898741531</c:v>
                </c:pt>
                <c:pt idx="1507">
                  <c:v>74.86092483880698</c:v>
                </c:pt>
                <c:pt idx="1508">
                  <c:v>74.762910662927879</c:v>
                </c:pt>
                <c:pt idx="1509">
                  <c:v>72.647912000847214</c:v>
                </c:pt>
                <c:pt idx="1510">
                  <c:v>72.647912000847214</c:v>
                </c:pt>
                <c:pt idx="1511">
                  <c:v>72.647912000847214</c:v>
                </c:pt>
                <c:pt idx="1512">
                  <c:v>70.02194887416816</c:v>
                </c:pt>
                <c:pt idx="1513">
                  <c:v>70.725955030542181</c:v>
                </c:pt>
                <c:pt idx="1514">
                  <c:v>68.605962192821792</c:v>
                </c:pt>
                <c:pt idx="1515">
                  <c:v>69.546932185288753</c:v>
                </c:pt>
                <c:pt idx="1516">
                  <c:v>71.884917233387441</c:v>
                </c:pt>
                <c:pt idx="1517">
                  <c:v>71.884917233387441</c:v>
                </c:pt>
                <c:pt idx="1518">
                  <c:v>71.884917233387441</c:v>
                </c:pt>
                <c:pt idx="1519">
                  <c:v>73.498879119983144</c:v>
                </c:pt>
                <c:pt idx="1520">
                  <c:v>71.608905282852803</c:v>
                </c:pt>
                <c:pt idx="1521">
                  <c:v>72.29586054979697</c:v>
                </c:pt>
                <c:pt idx="1522">
                  <c:v>70.584882986211213</c:v>
                </c:pt>
                <c:pt idx="1523">
                  <c:v>69.254911662641831</c:v>
                </c:pt>
                <c:pt idx="1524">
                  <c:v>69.254911662641831</c:v>
                </c:pt>
                <c:pt idx="1525">
                  <c:v>69.254911662641831</c:v>
                </c:pt>
                <c:pt idx="1526">
                  <c:v>69.038888979026467</c:v>
                </c:pt>
                <c:pt idx="1527">
                  <c:v>67.785933779054432</c:v>
                </c:pt>
                <c:pt idx="1528">
                  <c:v>66.96196677785295</c:v>
                </c:pt>
                <c:pt idx="1529">
                  <c:v>65.317022873799189</c:v>
                </c:pt>
                <c:pt idx="1530">
                  <c:v>65.883023932402452</c:v>
                </c:pt>
                <c:pt idx="1531">
                  <c:v>65.883023932402452</c:v>
                </c:pt>
                <c:pt idx="1532">
                  <c:v>65.883023932402452</c:v>
                </c:pt>
                <c:pt idx="1533">
                  <c:v>65.883023932402452</c:v>
                </c:pt>
                <c:pt idx="1534">
                  <c:v>65.165035570486836</c:v>
                </c:pt>
                <c:pt idx="1535">
                  <c:v>62.587073992726431</c:v>
                </c:pt>
                <c:pt idx="1536">
                  <c:v>61.257120646373025</c:v>
                </c:pt>
                <c:pt idx="1537">
                  <c:v>67.120057685172867</c:v>
                </c:pt>
                <c:pt idx="1538">
                  <c:v>67.120057685172867</c:v>
                </c:pt>
                <c:pt idx="1539">
                  <c:v>67.120057685172867</c:v>
                </c:pt>
                <c:pt idx="1540">
                  <c:v>65.337074265540551</c:v>
                </c:pt>
                <c:pt idx="1541">
                  <c:v>66.805048399061533</c:v>
                </c:pt>
                <c:pt idx="1542">
                  <c:v>72.429959016264647</c:v>
                </c:pt>
                <c:pt idx="1543">
                  <c:v>74.083957450300048</c:v>
                </c:pt>
                <c:pt idx="1544">
                  <c:v>73.319963431345414</c:v>
                </c:pt>
                <c:pt idx="1545">
                  <c:v>73.319963431345414</c:v>
                </c:pt>
                <c:pt idx="1546">
                  <c:v>73.319963431345414</c:v>
                </c:pt>
                <c:pt idx="1547">
                  <c:v>70.009026539225815</c:v>
                </c:pt>
                <c:pt idx="1548">
                  <c:v>77.149948634925934</c:v>
                </c:pt>
                <c:pt idx="1549">
                  <c:v>76.890979814909315</c:v>
                </c:pt>
                <c:pt idx="1550">
                  <c:v>75.824956747989333</c:v>
                </c:pt>
                <c:pt idx="1551">
                  <c:v>75.120997876885042</c:v>
                </c:pt>
                <c:pt idx="1552">
                  <c:v>75.120997876885042</c:v>
                </c:pt>
                <c:pt idx="1553">
                  <c:v>75.120997876885042</c:v>
                </c:pt>
                <c:pt idx="1554">
                  <c:v>75.649028092974007</c:v>
                </c:pt>
                <c:pt idx="1555">
                  <c:v>72.260101588571573</c:v>
                </c:pt>
                <c:pt idx="1556">
                  <c:v>71.931088788453181</c:v>
                </c:pt>
                <c:pt idx="1557">
                  <c:v>67.893144046299525</c:v>
                </c:pt>
                <c:pt idx="1558">
                  <c:v>65.41616110602007</c:v>
                </c:pt>
                <c:pt idx="1559">
                  <c:v>65.41616110602007</c:v>
                </c:pt>
                <c:pt idx="1560">
                  <c:v>65.41616110602007</c:v>
                </c:pt>
                <c:pt idx="1561">
                  <c:v>64.015188701292288</c:v>
                </c:pt>
                <c:pt idx="1562">
                  <c:v>69.592090019157524</c:v>
                </c:pt>
                <c:pt idx="1563">
                  <c:v>79.789965751948273</c:v>
                </c:pt>
                <c:pt idx="1564">
                  <c:v>83.232894430047182</c:v>
                </c:pt>
                <c:pt idx="1565">
                  <c:v>80.537934079866673</c:v>
                </c:pt>
                <c:pt idx="1566">
                  <c:v>80.537934079866673</c:v>
                </c:pt>
                <c:pt idx="1567">
                  <c:v>80.537934079866673</c:v>
                </c:pt>
                <c:pt idx="1568">
                  <c:v>75.458024418021083</c:v>
                </c:pt>
                <c:pt idx="1569">
                  <c:v>78.102981900066851</c:v>
                </c:pt>
                <c:pt idx="1570">
                  <c:v>79.107969545168672</c:v>
                </c:pt>
                <c:pt idx="1571">
                  <c:v>84.520854082307835</c:v>
                </c:pt>
                <c:pt idx="1572">
                  <c:v>90.333739911898604</c:v>
                </c:pt>
                <c:pt idx="1573">
                  <c:v>90.333739911898604</c:v>
                </c:pt>
                <c:pt idx="1574">
                  <c:v>90.333739911898604</c:v>
                </c:pt>
                <c:pt idx="1575">
                  <c:v>84.648810450831235</c:v>
                </c:pt>
                <c:pt idx="1576">
                  <c:v>84.440832679940527</c:v>
                </c:pt>
                <c:pt idx="1577">
                  <c:v>86.896796849292073</c:v>
                </c:pt>
                <c:pt idx="1578">
                  <c:v>86.398794199525994</c:v>
                </c:pt>
                <c:pt idx="1579">
                  <c:v>86.398794199525994</c:v>
                </c:pt>
                <c:pt idx="1580">
                  <c:v>86.398794199525994</c:v>
                </c:pt>
                <c:pt idx="1581">
                  <c:v>86.398794199525994</c:v>
                </c:pt>
                <c:pt idx="1582">
                  <c:v>86.68276694403464</c:v>
                </c:pt>
                <c:pt idx="1583">
                  <c:v>86.190789915198678</c:v>
                </c:pt>
                <c:pt idx="1584">
                  <c:v>86.4597662479962</c:v>
                </c:pt>
                <c:pt idx="1585">
                  <c:v>85.229814790750865</c:v>
                </c:pt>
                <c:pt idx="1586">
                  <c:v>85.504798221832274</c:v>
                </c:pt>
                <c:pt idx="1587">
                  <c:v>85.504798221832274</c:v>
                </c:pt>
                <c:pt idx="1588">
                  <c:v>85.504798221832274</c:v>
                </c:pt>
                <c:pt idx="1589">
                  <c:v>85.400780071704943</c:v>
                </c:pt>
                <c:pt idx="1590">
                  <c:v>83.913827056267877</c:v>
                </c:pt>
                <c:pt idx="1591">
                  <c:v>83.143832027857883</c:v>
                </c:pt>
                <c:pt idx="1592">
                  <c:v>79.319899016186554</c:v>
                </c:pt>
                <c:pt idx="1593">
                  <c:v>76.597915491288148</c:v>
                </c:pt>
                <c:pt idx="1594">
                  <c:v>76.597915491288148</c:v>
                </c:pt>
                <c:pt idx="1595">
                  <c:v>76.597915491288148</c:v>
                </c:pt>
                <c:pt idx="1596">
                  <c:v>79.450918524587564</c:v>
                </c:pt>
                <c:pt idx="1597">
                  <c:v>75.628934681522153</c:v>
                </c:pt>
                <c:pt idx="1598">
                  <c:v>77.627931546783373</c:v>
                </c:pt>
                <c:pt idx="1599">
                  <c:v>78.55789996658784</c:v>
                </c:pt>
                <c:pt idx="1600">
                  <c:v>81.294853809802461</c:v>
                </c:pt>
                <c:pt idx="1601">
                  <c:v>81.294853809802461</c:v>
                </c:pt>
                <c:pt idx="1602">
                  <c:v>81.294853809802461</c:v>
                </c:pt>
                <c:pt idx="1603">
                  <c:v>81.301845768538556</c:v>
                </c:pt>
                <c:pt idx="1604">
                  <c:v>81.097884588797726</c:v>
                </c:pt>
                <c:pt idx="1605">
                  <c:v>78.060924327823741</c:v>
                </c:pt>
                <c:pt idx="1606">
                  <c:v>78.534882342762316</c:v>
                </c:pt>
                <c:pt idx="1607">
                  <c:v>78.534882342762316</c:v>
                </c:pt>
                <c:pt idx="1608">
                  <c:v>78.534882342762316</c:v>
                </c:pt>
                <c:pt idx="1609">
                  <c:v>78.534882342762316</c:v>
                </c:pt>
                <c:pt idx="1610">
                  <c:v>77.528867754776329</c:v>
                </c:pt>
                <c:pt idx="1611">
                  <c:v>78.543890451075583</c:v>
                </c:pt>
                <c:pt idx="1612">
                  <c:v>80.558827853343402</c:v>
                </c:pt>
                <c:pt idx="1613">
                  <c:v>77.927903890109434</c:v>
                </c:pt>
                <c:pt idx="1614">
                  <c:v>79.579903098531844</c:v>
                </c:pt>
                <c:pt idx="1615">
                  <c:v>79.579903098531844</c:v>
                </c:pt>
                <c:pt idx="1616">
                  <c:v>79.579903098531844</c:v>
                </c:pt>
                <c:pt idx="1617">
                  <c:v>76.30197044808223</c:v>
                </c:pt>
                <c:pt idx="1618">
                  <c:v>74.060025360373018</c:v>
                </c:pt>
                <c:pt idx="1619">
                  <c:v>78.852943846175066</c:v>
                </c:pt>
                <c:pt idx="1620">
                  <c:v>77.341990715555966</c:v>
                </c:pt>
                <c:pt idx="1621">
                  <c:v>80.098915280598902</c:v>
                </c:pt>
                <c:pt idx="1622">
                  <c:v>80.098915280598902</c:v>
                </c:pt>
                <c:pt idx="1623">
                  <c:v>80.098915280598902</c:v>
                </c:pt>
                <c:pt idx="1624">
                  <c:v>80.098915280598902</c:v>
                </c:pt>
                <c:pt idx="1625">
                  <c:v>81.798859171909527</c:v>
                </c:pt>
                <c:pt idx="1626">
                  <c:v>82.027881015705375</c:v>
                </c:pt>
                <c:pt idx="1627">
                  <c:v>83.260891558799642</c:v>
                </c:pt>
                <c:pt idx="1628">
                  <c:v>93.175719914949411</c:v>
                </c:pt>
                <c:pt idx="1629">
                  <c:v>93.175719914949411</c:v>
                </c:pt>
                <c:pt idx="1630">
                  <c:v>93.175719914949411</c:v>
                </c:pt>
                <c:pt idx="1631">
                  <c:v>93.175719914949411</c:v>
                </c:pt>
                <c:pt idx="1632">
                  <c:v>92.397731019762986</c:v>
                </c:pt>
                <c:pt idx="1633">
                  <c:v>97.110707895339615</c:v>
                </c:pt>
                <c:pt idx="1634">
                  <c:v>93.551719818292312</c:v>
                </c:pt>
                <c:pt idx="1635">
                  <c:v>95.148695523966566</c:v>
                </c:pt>
                <c:pt idx="1636">
                  <c:v>95.148695523966566</c:v>
                </c:pt>
                <c:pt idx="1637">
                  <c:v>95.148695523966566</c:v>
                </c:pt>
                <c:pt idx="1638">
                  <c:v>94.238726382021753</c:v>
                </c:pt>
                <c:pt idx="1639">
                  <c:v>93.970721883210828</c:v>
                </c:pt>
                <c:pt idx="1640">
                  <c:v>93.311754274524162</c:v>
                </c:pt>
                <c:pt idx="1641">
                  <c:v>92.240746961553555</c:v>
                </c:pt>
                <c:pt idx="1642">
                  <c:v>92.612772468559768</c:v>
                </c:pt>
                <c:pt idx="1643">
                  <c:v>92.612772468559768</c:v>
                </c:pt>
                <c:pt idx="1644">
                  <c:v>92.612772468559768</c:v>
                </c:pt>
                <c:pt idx="1645">
                  <c:v>91.756773528314127</c:v>
                </c:pt>
                <c:pt idx="1646">
                  <c:v>88.524820844116306</c:v>
                </c:pt>
                <c:pt idx="1647">
                  <c:v>91.49880655352554</c:v>
                </c:pt>
                <c:pt idx="1648">
                  <c:v>91.261799659809014</c:v>
                </c:pt>
                <c:pt idx="1649">
                  <c:v>90.376829742965896</c:v>
                </c:pt>
                <c:pt idx="1650">
                  <c:v>90.376829742965896</c:v>
                </c:pt>
                <c:pt idx="1651">
                  <c:v>90.376829742965896</c:v>
                </c:pt>
                <c:pt idx="1652">
                  <c:v>88.716848785343345</c:v>
                </c:pt>
                <c:pt idx="1653">
                  <c:v>86.69088285306718</c:v>
                </c:pt>
                <c:pt idx="1654">
                  <c:v>89.011867292724972</c:v>
                </c:pt>
                <c:pt idx="1655">
                  <c:v>90.105842324385335</c:v>
                </c:pt>
                <c:pt idx="1656">
                  <c:v>87.308901659716327</c:v>
                </c:pt>
                <c:pt idx="1657">
                  <c:v>87.308901659716327</c:v>
                </c:pt>
                <c:pt idx="1658">
                  <c:v>87.308901659716327</c:v>
                </c:pt>
                <c:pt idx="1659">
                  <c:v>86.225904301687137</c:v>
                </c:pt>
                <c:pt idx="1660">
                  <c:v>86.225904301687137</c:v>
                </c:pt>
                <c:pt idx="1661">
                  <c:v>84.408917934234807</c:v>
                </c:pt>
                <c:pt idx="1662">
                  <c:v>83.963909215393215</c:v>
                </c:pt>
                <c:pt idx="1663">
                  <c:v>82.698946135307551</c:v>
                </c:pt>
                <c:pt idx="1664">
                  <c:v>82.698946135307551</c:v>
                </c:pt>
                <c:pt idx="1665">
                  <c:v>82.698946135307551</c:v>
                </c:pt>
                <c:pt idx="1666">
                  <c:v>80.591007736940142</c:v>
                </c:pt>
                <c:pt idx="1667">
                  <c:v>77.241062841504103</c:v>
                </c:pt>
                <c:pt idx="1668">
                  <c:v>79.505048605597096</c:v>
                </c:pt>
                <c:pt idx="1669">
                  <c:v>74.612134077089706</c:v>
                </c:pt>
                <c:pt idx="1670">
                  <c:v>73.4761197890315</c:v>
                </c:pt>
                <c:pt idx="1671">
                  <c:v>73.4761197890315</c:v>
                </c:pt>
                <c:pt idx="1672">
                  <c:v>73.4761197890315</c:v>
                </c:pt>
                <c:pt idx="1673">
                  <c:v>73.999145751200984</c:v>
                </c:pt>
                <c:pt idx="1674">
                  <c:v>74.203130155999816</c:v>
                </c:pt>
                <c:pt idx="1675">
                  <c:v>70.7271725346137</c:v>
                </c:pt>
                <c:pt idx="1676">
                  <c:v>76.136110212435781</c:v>
                </c:pt>
                <c:pt idx="1677">
                  <c:v>81.933036404098559</c:v>
                </c:pt>
                <c:pt idx="1678">
                  <c:v>81.933036404098559</c:v>
                </c:pt>
                <c:pt idx="1679">
                  <c:v>81.933036404098559</c:v>
                </c:pt>
                <c:pt idx="1680">
                  <c:v>64.729235471300754</c:v>
                </c:pt>
                <c:pt idx="1681">
                  <c:v>63.241232511536815</c:v>
                </c:pt>
                <c:pt idx="1682">
                  <c:v>58.607272675620834</c:v>
                </c:pt>
                <c:pt idx="1683">
                  <c:v>55.915287093777984</c:v>
                </c:pt>
                <c:pt idx="1684">
                  <c:v>56.644299224801181</c:v>
                </c:pt>
                <c:pt idx="1685">
                  <c:v>56.644299224801181</c:v>
                </c:pt>
                <c:pt idx="1686">
                  <c:v>56.644299224801181</c:v>
                </c:pt>
                <c:pt idx="1687">
                  <c:v>61.79726409103187</c:v>
                </c:pt>
                <c:pt idx="1688">
                  <c:v>59.648314272728292</c:v>
                </c:pt>
                <c:pt idx="1689">
                  <c:v>61.335279808583579</c:v>
                </c:pt>
                <c:pt idx="1690">
                  <c:v>60.831292549808403</c:v>
                </c:pt>
                <c:pt idx="1691">
                  <c:v>61.99026249746094</c:v>
                </c:pt>
                <c:pt idx="1692">
                  <c:v>61.99026249746094</c:v>
                </c:pt>
                <c:pt idx="1693">
                  <c:v>61.99026249746094</c:v>
                </c:pt>
                <c:pt idx="1694">
                  <c:v>60.690276769067516</c:v>
                </c:pt>
                <c:pt idx="1695">
                  <c:v>62.466254861021199</c:v>
                </c:pt>
                <c:pt idx="1696">
                  <c:v>61.22828026239582</c:v>
                </c:pt>
                <c:pt idx="1697">
                  <c:v>61.828261714069157</c:v>
                </c:pt>
                <c:pt idx="1698">
                  <c:v>60.499274158626598</c:v>
                </c:pt>
                <c:pt idx="1699">
                  <c:v>60.499274158626598</c:v>
                </c:pt>
                <c:pt idx="1700">
                  <c:v>60.499274158626598</c:v>
                </c:pt>
                <c:pt idx="1701">
                  <c:v>60.00025206222508</c:v>
                </c:pt>
                <c:pt idx="1702">
                  <c:v>65.395156268944177</c:v>
                </c:pt>
                <c:pt idx="1703">
                  <c:v>65.071166928805638</c:v>
                </c:pt>
                <c:pt idx="1704">
                  <c:v>62.665199268105965</c:v>
                </c:pt>
                <c:pt idx="1705">
                  <c:v>61.310242900015616</c:v>
                </c:pt>
                <c:pt idx="1706">
                  <c:v>61.310242900015616</c:v>
                </c:pt>
                <c:pt idx="1707">
                  <c:v>61.310242900015616</c:v>
                </c:pt>
                <c:pt idx="1708">
                  <c:v>60.554223420609304</c:v>
                </c:pt>
                <c:pt idx="1709">
                  <c:v>59.342217960974367</c:v>
                </c:pt>
                <c:pt idx="1710">
                  <c:v>58.524224869966844</c:v>
                </c:pt>
                <c:pt idx="1711">
                  <c:v>57.390250902386583</c:v>
                </c:pt>
                <c:pt idx="1712">
                  <c:v>55.647267199174046</c:v>
                </c:pt>
                <c:pt idx="1713">
                  <c:v>55.647267199174046</c:v>
                </c:pt>
                <c:pt idx="1714">
                  <c:v>55.647267199174046</c:v>
                </c:pt>
                <c:pt idx="1715">
                  <c:v>55.51624885188361</c:v>
                </c:pt>
                <c:pt idx="1716">
                  <c:v>51.877314618003744</c:v>
                </c:pt>
                <c:pt idx="1717">
                  <c:v>49.829329188362067</c:v>
                </c:pt>
                <c:pt idx="1718">
                  <c:v>48.762359989433278</c:v>
                </c:pt>
                <c:pt idx="1719">
                  <c:v>47.316371671162557</c:v>
                </c:pt>
                <c:pt idx="1720">
                  <c:v>47.316371671162557</c:v>
                </c:pt>
                <c:pt idx="1721">
                  <c:v>47.316371671162557</c:v>
                </c:pt>
                <c:pt idx="1722">
                  <c:v>45.31941688551904</c:v>
                </c:pt>
                <c:pt idx="1723">
                  <c:v>45.726427819540774</c:v>
                </c:pt>
                <c:pt idx="1724">
                  <c:v>46.771394311242553</c:v>
                </c:pt>
                <c:pt idx="1725">
                  <c:v>46.154402261806716</c:v>
                </c:pt>
                <c:pt idx="1726">
                  <c:v>43.574446437155608</c:v>
                </c:pt>
                <c:pt idx="1727">
                  <c:v>43.574446437155608</c:v>
                </c:pt>
                <c:pt idx="1728">
                  <c:v>43.574446437155608</c:v>
                </c:pt>
                <c:pt idx="1729">
                  <c:v>42.876460536088622</c:v>
                </c:pt>
                <c:pt idx="1730">
                  <c:v>44.130426608159482</c:v>
                </c:pt>
                <c:pt idx="1731">
                  <c:v>44.529410122860305</c:v>
                </c:pt>
                <c:pt idx="1732">
                  <c:v>42.750436220419978</c:v>
                </c:pt>
                <c:pt idx="1733">
                  <c:v>41.863433785375442</c:v>
                </c:pt>
                <c:pt idx="1734">
                  <c:v>41.863433785375442</c:v>
                </c:pt>
                <c:pt idx="1735">
                  <c:v>41.863433785375442</c:v>
                </c:pt>
                <c:pt idx="1736">
                  <c:v>42.710424207841136</c:v>
                </c:pt>
                <c:pt idx="1737">
                  <c:v>43.303421258555801</c:v>
                </c:pt>
                <c:pt idx="1738">
                  <c:v>42.00842746508949</c:v>
                </c:pt>
                <c:pt idx="1739">
                  <c:v>44.125387033404088</c:v>
                </c:pt>
                <c:pt idx="1740">
                  <c:v>44.125387033404088</c:v>
                </c:pt>
                <c:pt idx="1741">
                  <c:v>44.125387033404088</c:v>
                </c:pt>
                <c:pt idx="1742">
                  <c:v>44.125387033404088</c:v>
                </c:pt>
                <c:pt idx="1743">
                  <c:v>46.464356263344591</c:v>
                </c:pt>
                <c:pt idx="1744">
                  <c:v>51.499800784887775</c:v>
                </c:pt>
                <c:pt idx="1745">
                  <c:v>50.138344186838367</c:v>
                </c:pt>
                <c:pt idx="1746">
                  <c:v>48.129375907100098</c:v>
                </c:pt>
                <c:pt idx="1747">
                  <c:v>48.569365791808096</c:v>
                </c:pt>
                <c:pt idx="1748">
                  <c:v>48.569365791808096</c:v>
                </c:pt>
                <c:pt idx="1749">
                  <c:v>48.569365791808096</c:v>
                </c:pt>
                <c:pt idx="1750">
                  <c:v>47.409400001960137</c:v>
                </c:pt>
                <c:pt idx="1751">
                  <c:v>48.103387574497404</c:v>
                </c:pt>
                <c:pt idx="1752">
                  <c:v>46.989409640158179</c:v>
                </c:pt>
                <c:pt idx="1753">
                  <c:v>46.665411686816618</c:v>
                </c:pt>
                <c:pt idx="1754">
                  <c:v>46.177408830298035</c:v>
                </c:pt>
                <c:pt idx="1755">
                  <c:v>46.177408830298035</c:v>
                </c:pt>
                <c:pt idx="1756">
                  <c:v>46.177408830298035</c:v>
                </c:pt>
                <c:pt idx="1757">
                  <c:v>47.025418196638007</c:v>
                </c:pt>
                <c:pt idx="1758">
                  <c:v>46.400404744726536</c:v>
                </c:pt>
                <c:pt idx="1759">
                  <c:v>46.907379704573565</c:v>
                </c:pt>
                <c:pt idx="1760">
                  <c:v>47.484362189538643</c:v>
                </c:pt>
                <c:pt idx="1761">
                  <c:v>46.559367240570232</c:v>
                </c:pt>
                <c:pt idx="1762">
                  <c:v>46.559367240570232</c:v>
                </c:pt>
                <c:pt idx="1763">
                  <c:v>46.559367240570232</c:v>
                </c:pt>
                <c:pt idx="1764">
                  <c:v>47.183367272752385</c:v>
                </c:pt>
                <c:pt idx="1765">
                  <c:v>46.002393818640257</c:v>
                </c:pt>
                <c:pt idx="1766">
                  <c:v>44.564433250932417</c:v>
                </c:pt>
                <c:pt idx="1767">
                  <c:v>46.57240237952567</c:v>
                </c:pt>
                <c:pt idx="1768">
                  <c:v>49.319341757386844</c:v>
                </c:pt>
                <c:pt idx="1769">
                  <c:v>49.319341757386844</c:v>
                </c:pt>
                <c:pt idx="1770">
                  <c:v>49.319341757386844</c:v>
                </c:pt>
                <c:pt idx="1771">
                  <c:v>48.074360055041431</c:v>
                </c:pt>
                <c:pt idx="1772">
                  <c:v>49.598317973082359</c:v>
                </c:pt>
                <c:pt idx="1773">
                  <c:v>48.110360736232174</c:v>
                </c:pt>
                <c:pt idx="1774">
                  <c:v>47.531380984460462</c:v>
                </c:pt>
                <c:pt idx="1775">
                  <c:v>45.131427086292668</c:v>
                </c:pt>
                <c:pt idx="1776">
                  <c:v>45.131427086292668</c:v>
                </c:pt>
                <c:pt idx="1777">
                  <c:v>45.131427086292668</c:v>
                </c:pt>
                <c:pt idx="1778">
                  <c:v>43.028454405669954</c:v>
                </c:pt>
                <c:pt idx="1779">
                  <c:v>42.783476220829492</c:v>
                </c:pt>
                <c:pt idx="1780">
                  <c:v>41.945489236855586</c:v>
                </c:pt>
                <c:pt idx="1781">
                  <c:v>43.215462019214236</c:v>
                </c:pt>
                <c:pt idx="1782">
                  <c:v>42.606487493470077</c:v>
                </c:pt>
                <c:pt idx="1783">
                  <c:v>42.606487493470077</c:v>
                </c:pt>
                <c:pt idx="1784">
                  <c:v>42.606487493470077</c:v>
                </c:pt>
                <c:pt idx="1785">
                  <c:v>42.438473576580392</c:v>
                </c:pt>
                <c:pt idx="1786">
                  <c:v>44.331471751856412</c:v>
                </c:pt>
                <c:pt idx="1787">
                  <c:v>44.407452903774768</c:v>
                </c:pt>
                <c:pt idx="1788">
                  <c:v>45.764413529333019</c:v>
                </c:pt>
                <c:pt idx="1789">
                  <c:v>43.302452587472281</c:v>
                </c:pt>
                <c:pt idx="1790">
                  <c:v>43.302452587472281</c:v>
                </c:pt>
                <c:pt idx="1791">
                  <c:v>43.302452587472281</c:v>
                </c:pt>
                <c:pt idx="1792">
                  <c:v>42.910465485264396</c:v>
                </c:pt>
                <c:pt idx="1793">
                  <c:v>43.636445021080107</c:v>
                </c:pt>
                <c:pt idx="1794">
                  <c:v>43.203459945506246</c:v>
                </c:pt>
                <c:pt idx="1795">
                  <c:v>43.062473407569861</c:v>
                </c:pt>
                <c:pt idx="1796">
                  <c:v>46.197431080706622</c:v>
                </c:pt>
                <c:pt idx="1797">
                  <c:v>46.197431080706622</c:v>
                </c:pt>
                <c:pt idx="1798">
                  <c:v>46.197431080706622</c:v>
                </c:pt>
                <c:pt idx="1799">
                  <c:v>46.299428722181581</c:v>
                </c:pt>
                <c:pt idx="1800">
                  <c:v>46.24841671854103</c:v>
                </c:pt>
                <c:pt idx="1801">
                  <c:v>45.070411376396159</c:v>
                </c:pt>
                <c:pt idx="1802">
                  <c:v>44.707431738114408</c:v>
                </c:pt>
                <c:pt idx="1803">
                  <c:v>44.292455720469334</c:v>
                </c:pt>
                <c:pt idx="1804">
                  <c:v>44.292455720469334</c:v>
                </c:pt>
                <c:pt idx="1805">
                  <c:v>44.292455720469334</c:v>
                </c:pt>
                <c:pt idx="1806">
                  <c:v>44.292455720469334</c:v>
                </c:pt>
                <c:pt idx="1807">
                  <c:v>42.913474142378149</c:v>
                </c:pt>
                <c:pt idx="1808">
                  <c:v>40.649500227222966</c:v>
                </c:pt>
                <c:pt idx="1809">
                  <c:v>40.614490536380607</c:v>
                </c:pt>
                <c:pt idx="1810">
                  <c:v>40.702489318286744</c:v>
                </c:pt>
                <c:pt idx="1811">
                  <c:v>40.702489318286744</c:v>
                </c:pt>
                <c:pt idx="1812">
                  <c:v>40.702489318286744</c:v>
                </c:pt>
                <c:pt idx="1813">
                  <c:v>40.970477209715497</c:v>
                </c:pt>
                <c:pt idx="1814">
                  <c:v>39.636510450503792</c:v>
                </c:pt>
                <c:pt idx="1815">
                  <c:v>41.002509039142836</c:v>
                </c:pt>
                <c:pt idx="1816">
                  <c:v>40.279531724224725</c:v>
                </c:pt>
                <c:pt idx="1817">
                  <c:v>39.477545389634301</c:v>
                </c:pt>
                <c:pt idx="1818">
                  <c:v>39.477545389634301</c:v>
                </c:pt>
                <c:pt idx="1819">
                  <c:v>39.477545389634301</c:v>
                </c:pt>
                <c:pt idx="1820">
                  <c:v>39.4385406729088</c:v>
                </c:pt>
                <c:pt idx="1821">
                  <c:v>38.243544633738374</c:v>
                </c:pt>
                <c:pt idx="1822">
                  <c:v>37.202543073456901</c:v>
                </c:pt>
                <c:pt idx="1823">
                  <c:v>37.059530345852259</c:v>
                </c:pt>
                <c:pt idx="1824">
                  <c:v>35.45053683071653</c:v>
                </c:pt>
                <c:pt idx="1825">
                  <c:v>35.45053683071653</c:v>
                </c:pt>
                <c:pt idx="1826">
                  <c:v>35.45053683071653</c:v>
                </c:pt>
                <c:pt idx="1827">
                  <c:v>34.753554299245167</c:v>
                </c:pt>
                <c:pt idx="1828">
                  <c:v>36.851510809637851</c:v>
                </c:pt>
                <c:pt idx="1829">
                  <c:v>36.297537787918635</c:v>
                </c:pt>
                <c:pt idx="1830">
                  <c:v>35.830558123889979</c:v>
                </c:pt>
                <c:pt idx="1831">
                  <c:v>35.428550362921904</c:v>
                </c:pt>
                <c:pt idx="1832">
                  <c:v>35.428550362921904</c:v>
                </c:pt>
                <c:pt idx="1833">
                  <c:v>35.428550362921904</c:v>
                </c:pt>
                <c:pt idx="1834">
                  <c:v>33.723554875525096</c:v>
                </c:pt>
                <c:pt idx="1835">
                  <c:v>35.497544670429825</c:v>
                </c:pt>
                <c:pt idx="1836">
                  <c:v>31.825602168979479</c:v>
                </c:pt>
                <c:pt idx="1837">
                  <c:v>31.030598242018954</c:v>
                </c:pt>
                <c:pt idx="1838">
                  <c:v>31.155594487101208</c:v>
                </c:pt>
                <c:pt idx="1839">
                  <c:v>31.155594487101208</c:v>
                </c:pt>
                <c:pt idx="1840">
                  <c:v>31.155594487101208</c:v>
                </c:pt>
                <c:pt idx="1841">
                  <c:v>29.81661955284174</c:v>
                </c:pt>
                <c:pt idx="1842">
                  <c:v>29.422621231925035</c:v>
                </c:pt>
                <c:pt idx="1843">
                  <c:v>29.928624486111726</c:v>
                </c:pt>
                <c:pt idx="1844">
                  <c:v>30.759626557180521</c:v>
                </c:pt>
                <c:pt idx="1845">
                  <c:v>30.759626557180521</c:v>
                </c:pt>
                <c:pt idx="1846">
                  <c:v>30.759626557180521</c:v>
                </c:pt>
                <c:pt idx="1847">
                  <c:v>30.759626557180521</c:v>
                </c:pt>
                <c:pt idx="1848">
                  <c:v>30.441633256186396</c:v>
                </c:pt>
                <c:pt idx="1849">
                  <c:v>29.710139901667443</c:v>
                </c:pt>
                <c:pt idx="1850">
                  <c:v>29.409632279040206</c:v>
                </c:pt>
                <c:pt idx="1851">
                  <c:v>29.672620716450105</c:v>
                </c:pt>
                <c:pt idx="1852">
                  <c:v>30.000617467219211</c:v>
                </c:pt>
                <c:pt idx="1853">
                  <c:v>30.000617467219211</c:v>
                </c:pt>
                <c:pt idx="1854">
                  <c:v>30.000617467219211</c:v>
                </c:pt>
                <c:pt idx="1855">
                  <c:v>29.729631872699557</c:v>
                </c:pt>
                <c:pt idx="1856">
                  <c:v>29.235637309087899</c:v>
                </c:pt>
                <c:pt idx="1857">
                  <c:v>31.063606284505937</c:v>
                </c:pt>
                <c:pt idx="1858">
                  <c:v>30.532613601364602</c:v>
                </c:pt>
                <c:pt idx="1859">
                  <c:v>31.549615455575065</c:v>
                </c:pt>
                <c:pt idx="1860">
                  <c:v>31.549615455575065</c:v>
                </c:pt>
                <c:pt idx="1861">
                  <c:v>31.549615455575065</c:v>
                </c:pt>
                <c:pt idx="1862">
                  <c:v>32.249592868792199</c:v>
                </c:pt>
                <c:pt idx="1863">
                  <c:v>31.223616068400624</c:v>
                </c:pt>
                <c:pt idx="1864">
                  <c:v>30.363627059202823</c:v>
                </c:pt>
                <c:pt idx="1865">
                  <c:v>29.051654348810533</c:v>
                </c:pt>
                <c:pt idx="1866">
                  <c:v>27.889659572386623</c:v>
                </c:pt>
                <c:pt idx="1867">
                  <c:v>27.889659572386623</c:v>
                </c:pt>
                <c:pt idx="1868">
                  <c:v>27.889659572386623</c:v>
                </c:pt>
                <c:pt idx="1869">
                  <c:v>29.257629287345761</c:v>
                </c:pt>
                <c:pt idx="1870">
                  <c:v>29.41863749033034</c:v>
                </c:pt>
                <c:pt idx="1871">
                  <c:v>25.793672182779115</c:v>
                </c:pt>
                <c:pt idx="1872">
                  <c:v>26.316663231172203</c:v>
                </c:pt>
                <c:pt idx="1873">
                  <c:v>25.662675606028181</c:v>
                </c:pt>
                <c:pt idx="1874">
                  <c:v>25.662675606028181</c:v>
                </c:pt>
                <c:pt idx="1875">
                  <c:v>25.662675606028181</c:v>
                </c:pt>
                <c:pt idx="1876">
                  <c:v>25.396670875280492</c:v>
                </c:pt>
                <c:pt idx="1877">
                  <c:v>24.418678387194944</c:v>
                </c:pt>
                <c:pt idx="1878">
                  <c:v>21.614710117236445</c:v>
                </c:pt>
                <c:pt idx="1879">
                  <c:v>23.299697652036414</c:v>
                </c:pt>
                <c:pt idx="1880">
                  <c:v>22.851712676721959</c:v>
                </c:pt>
                <c:pt idx="1881">
                  <c:v>22.851712676721959</c:v>
                </c:pt>
                <c:pt idx="1882">
                  <c:v>22.851712676721959</c:v>
                </c:pt>
                <c:pt idx="1883">
                  <c:v>22.07272216603814</c:v>
                </c:pt>
                <c:pt idx="1884">
                  <c:v>22.655721856573344</c:v>
                </c:pt>
                <c:pt idx="1885">
                  <c:v>23.340725467596361</c:v>
                </c:pt>
                <c:pt idx="1886">
                  <c:v>21.861735347844018</c:v>
                </c:pt>
                <c:pt idx="1887">
                  <c:v>21.375736600495159</c:v>
                </c:pt>
                <c:pt idx="1888">
                  <c:v>21.375736600495159</c:v>
                </c:pt>
                <c:pt idx="1889">
                  <c:v>21.375736600495159</c:v>
                </c:pt>
                <c:pt idx="1890">
                  <c:v>21.375736600495159</c:v>
                </c:pt>
                <c:pt idx="1891">
                  <c:v>20.734742762728178</c:v>
                </c:pt>
                <c:pt idx="1892">
                  <c:v>19.133763379477184</c:v>
                </c:pt>
                <c:pt idx="1893">
                  <c:v>19.004759074876915</c:v>
                </c:pt>
                <c:pt idx="1894">
                  <c:v>16.038800019981799</c:v>
                </c:pt>
                <c:pt idx="1895">
                  <c:v>16.038800019981799</c:v>
                </c:pt>
                <c:pt idx="1896">
                  <c:v>16.038800019981799</c:v>
                </c:pt>
                <c:pt idx="1897">
                  <c:v>16.477801610488434</c:v>
                </c:pt>
                <c:pt idx="1898">
                  <c:v>17.229796059505553</c:v>
                </c:pt>
                <c:pt idx="1899">
                  <c:v>19.299774022516541</c:v>
                </c:pt>
                <c:pt idx="1900">
                  <c:v>19.75076294357002</c:v>
                </c:pt>
                <c:pt idx="1901">
                  <c:v>19.968761917422523</c:v>
                </c:pt>
                <c:pt idx="1902">
                  <c:v>19.968761917422523</c:v>
                </c:pt>
                <c:pt idx="1903">
                  <c:v>19.968761917422523</c:v>
                </c:pt>
                <c:pt idx="1904">
                  <c:v>20.904751249884868</c:v>
                </c:pt>
                <c:pt idx="1905">
                  <c:v>19.69376212316908</c:v>
                </c:pt>
                <c:pt idx="1906">
                  <c:v>19.399758778875224</c:v>
                </c:pt>
                <c:pt idx="1907">
                  <c:v>17.66677210297782</c:v>
                </c:pt>
                <c:pt idx="1908">
                  <c:v>16.999785518172331</c:v>
                </c:pt>
                <c:pt idx="1909">
                  <c:v>16.999785518172331</c:v>
                </c:pt>
                <c:pt idx="1910">
                  <c:v>16.999785518172331</c:v>
                </c:pt>
                <c:pt idx="1911">
                  <c:v>16.743789717186271</c:v>
                </c:pt>
                <c:pt idx="1912">
                  <c:v>14.438819835160718</c:v>
                </c:pt>
                <c:pt idx="1913">
                  <c:v>16.999786702537953</c:v>
                </c:pt>
                <c:pt idx="1914">
                  <c:v>16.048799065134354</c:v>
                </c:pt>
                <c:pt idx="1915">
                  <c:v>19.999749598273226</c:v>
                </c:pt>
                <c:pt idx="1916">
                  <c:v>19.999749598273226</c:v>
                </c:pt>
                <c:pt idx="1917">
                  <c:v>19.999749598273226</c:v>
                </c:pt>
                <c:pt idx="1918">
                  <c:v>19.264760457306085</c:v>
                </c:pt>
                <c:pt idx="1919">
                  <c:v>22.393723469014077</c:v>
                </c:pt>
                <c:pt idx="1920">
                  <c:v>23.569710610199362</c:v>
                </c:pt>
                <c:pt idx="1921">
                  <c:v>21.653724137353876</c:v>
                </c:pt>
                <c:pt idx="1922">
                  <c:v>25.293688222006367</c:v>
                </c:pt>
                <c:pt idx="1923">
                  <c:v>25.293688222006367</c:v>
                </c:pt>
                <c:pt idx="1924">
                  <c:v>25.293688222006367</c:v>
                </c:pt>
                <c:pt idx="1925">
                  <c:v>27.116659918336367</c:v>
                </c:pt>
                <c:pt idx="1926">
                  <c:v>27.496663812221264</c:v>
                </c:pt>
                <c:pt idx="1927">
                  <c:v>27.766666880971833</c:v>
                </c:pt>
                <c:pt idx="1928">
                  <c:v>28.810649579120859</c:v>
                </c:pt>
                <c:pt idx="1929">
                  <c:v>28.72464798305958</c:v>
                </c:pt>
                <c:pt idx="1930">
                  <c:v>28.72464798305958</c:v>
                </c:pt>
                <c:pt idx="1931">
                  <c:v>28.72464798305958</c:v>
                </c:pt>
                <c:pt idx="1932">
                  <c:v>25.000694530033037</c:v>
                </c:pt>
                <c:pt idx="1933">
                  <c:v>26.68967024230669</c:v>
                </c:pt>
                <c:pt idx="1934">
                  <c:v>27.350653485080635</c:v>
                </c:pt>
                <c:pt idx="1935">
                  <c:v>28.320635242123359</c:v>
                </c:pt>
                <c:pt idx="1936">
                  <c:v>30.189613856768165</c:v>
                </c:pt>
                <c:pt idx="1937">
                  <c:v>30.189613856768165</c:v>
                </c:pt>
                <c:pt idx="1938">
                  <c:v>30.189613856768165</c:v>
                </c:pt>
                <c:pt idx="1939">
                  <c:v>31.144600749551664</c:v>
                </c:pt>
                <c:pt idx="1940">
                  <c:v>31.542605343779474</c:v>
                </c:pt>
                <c:pt idx="1941">
                  <c:v>30.843627067182975</c:v>
                </c:pt>
                <c:pt idx="1942">
                  <c:v>30.529629824438619</c:v>
                </c:pt>
                <c:pt idx="1943">
                  <c:v>30.529629824438619</c:v>
                </c:pt>
                <c:pt idx="1944">
                  <c:v>30.529629824438619</c:v>
                </c:pt>
                <c:pt idx="1945">
                  <c:v>30.529629824438619</c:v>
                </c:pt>
                <c:pt idx="1946">
                  <c:v>30.656640285139957</c:v>
                </c:pt>
                <c:pt idx="1947">
                  <c:v>30.478644998349591</c:v>
                </c:pt>
                <c:pt idx="1948">
                  <c:v>29.639664650745587</c:v>
                </c:pt>
                <c:pt idx="1949">
                  <c:v>29.8106585884087</c:v>
                </c:pt>
                <c:pt idx="1950">
                  <c:v>29.132654324318828</c:v>
                </c:pt>
                <c:pt idx="1951">
                  <c:v>29.132654324318828</c:v>
                </c:pt>
                <c:pt idx="1952">
                  <c:v>29.132654324318828</c:v>
                </c:pt>
                <c:pt idx="1953">
                  <c:v>28.870653147009715</c:v>
                </c:pt>
                <c:pt idx="1954">
                  <c:v>28.75165006738083</c:v>
                </c:pt>
                <c:pt idx="1955">
                  <c:v>30.312629221785915</c:v>
                </c:pt>
                <c:pt idx="1956">
                  <c:v>27.401667841933765</c:v>
                </c:pt>
                <c:pt idx="1957">
                  <c:v>26.917661372789631</c:v>
                </c:pt>
                <c:pt idx="1958">
                  <c:v>26.917661372789631</c:v>
                </c:pt>
                <c:pt idx="1959">
                  <c:v>26.917661372789631</c:v>
                </c:pt>
                <c:pt idx="1960">
                  <c:v>27.763647475000372</c:v>
                </c:pt>
                <c:pt idx="1961">
                  <c:v>28.10264973879951</c:v>
                </c:pt>
                <c:pt idx="1962">
                  <c:v>28.178647551245216</c:v>
                </c:pt>
                <c:pt idx="1963">
                  <c:v>27.322656059555406</c:v>
                </c:pt>
                <c:pt idx="1964">
                  <c:v>28.016656661722948</c:v>
                </c:pt>
                <c:pt idx="1965">
                  <c:v>28.016656661722948</c:v>
                </c:pt>
                <c:pt idx="1966">
                  <c:v>28.016656661722948</c:v>
                </c:pt>
                <c:pt idx="1967">
                  <c:v>28.038667015329985</c:v>
                </c:pt>
                <c:pt idx="1968">
                  <c:v>28.188658869172851</c:v>
                </c:pt>
                <c:pt idx="1969">
                  <c:v>28.001663758592969</c:v>
                </c:pt>
                <c:pt idx="1970">
                  <c:v>28.094657073506276</c:v>
                </c:pt>
                <c:pt idx="1971">
                  <c:v>28.094657073506276</c:v>
                </c:pt>
                <c:pt idx="1972">
                  <c:v>28.094657073506276</c:v>
                </c:pt>
                <c:pt idx="1973">
                  <c:v>28.094657073506276</c:v>
                </c:pt>
                <c:pt idx="1974">
                  <c:v>28.099658812774951</c:v>
                </c:pt>
                <c:pt idx="1975">
                  <c:v>28.479662955591404</c:v>
                </c:pt>
                <c:pt idx="1976">
                  <c:v>28.415670864803868</c:v>
                </c:pt>
                <c:pt idx="1977">
                  <c:v>28.816654613754256</c:v>
                </c:pt>
                <c:pt idx="1978">
                  <c:v>27.775677762568709</c:v>
                </c:pt>
                <c:pt idx="1979">
                  <c:v>27.775677762568709</c:v>
                </c:pt>
                <c:pt idx="1980">
                  <c:v>27.775677762568709</c:v>
                </c:pt>
                <c:pt idx="1981">
                  <c:v>28.663678523218003</c:v>
                </c:pt>
                <c:pt idx="1982">
                  <c:v>28.519682645540669</c:v>
                </c:pt>
                <c:pt idx="1983">
                  <c:v>28.027684668863436</c:v>
                </c:pt>
                <c:pt idx="1984">
                  <c:v>27.790685701203572</c:v>
                </c:pt>
                <c:pt idx="1985">
                  <c:v>27.190695807514949</c:v>
                </c:pt>
                <c:pt idx="1986">
                  <c:v>27.190695807514949</c:v>
                </c:pt>
                <c:pt idx="1987">
                  <c:v>27.190695807514949</c:v>
                </c:pt>
                <c:pt idx="1988">
                  <c:v>27.144685565481456</c:v>
                </c:pt>
                <c:pt idx="1989">
                  <c:v>25.97768980631248</c:v>
                </c:pt>
                <c:pt idx="1990">
                  <c:v>25.97768980631248</c:v>
                </c:pt>
                <c:pt idx="1991">
                  <c:v>25.271699606116027</c:v>
                </c:pt>
                <c:pt idx="1992">
                  <c:v>27.23466534556281</c:v>
                </c:pt>
                <c:pt idx="1993">
                  <c:v>27.23466534556281</c:v>
                </c:pt>
                <c:pt idx="1994">
                  <c:v>27.23466534556281</c:v>
                </c:pt>
                <c:pt idx="1995">
                  <c:v>27.350659492470378</c:v>
                </c:pt>
                <c:pt idx="1996">
                  <c:v>26.799658513434178</c:v>
                </c:pt>
                <c:pt idx="1997">
                  <c:v>26.799658513434178</c:v>
                </c:pt>
                <c:pt idx="1998">
                  <c:v>26.864644087481793</c:v>
                </c:pt>
                <c:pt idx="1999">
                  <c:v>26.374655733269119</c:v>
                </c:pt>
                <c:pt idx="2000">
                  <c:v>26.374655733269119</c:v>
                </c:pt>
                <c:pt idx="2001">
                  <c:v>26.374655733269119</c:v>
                </c:pt>
                <c:pt idx="2002">
                  <c:v>26.27065022901246</c:v>
                </c:pt>
                <c:pt idx="2003">
                  <c:v>25.311667097682559</c:v>
                </c:pt>
                <c:pt idx="2004">
                  <c:v>25.002659232231409</c:v>
                </c:pt>
                <c:pt idx="2005">
                  <c:v>25.383642319809432</c:v>
                </c:pt>
                <c:pt idx="2006">
                  <c:v>25.244645302772366</c:v>
                </c:pt>
                <c:pt idx="2007">
                  <c:v>25.244645302772366</c:v>
                </c:pt>
                <c:pt idx="2008">
                  <c:v>25.244645302772366</c:v>
                </c:pt>
                <c:pt idx="2009">
                  <c:v>24.63964349636268</c:v>
                </c:pt>
                <c:pt idx="2010">
                  <c:v>25.047644578908521</c:v>
                </c:pt>
                <c:pt idx="2011">
                  <c:v>25.006658665356003</c:v>
                </c:pt>
                <c:pt idx="2012">
                  <c:v>24.948653047021676</c:v>
                </c:pt>
                <c:pt idx="2013">
                  <c:v>24.734648865041336</c:v>
                </c:pt>
                <c:pt idx="2014">
                  <c:v>24.734648865041336</c:v>
                </c:pt>
                <c:pt idx="2015">
                  <c:v>24.734648865041336</c:v>
                </c:pt>
                <c:pt idx="2016">
                  <c:v>24.041648351314688</c:v>
                </c:pt>
                <c:pt idx="2017">
                  <c:v>24.413638968274281</c:v>
                </c:pt>
                <c:pt idx="2018">
                  <c:v>23.750639856675196</c:v>
                </c:pt>
                <c:pt idx="2019">
                  <c:v>22.738655972614012</c:v>
                </c:pt>
                <c:pt idx="2020">
                  <c:v>26.333615877785817</c:v>
                </c:pt>
                <c:pt idx="2021">
                  <c:v>26.333615877785817</c:v>
                </c:pt>
                <c:pt idx="2022">
                  <c:v>26.333615877785817</c:v>
                </c:pt>
                <c:pt idx="2023">
                  <c:v>26.516606982572551</c:v>
                </c:pt>
                <c:pt idx="2024">
                  <c:v>26.516606982572551</c:v>
                </c:pt>
                <c:pt idx="2025">
                  <c:v>26.329614063493622</c:v>
                </c:pt>
                <c:pt idx="2026">
                  <c:v>25.688631334436757</c:v>
                </c:pt>
                <c:pt idx="2027">
                  <c:v>24.370642611371188</c:v>
                </c:pt>
                <c:pt idx="2028">
                  <c:v>24.370642611371188</c:v>
                </c:pt>
                <c:pt idx="2029">
                  <c:v>24.370642611371188</c:v>
                </c:pt>
                <c:pt idx="2030">
                  <c:v>24.006653727554021</c:v>
                </c:pt>
                <c:pt idx="2031">
                  <c:v>24.046643295354194</c:v>
                </c:pt>
                <c:pt idx="2032">
                  <c:v>23.646660040764658</c:v>
                </c:pt>
                <c:pt idx="2033">
                  <c:v>23.174661705802578</c:v>
                </c:pt>
                <c:pt idx="2034">
                  <c:v>22.914671839115965</c:v>
                </c:pt>
                <c:pt idx="2035">
                  <c:v>22.914671839115965</c:v>
                </c:pt>
                <c:pt idx="2036">
                  <c:v>22.914671839115965</c:v>
                </c:pt>
                <c:pt idx="2037">
                  <c:v>22.807681007509736</c:v>
                </c:pt>
                <c:pt idx="2038">
                  <c:v>22.884687982571087</c:v>
                </c:pt>
                <c:pt idx="2039">
                  <c:v>22.384703250762069</c:v>
                </c:pt>
                <c:pt idx="2040">
                  <c:v>21.700718310338505</c:v>
                </c:pt>
                <c:pt idx="2041">
                  <c:v>19.552750864156582</c:v>
                </c:pt>
                <c:pt idx="2042">
                  <c:v>19.552750864156582</c:v>
                </c:pt>
                <c:pt idx="2043">
                  <c:v>19.552750864156582</c:v>
                </c:pt>
                <c:pt idx="2044">
                  <c:v>19.274751128628374</c:v>
                </c:pt>
                <c:pt idx="2045">
                  <c:v>19.441755811045251</c:v>
                </c:pt>
                <c:pt idx="2046">
                  <c:v>19.952745626540967</c:v>
                </c:pt>
                <c:pt idx="2047">
                  <c:v>20.288747575132742</c:v>
                </c:pt>
                <c:pt idx="2048">
                  <c:v>20.309747854414205</c:v>
                </c:pt>
                <c:pt idx="2049">
                  <c:v>20.309747854414205</c:v>
                </c:pt>
                <c:pt idx="2050">
                  <c:v>20.309747854414205</c:v>
                </c:pt>
                <c:pt idx="2051">
                  <c:v>20.079754348110939</c:v>
                </c:pt>
                <c:pt idx="2052">
                  <c:v>20.965745799867541</c:v>
                </c:pt>
                <c:pt idx="2053">
                  <c:v>20.730742107338749</c:v>
                </c:pt>
                <c:pt idx="2054">
                  <c:v>20.99672866608066</c:v>
                </c:pt>
                <c:pt idx="2055">
                  <c:v>20.261734255946212</c:v>
                </c:pt>
                <c:pt idx="2056">
                  <c:v>20.261734255946212</c:v>
                </c:pt>
                <c:pt idx="2057">
                  <c:v>20.261734255946212</c:v>
                </c:pt>
                <c:pt idx="2058">
                  <c:v>19.696733456739633</c:v>
                </c:pt>
                <c:pt idx="2059">
                  <c:v>19.210740152365101</c:v>
                </c:pt>
                <c:pt idx="2060">
                  <c:v>18.980750399771075</c:v>
                </c:pt>
                <c:pt idx="2061">
                  <c:v>20.083728696028253</c:v>
                </c:pt>
                <c:pt idx="2062">
                  <c:v>19.480741310252021</c:v>
                </c:pt>
                <c:pt idx="2063">
                  <c:v>19.480741310252021</c:v>
                </c:pt>
                <c:pt idx="2064">
                  <c:v>19.480741310252021</c:v>
                </c:pt>
                <c:pt idx="2065">
                  <c:v>20.148732229868862</c:v>
                </c:pt>
                <c:pt idx="2066">
                  <c:v>19.583741293549945</c:v>
                </c:pt>
                <c:pt idx="2067">
                  <c:v>21.199710420026918</c:v>
                </c:pt>
                <c:pt idx="2068">
                  <c:v>20.128721533399339</c:v>
                </c:pt>
                <c:pt idx="2069">
                  <c:v>19.842728290547676</c:v>
                </c:pt>
                <c:pt idx="2070">
                  <c:v>19.842728290547676</c:v>
                </c:pt>
                <c:pt idx="2071">
                  <c:v>19.842728290547676</c:v>
                </c:pt>
                <c:pt idx="2072">
                  <c:v>18.564749499735388</c:v>
                </c:pt>
                <c:pt idx="2073">
                  <c:v>19.102739965380401</c:v>
                </c:pt>
                <c:pt idx="2074">
                  <c:v>19.043742451266375</c:v>
                </c:pt>
                <c:pt idx="2075">
                  <c:v>19.403740040232815</c:v>
                </c:pt>
                <c:pt idx="2076">
                  <c:v>18.774748418709219</c:v>
                </c:pt>
                <c:pt idx="2077">
                  <c:v>18.774748418709219</c:v>
                </c:pt>
                <c:pt idx="2078">
                  <c:v>18.774748418709219</c:v>
                </c:pt>
                <c:pt idx="2079">
                  <c:v>18.958743019715559</c:v>
                </c:pt>
                <c:pt idx="2080">
                  <c:v>18.398758408785756</c:v>
                </c:pt>
                <c:pt idx="2081">
                  <c:v>18.358754682332954</c:v>
                </c:pt>
                <c:pt idx="2082">
                  <c:v>18.754742311497921</c:v>
                </c:pt>
                <c:pt idx="2083">
                  <c:v>18.475740159351552</c:v>
                </c:pt>
                <c:pt idx="2084">
                  <c:v>18.475740159351552</c:v>
                </c:pt>
                <c:pt idx="2085">
                  <c:v>18.475740159351552</c:v>
                </c:pt>
                <c:pt idx="2086">
                  <c:v>19.439716837909824</c:v>
                </c:pt>
                <c:pt idx="2087">
                  <c:v>19.457715224492478</c:v>
                </c:pt>
                <c:pt idx="2088">
                  <c:v>19.260716614954724</c:v>
                </c:pt>
                <c:pt idx="2089">
                  <c:v>20.291697164488031</c:v>
                </c:pt>
                <c:pt idx="2090">
                  <c:v>20.704693689512741</c:v>
                </c:pt>
                <c:pt idx="2091">
                  <c:v>20.704693689512741</c:v>
                </c:pt>
                <c:pt idx="2092">
                  <c:v>20.704693689512741</c:v>
                </c:pt>
                <c:pt idx="2093">
                  <c:v>21.037699433851174</c:v>
                </c:pt>
                <c:pt idx="2094">
                  <c:v>20.811705127867658</c:v>
                </c:pt>
                <c:pt idx="2095">
                  <c:v>21.324691916613716</c:v>
                </c:pt>
                <c:pt idx="2096">
                  <c:v>21.084705795252155</c:v>
                </c:pt>
                <c:pt idx="2097">
                  <c:v>20.748701325979244</c:v>
                </c:pt>
                <c:pt idx="2098">
                  <c:v>20.748701325979244</c:v>
                </c:pt>
                <c:pt idx="2099">
                  <c:v>20.748701325979244</c:v>
                </c:pt>
                <c:pt idx="2100">
                  <c:v>21.388693822537203</c:v>
                </c:pt>
                <c:pt idx="2101">
                  <c:v>21.170699133558944</c:v>
                </c:pt>
                <c:pt idx="2102">
                  <c:v>21.005699365046507</c:v>
                </c:pt>
                <c:pt idx="2103">
                  <c:v>21.36668958559514</c:v>
                </c:pt>
                <c:pt idx="2104">
                  <c:v>23.312667914415112</c:v>
                </c:pt>
                <c:pt idx="2105">
                  <c:v>23.312667914415112</c:v>
                </c:pt>
                <c:pt idx="2106">
                  <c:v>23.312667914415112</c:v>
                </c:pt>
                <c:pt idx="2107">
                  <c:v>24.370646416654935</c:v>
                </c:pt>
                <c:pt idx="2108">
                  <c:v>24.018653056117529</c:v>
                </c:pt>
                <c:pt idx="2109">
                  <c:v>23.497662874856218</c:v>
                </c:pt>
                <c:pt idx="2110">
                  <c:v>24.576651610512549</c:v>
                </c:pt>
                <c:pt idx="2111">
                  <c:v>24.576651610512549</c:v>
                </c:pt>
                <c:pt idx="2112">
                  <c:v>24.576651610512549</c:v>
                </c:pt>
                <c:pt idx="2113">
                  <c:v>24.576651610512549</c:v>
                </c:pt>
                <c:pt idx="2114">
                  <c:v>25.006640799052253</c:v>
                </c:pt>
                <c:pt idx="2115">
                  <c:v>24.838632290241065</c:v>
                </c:pt>
                <c:pt idx="2116">
                  <c:v>24.610639327511002</c:v>
                </c:pt>
                <c:pt idx="2117">
                  <c:v>25.085635842182732</c:v>
                </c:pt>
                <c:pt idx="2118">
                  <c:v>24.642635189383192</c:v>
                </c:pt>
                <c:pt idx="2119">
                  <c:v>24.642635189383192</c:v>
                </c:pt>
                <c:pt idx="2120">
                  <c:v>24.642635189383192</c:v>
                </c:pt>
                <c:pt idx="2121">
                  <c:v>25.988611360346919</c:v>
                </c:pt>
                <c:pt idx="2122">
                  <c:v>26.01061634177206</c:v>
                </c:pt>
                <c:pt idx="2123">
                  <c:v>25.011626949771248</c:v>
                </c:pt>
                <c:pt idx="2124">
                  <c:v>24.291646829394814</c:v>
                </c:pt>
                <c:pt idx="2125">
                  <c:v>24.861649876104259</c:v>
                </c:pt>
                <c:pt idx="2126">
                  <c:v>24.861649876104259</c:v>
                </c:pt>
                <c:pt idx="2127">
                  <c:v>24.861649876104259</c:v>
                </c:pt>
                <c:pt idx="2128">
                  <c:v>24.351653203072321</c:v>
                </c:pt>
                <c:pt idx="2129">
                  <c:v>25.038638322733149</c:v>
                </c:pt>
                <c:pt idx="2130">
                  <c:v>26.463625145968091</c:v>
                </c:pt>
                <c:pt idx="2131">
                  <c:v>25.507649459524053</c:v>
                </c:pt>
                <c:pt idx="2132">
                  <c:v>27.193627149143818</c:v>
                </c:pt>
                <c:pt idx="2133">
                  <c:v>27.193627149143818</c:v>
                </c:pt>
                <c:pt idx="2134">
                  <c:v>27.193627149143818</c:v>
                </c:pt>
                <c:pt idx="2135">
                  <c:v>27.366639041162045</c:v>
                </c:pt>
                <c:pt idx="2136">
                  <c:v>25.722652852079914</c:v>
                </c:pt>
                <c:pt idx="2137">
                  <c:v>25.186655633542497</c:v>
                </c:pt>
                <c:pt idx="2138">
                  <c:v>24.977667489656536</c:v>
                </c:pt>
                <c:pt idx="2139">
                  <c:v>26.097648055978869</c:v>
                </c:pt>
                <c:pt idx="2140">
                  <c:v>26.097648055978869</c:v>
                </c:pt>
                <c:pt idx="2141">
                  <c:v>26.097648055978869</c:v>
                </c:pt>
                <c:pt idx="2142">
                  <c:v>26.463640199944098</c:v>
                </c:pt>
                <c:pt idx="2143">
                  <c:v>26.330644116511603</c:v>
                </c:pt>
                <c:pt idx="2144">
                  <c:v>26.512653482670132</c:v>
                </c:pt>
                <c:pt idx="2145">
                  <c:v>26.03565426095517</c:v>
                </c:pt>
                <c:pt idx="2146">
                  <c:v>27.854616422582659</c:v>
                </c:pt>
                <c:pt idx="2147">
                  <c:v>27.854616422582659</c:v>
                </c:pt>
                <c:pt idx="2148">
                  <c:v>27.854616422582659</c:v>
                </c:pt>
                <c:pt idx="2149">
                  <c:v>25.521656298665363</c:v>
                </c:pt>
                <c:pt idx="2150">
                  <c:v>24.837676366874373</c:v>
                </c:pt>
                <c:pt idx="2151">
                  <c:v>24.542673432219104</c:v>
                </c:pt>
                <c:pt idx="2152">
                  <c:v>24.90266637737037</c:v>
                </c:pt>
                <c:pt idx="2153">
                  <c:v>23.53068618846569</c:v>
                </c:pt>
                <c:pt idx="2154">
                  <c:v>23.53068618846569</c:v>
                </c:pt>
                <c:pt idx="2155">
                  <c:v>23.53068618846569</c:v>
                </c:pt>
                <c:pt idx="2156">
                  <c:v>24.155665727842152</c:v>
                </c:pt>
                <c:pt idx="2157">
                  <c:v>24.417667297949144</c:v>
                </c:pt>
                <c:pt idx="2158">
                  <c:v>24.353665864058399</c:v>
                </c:pt>
                <c:pt idx="2159">
                  <c:v>24.815658987427334</c:v>
                </c:pt>
                <c:pt idx="2160">
                  <c:v>24.404660106572546</c:v>
                </c:pt>
                <c:pt idx="2161">
                  <c:v>24.404660106572546</c:v>
                </c:pt>
                <c:pt idx="2162">
                  <c:v>24.404660106572546</c:v>
                </c:pt>
                <c:pt idx="2163">
                  <c:v>24.078659140469725</c:v>
                </c:pt>
                <c:pt idx="2164">
                  <c:v>23.942664804380843</c:v>
                </c:pt>
                <c:pt idx="2165">
                  <c:v>24.116666553564812</c:v>
                </c:pt>
                <c:pt idx="2166">
                  <c:v>23.967659613746154</c:v>
                </c:pt>
                <c:pt idx="2167">
                  <c:v>23.776661690387272</c:v>
                </c:pt>
                <c:pt idx="2168">
                  <c:v>23.776661690387272</c:v>
                </c:pt>
                <c:pt idx="2169">
                  <c:v>23.776661690387272</c:v>
                </c:pt>
                <c:pt idx="2170">
                  <c:v>23.3826638052685</c:v>
                </c:pt>
                <c:pt idx="2171">
                  <c:v>23.3826638052685</c:v>
                </c:pt>
                <c:pt idx="2172">
                  <c:v>23.420652102979531</c:v>
                </c:pt>
                <c:pt idx="2173">
                  <c:v>23.376657234065021</c:v>
                </c:pt>
                <c:pt idx="2174">
                  <c:v>22.777672773149508</c:v>
                </c:pt>
                <c:pt idx="2175">
                  <c:v>22.777672773149508</c:v>
                </c:pt>
                <c:pt idx="2176">
                  <c:v>22.777672773149508</c:v>
                </c:pt>
                <c:pt idx="2177">
                  <c:v>23.144677931103011</c:v>
                </c:pt>
                <c:pt idx="2178">
                  <c:v>22.594678272591583</c:v>
                </c:pt>
                <c:pt idx="2179">
                  <c:v>22.687675052632322</c:v>
                </c:pt>
                <c:pt idx="2180">
                  <c:v>23.428653063057645</c:v>
                </c:pt>
                <c:pt idx="2181">
                  <c:v>24.133645103830752</c:v>
                </c:pt>
                <c:pt idx="2182">
                  <c:v>24.133645103830752</c:v>
                </c:pt>
                <c:pt idx="2183">
                  <c:v>24.133645103830752</c:v>
                </c:pt>
                <c:pt idx="2184">
                  <c:v>25.108638651299358</c:v>
                </c:pt>
                <c:pt idx="2185">
                  <c:v>25.129647036221638</c:v>
                </c:pt>
                <c:pt idx="2186">
                  <c:v>24.517661682953435</c:v>
                </c:pt>
                <c:pt idx="2187">
                  <c:v>24.810650656556714</c:v>
                </c:pt>
                <c:pt idx="2188">
                  <c:v>24.493653789216669</c:v>
                </c:pt>
                <c:pt idx="2189">
                  <c:v>24.493653789216669</c:v>
                </c:pt>
                <c:pt idx="2190">
                  <c:v>24.493653789216669</c:v>
                </c:pt>
                <c:pt idx="2191">
                  <c:v>24.687649337712415</c:v>
                </c:pt>
                <c:pt idx="2192">
                  <c:v>24.219652983119591</c:v>
                </c:pt>
                <c:pt idx="2193">
                  <c:v>24.935655392046826</c:v>
                </c:pt>
                <c:pt idx="2194">
                  <c:v>24.987654701480608</c:v>
                </c:pt>
                <c:pt idx="2195">
                  <c:v>24.503658439974235</c:v>
                </c:pt>
                <c:pt idx="2196">
                  <c:v>24.503658439974235</c:v>
                </c:pt>
                <c:pt idx="2197">
                  <c:v>24.503658439974235</c:v>
                </c:pt>
                <c:pt idx="2198">
                  <c:v>23.72566999516285</c:v>
                </c:pt>
                <c:pt idx="2199">
                  <c:v>23.229670079622743</c:v>
                </c:pt>
                <c:pt idx="2200">
                  <c:v>22.290675379270958</c:v>
                </c:pt>
                <c:pt idx="2201">
                  <c:v>19.741705351151658</c:v>
                </c:pt>
                <c:pt idx="2202">
                  <c:v>19.880711284452552</c:v>
                </c:pt>
                <c:pt idx="2203">
                  <c:v>19.880711284452552</c:v>
                </c:pt>
                <c:pt idx="2204">
                  <c:v>19.880711284452552</c:v>
                </c:pt>
                <c:pt idx="2205">
                  <c:v>20.188710247995978</c:v>
                </c:pt>
                <c:pt idx="2206">
                  <c:v>20.144714192200215</c:v>
                </c:pt>
                <c:pt idx="2207">
                  <c:v>20.208715193217134</c:v>
                </c:pt>
                <c:pt idx="2208">
                  <c:v>19.589719244528521</c:v>
                </c:pt>
                <c:pt idx="2209">
                  <c:v>19.589719244528521</c:v>
                </c:pt>
                <c:pt idx="2210">
                  <c:v>19.589719244528521</c:v>
                </c:pt>
                <c:pt idx="2211">
                  <c:v>19.589719244528521</c:v>
                </c:pt>
                <c:pt idx="2212">
                  <c:v>19.528711549647426</c:v>
                </c:pt>
                <c:pt idx="2213">
                  <c:v>19.889709782194252</c:v>
                </c:pt>
                <c:pt idx="2214">
                  <c:v>19.902706249375093</c:v>
                </c:pt>
                <c:pt idx="2215">
                  <c:v>19.816701763720545</c:v>
                </c:pt>
                <c:pt idx="2216">
                  <c:v>19.801711867836595</c:v>
                </c:pt>
                <c:pt idx="2217">
                  <c:v>19.801711867836595</c:v>
                </c:pt>
                <c:pt idx="2218">
                  <c:v>19.801711867836595</c:v>
                </c:pt>
                <c:pt idx="2219">
                  <c:v>20.203704985941883</c:v>
                </c:pt>
                <c:pt idx="2220">
                  <c:v>19.98771770838507</c:v>
                </c:pt>
                <c:pt idx="2221">
                  <c:v>18.52574038051625</c:v>
                </c:pt>
                <c:pt idx="2222">
                  <c:v>17.675748964320029</c:v>
                </c:pt>
                <c:pt idx="2223">
                  <c:v>18.35074439541664</c:v>
                </c:pt>
                <c:pt idx="2224">
                  <c:v>18.35074439541664</c:v>
                </c:pt>
                <c:pt idx="2225">
                  <c:v>18.35074439541664</c:v>
                </c:pt>
                <c:pt idx="2226">
                  <c:v>18.991734423959702</c:v>
                </c:pt>
                <c:pt idx="2227">
                  <c:v>22.210684508391925</c:v>
                </c:pt>
                <c:pt idx="2228">
                  <c:v>21.764682631899053</c:v>
                </c:pt>
                <c:pt idx="2229">
                  <c:v>22.558680509802571</c:v>
                </c:pt>
                <c:pt idx="2230">
                  <c:v>23.195680281698579</c:v>
                </c:pt>
                <c:pt idx="2231">
                  <c:v>23.195680281698579</c:v>
                </c:pt>
                <c:pt idx="2232">
                  <c:v>23.195680281698579</c:v>
                </c:pt>
                <c:pt idx="2233">
                  <c:v>22.515684106012888</c:v>
                </c:pt>
                <c:pt idx="2234">
                  <c:v>22.121696687999613</c:v>
                </c:pt>
                <c:pt idx="2235">
                  <c:v>22.147698085552051</c:v>
                </c:pt>
                <c:pt idx="2236">
                  <c:v>22.588697221405553</c:v>
                </c:pt>
                <c:pt idx="2237">
                  <c:v>21.523704331102596</c:v>
                </c:pt>
                <c:pt idx="2238">
                  <c:v>21.523704331102596</c:v>
                </c:pt>
                <c:pt idx="2239">
                  <c:v>21.523704331102596</c:v>
                </c:pt>
                <c:pt idx="2240">
                  <c:v>21.47469906782981</c:v>
                </c:pt>
                <c:pt idx="2241">
                  <c:v>20.778715976206762</c:v>
                </c:pt>
                <c:pt idx="2242">
                  <c:v>21.072722601949156</c:v>
                </c:pt>
                <c:pt idx="2243">
                  <c:v>21.102730684983204</c:v>
                </c:pt>
                <c:pt idx="2244">
                  <c:v>19.873738684720113</c:v>
                </c:pt>
                <c:pt idx="2245">
                  <c:v>19.873738684720113</c:v>
                </c:pt>
                <c:pt idx="2246">
                  <c:v>19.873738684720113</c:v>
                </c:pt>
                <c:pt idx="2247">
                  <c:v>19.873738684720113</c:v>
                </c:pt>
                <c:pt idx="2248">
                  <c:v>19.878728245509734</c:v>
                </c:pt>
                <c:pt idx="2249">
                  <c:v>20.325731737889399</c:v>
                </c:pt>
                <c:pt idx="2250">
                  <c:v>20.21573790793234</c:v>
                </c:pt>
                <c:pt idx="2251">
                  <c:v>20.049746060299121</c:v>
                </c:pt>
                <c:pt idx="2252">
                  <c:v>20.049746060299121</c:v>
                </c:pt>
                <c:pt idx="2253">
                  <c:v>20.049746060299121</c:v>
                </c:pt>
                <c:pt idx="2254">
                  <c:v>20.035741077286101</c:v>
                </c:pt>
                <c:pt idx="2255">
                  <c:v>19.987750488363538</c:v>
                </c:pt>
                <c:pt idx="2256">
                  <c:v>19.481750970409102</c:v>
                </c:pt>
                <c:pt idx="2257">
                  <c:v>19.749755147764265</c:v>
                </c:pt>
                <c:pt idx="2258">
                  <c:v>19.651751861232299</c:v>
                </c:pt>
                <c:pt idx="2259">
                  <c:v>19.651751861232299</c:v>
                </c:pt>
                <c:pt idx="2260">
                  <c:v>19.651751861232299</c:v>
                </c:pt>
                <c:pt idx="2261">
                  <c:v>19.799755030082164</c:v>
                </c:pt>
                <c:pt idx="2262">
                  <c:v>20.720750969159361</c:v>
                </c:pt>
                <c:pt idx="2263">
                  <c:v>20.683747744444549</c:v>
                </c:pt>
                <c:pt idx="2264">
                  <c:v>20.612757407931632</c:v>
                </c:pt>
                <c:pt idx="2265">
                  <c:v>19.794758795467725</c:v>
                </c:pt>
                <c:pt idx="2266">
                  <c:v>19.794758795467725</c:v>
                </c:pt>
                <c:pt idx="2267">
                  <c:v>19.794758795467725</c:v>
                </c:pt>
                <c:pt idx="2268">
                  <c:v>18.650776139405039</c:v>
                </c:pt>
                <c:pt idx="2269">
                  <c:v>18.037780216526599</c:v>
                </c:pt>
                <c:pt idx="2270">
                  <c:v>18.693763055921956</c:v>
                </c:pt>
                <c:pt idx="2271">
                  <c:v>19.703757986554766</c:v>
                </c:pt>
                <c:pt idx="2272">
                  <c:v>20.290749066293571</c:v>
                </c:pt>
                <c:pt idx="2273">
                  <c:v>20.290749066293571</c:v>
                </c:pt>
                <c:pt idx="2274">
                  <c:v>20.290749066293571</c:v>
                </c:pt>
                <c:pt idx="2275">
                  <c:v>21.35672740106282</c:v>
                </c:pt>
                <c:pt idx="2276">
                  <c:v>20.59573556757644</c:v>
                </c:pt>
                <c:pt idx="2277">
                  <c:v>20.566736469154932</c:v>
                </c:pt>
                <c:pt idx="2278">
                  <c:v>20.374745244713992</c:v>
                </c:pt>
                <c:pt idx="2279">
                  <c:v>20.699731021755557</c:v>
                </c:pt>
                <c:pt idx="2280">
                  <c:v>20.699731021755557</c:v>
                </c:pt>
                <c:pt idx="2281">
                  <c:v>20.699731021755557</c:v>
                </c:pt>
                <c:pt idx="2282">
                  <c:v>20.822730893141344</c:v>
                </c:pt>
                <c:pt idx="2283">
                  <c:v>20.518725456773783</c:v>
                </c:pt>
                <c:pt idx="2284">
                  <c:v>20.779718723946552</c:v>
                </c:pt>
                <c:pt idx="2285">
                  <c:v>20.437714017576425</c:v>
                </c:pt>
                <c:pt idx="2286">
                  <c:v>19.434726644887093</c:v>
                </c:pt>
                <c:pt idx="2287">
                  <c:v>19.434726644887093</c:v>
                </c:pt>
                <c:pt idx="2288">
                  <c:v>19.434726644887093</c:v>
                </c:pt>
                <c:pt idx="2289">
                  <c:v>18.879737870447418</c:v>
                </c:pt>
                <c:pt idx="2290">
                  <c:v>18.634746853563616</c:v>
                </c:pt>
                <c:pt idx="2291">
                  <c:v>19.122740057080247</c:v>
                </c:pt>
                <c:pt idx="2292">
                  <c:v>18.937737301383038</c:v>
                </c:pt>
                <c:pt idx="2293">
                  <c:v>19.511733476803649</c:v>
                </c:pt>
                <c:pt idx="2294">
                  <c:v>19.511733476803649</c:v>
                </c:pt>
                <c:pt idx="2295">
                  <c:v>19.511733476803649</c:v>
                </c:pt>
                <c:pt idx="2296">
                  <c:v>19.753736502698207</c:v>
                </c:pt>
                <c:pt idx="2297">
                  <c:v>19.499732980889146</c:v>
                </c:pt>
                <c:pt idx="2298">
                  <c:v>19.54974121892716</c:v>
                </c:pt>
                <c:pt idx="2299">
                  <c:v>19.76174522166518</c:v>
                </c:pt>
                <c:pt idx="2300">
                  <c:v>19.77273886447383</c:v>
                </c:pt>
                <c:pt idx="2301">
                  <c:v>19.77273886447383</c:v>
                </c:pt>
                <c:pt idx="2302">
                  <c:v>19.77273886447383</c:v>
                </c:pt>
                <c:pt idx="2303">
                  <c:v>15.048800117263786</c:v>
                </c:pt>
                <c:pt idx="2304">
                  <c:v>15.008801660837657</c:v>
                </c:pt>
                <c:pt idx="2305">
                  <c:v>16.169792782630527</c:v>
                </c:pt>
                <c:pt idx="2306">
                  <c:v>15.81179786712104</c:v>
                </c:pt>
                <c:pt idx="2307">
                  <c:v>15.81179786712104</c:v>
                </c:pt>
                <c:pt idx="2308">
                  <c:v>15.81179786712104</c:v>
                </c:pt>
                <c:pt idx="2309">
                  <c:v>15.81179786712104</c:v>
                </c:pt>
                <c:pt idx="2310">
                  <c:v>15.342799181733803</c:v>
                </c:pt>
                <c:pt idx="2311">
                  <c:v>15.133801384612305</c:v>
                </c:pt>
                <c:pt idx="2312">
                  <c:v>15.297793733434723</c:v>
                </c:pt>
                <c:pt idx="2313">
                  <c:v>14.889798368343735</c:v>
                </c:pt>
                <c:pt idx="2314">
                  <c:v>14.617804873070513</c:v>
                </c:pt>
                <c:pt idx="2315">
                  <c:v>14.617804873070513</c:v>
                </c:pt>
                <c:pt idx="2316">
                  <c:v>14.617804873070513</c:v>
                </c:pt>
                <c:pt idx="2317">
                  <c:v>14.203806524306549</c:v>
                </c:pt>
                <c:pt idx="2318">
                  <c:v>14.749799865944206</c:v>
                </c:pt>
                <c:pt idx="2319">
                  <c:v>15.515783043221989</c:v>
                </c:pt>
                <c:pt idx="2320">
                  <c:v>15.166780262599318</c:v>
                </c:pt>
                <c:pt idx="2321">
                  <c:v>14.525786362016266</c:v>
                </c:pt>
                <c:pt idx="2322">
                  <c:v>14.525786362016266</c:v>
                </c:pt>
                <c:pt idx="2323">
                  <c:v>14.525786362016266</c:v>
                </c:pt>
                <c:pt idx="2324">
                  <c:v>14.267796073416743</c:v>
                </c:pt>
                <c:pt idx="2325">
                  <c:v>14.004799935429316</c:v>
                </c:pt>
                <c:pt idx="2326">
                  <c:v>13.455803166246461</c:v>
                </c:pt>
                <c:pt idx="2327">
                  <c:v>13.56880416735217</c:v>
                </c:pt>
                <c:pt idx="2328">
                  <c:v>13.777799609630655</c:v>
                </c:pt>
                <c:pt idx="2329">
                  <c:v>13.777799609630655</c:v>
                </c:pt>
                <c:pt idx="2330">
                  <c:v>13.777799609630655</c:v>
                </c:pt>
                <c:pt idx="2331">
                  <c:v>13.503807358330137</c:v>
                </c:pt>
                <c:pt idx="2332">
                  <c:v>13.383808134595355</c:v>
                </c:pt>
                <c:pt idx="2333">
                  <c:v>13.401806761075479</c:v>
                </c:pt>
                <c:pt idx="2334">
                  <c:v>13.898800053384397</c:v>
                </c:pt>
                <c:pt idx="2335">
                  <c:v>13.898800053384397</c:v>
                </c:pt>
                <c:pt idx="2336">
                  <c:v>13.898800053384397</c:v>
                </c:pt>
                <c:pt idx="2337">
                  <c:v>13.898800053384397</c:v>
                </c:pt>
                <c:pt idx="2338">
                  <c:v>13.317810567382343</c:v>
                </c:pt>
                <c:pt idx="2339">
                  <c:v>13.050816954134655</c:v>
                </c:pt>
                <c:pt idx="2340">
                  <c:v>13.040814649298644</c:v>
                </c:pt>
                <c:pt idx="2341">
                  <c:v>12.848814809598812</c:v>
                </c:pt>
                <c:pt idx="2342">
                  <c:v>12.729816485096134</c:v>
                </c:pt>
                <c:pt idx="2343">
                  <c:v>12.729816485096134</c:v>
                </c:pt>
                <c:pt idx="2344">
                  <c:v>12.729816485096134</c:v>
                </c:pt>
                <c:pt idx="2345">
                  <c:v>12.966810887690453</c:v>
                </c:pt>
                <c:pt idx="2346">
                  <c:v>12.879807786095377</c:v>
                </c:pt>
                <c:pt idx="2347">
                  <c:v>12.804810013844291</c:v>
                </c:pt>
                <c:pt idx="2348">
                  <c:v>12.456816391141366</c:v>
                </c:pt>
                <c:pt idx="2349">
                  <c:v>11.791828040618714</c:v>
                </c:pt>
                <c:pt idx="2350">
                  <c:v>11.791828040618714</c:v>
                </c:pt>
                <c:pt idx="2351">
                  <c:v>11.791828040618714</c:v>
                </c:pt>
                <c:pt idx="2352">
                  <c:v>10.955842480169387</c:v>
                </c:pt>
                <c:pt idx="2353">
                  <c:v>11.615830751826676</c:v>
                </c:pt>
                <c:pt idx="2354">
                  <c:v>11.605826529358369</c:v>
                </c:pt>
                <c:pt idx="2355">
                  <c:v>11.605826529358369</c:v>
                </c:pt>
                <c:pt idx="2356">
                  <c:v>11.444832076537713</c:v>
                </c:pt>
                <c:pt idx="2357">
                  <c:v>11.444832076537713</c:v>
                </c:pt>
                <c:pt idx="2358">
                  <c:v>11.444832076537713</c:v>
                </c:pt>
                <c:pt idx="2359">
                  <c:v>11.39583000750544</c:v>
                </c:pt>
                <c:pt idx="2360">
                  <c:v>11.080835107893355</c:v>
                </c:pt>
                <c:pt idx="2361">
                  <c:v>10.43884607432252</c:v>
                </c:pt>
                <c:pt idx="2362">
                  <c:v>10.43884607432252</c:v>
                </c:pt>
                <c:pt idx="2363">
                  <c:v>10.654841011303665</c:v>
                </c:pt>
                <c:pt idx="2364">
                  <c:v>10.654841011303665</c:v>
                </c:pt>
                <c:pt idx="2365">
                  <c:v>10.654841011303665</c:v>
                </c:pt>
                <c:pt idx="2366">
                  <c:v>11.70882236534232</c:v>
                </c:pt>
                <c:pt idx="2367">
                  <c:v>12.154819144200468</c:v>
                </c:pt>
                <c:pt idx="2368">
                  <c:v>12.381814957822225</c:v>
                </c:pt>
                <c:pt idx="2369">
                  <c:v>12.44781326374661</c:v>
                </c:pt>
                <c:pt idx="2370">
                  <c:v>13.652795326465093</c:v>
                </c:pt>
                <c:pt idx="2371">
                  <c:v>13.652795326465093</c:v>
                </c:pt>
                <c:pt idx="2372">
                  <c:v>13.652795326465093</c:v>
                </c:pt>
                <c:pt idx="2373">
                  <c:v>13.89979467789122</c:v>
                </c:pt>
                <c:pt idx="2374">
                  <c:v>14.339782215612869</c:v>
                </c:pt>
                <c:pt idx="2375">
                  <c:v>13.780791951676996</c:v>
                </c:pt>
                <c:pt idx="2376">
                  <c:v>13.474792880161411</c:v>
                </c:pt>
                <c:pt idx="2377">
                  <c:v>13.356798918515246</c:v>
                </c:pt>
                <c:pt idx="2378">
                  <c:v>13.356798918515246</c:v>
                </c:pt>
                <c:pt idx="2379">
                  <c:v>13.356798918515246</c:v>
                </c:pt>
                <c:pt idx="2380">
                  <c:v>14.186782438284652</c:v>
                </c:pt>
                <c:pt idx="2381">
                  <c:v>14.010779032083619</c:v>
                </c:pt>
                <c:pt idx="2382">
                  <c:v>14.010779032083619</c:v>
                </c:pt>
                <c:pt idx="2383">
                  <c:v>14.860770523729366</c:v>
                </c:pt>
                <c:pt idx="2384">
                  <c:v>14.24478335702168</c:v>
                </c:pt>
                <c:pt idx="2385">
                  <c:v>14.24478335702168</c:v>
                </c:pt>
                <c:pt idx="2386">
                  <c:v>14.24478335702168</c:v>
                </c:pt>
                <c:pt idx="2387">
                  <c:v>14.080784460411271</c:v>
                </c:pt>
                <c:pt idx="2388">
                  <c:v>13.565786507237032</c:v>
                </c:pt>
                <c:pt idx="2389">
                  <c:v>12.94279787435293</c:v>
                </c:pt>
                <c:pt idx="2390">
                  <c:v>12.939795841717652</c:v>
                </c:pt>
                <c:pt idx="2391">
                  <c:v>11.934812979929692</c:v>
                </c:pt>
                <c:pt idx="2392">
                  <c:v>11.934812979929692</c:v>
                </c:pt>
                <c:pt idx="2393">
                  <c:v>11.934812979929692</c:v>
                </c:pt>
                <c:pt idx="2394">
                  <c:v>11.852815204346028</c:v>
                </c:pt>
                <c:pt idx="2395">
                  <c:v>11.852815204346028</c:v>
                </c:pt>
                <c:pt idx="2396">
                  <c:v>11.326820322222652</c:v>
                </c:pt>
                <c:pt idx="2397">
                  <c:v>11.372823392846717</c:v>
                </c:pt>
                <c:pt idx="2398">
                  <c:v>12.522805108792216</c:v>
                </c:pt>
                <c:pt idx="2399">
                  <c:v>12.522805108792216</c:v>
                </c:pt>
                <c:pt idx="2400">
                  <c:v>12.522805108792216</c:v>
                </c:pt>
                <c:pt idx="2401">
                  <c:v>12.333801928046828</c:v>
                </c:pt>
                <c:pt idx="2402">
                  <c:v>11.650808246991682</c:v>
                </c:pt>
                <c:pt idx="2403">
                  <c:v>11.20581416085016</c:v>
                </c:pt>
                <c:pt idx="2404">
                  <c:v>11.092811688182644</c:v>
                </c:pt>
                <c:pt idx="2405">
                  <c:v>12.256790008091016</c:v>
                </c:pt>
                <c:pt idx="2406">
                  <c:v>12.256790008091016</c:v>
                </c:pt>
                <c:pt idx="2407">
                  <c:v>12.256790008091016</c:v>
                </c:pt>
                <c:pt idx="2408">
                  <c:v>12.219788488547694</c:v>
                </c:pt>
                <c:pt idx="2409">
                  <c:v>13.187770870437831</c:v>
                </c:pt>
                <c:pt idx="2410">
                  <c:v>12.210785891276778</c:v>
                </c:pt>
                <c:pt idx="2411">
                  <c:v>12.299787151102153</c:v>
                </c:pt>
                <c:pt idx="2412">
                  <c:v>12.79477875686915</c:v>
                </c:pt>
                <c:pt idx="2413">
                  <c:v>12.79477875686915</c:v>
                </c:pt>
                <c:pt idx="2414">
                  <c:v>12.79477875686915</c:v>
                </c:pt>
                <c:pt idx="2415">
                  <c:v>12.659787443360596</c:v>
                </c:pt>
                <c:pt idx="2416">
                  <c:v>12.354796926434629</c:v>
                </c:pt>
                <c:pt idx="2417">
                  <c:v>11.527814565159236</c:v>
                </c:pt>
                <c:pt idx="2418">
                  <c:v>10.91182047566689</c:v>
                </c:pt>
                <c:pt idx="2419">
                  <c:v>11.030820972316237</c:v>
                </c:pt>
                <c:pt idx="2420">
                  <c:v>11.030820972316237</c:v>
                </c:pt>
                <c:pt idx="2421">
                  <c:v>11.030820972316237</c:v>
                </c:pt>
                <c:pt idx="2422">
                  <c:v>11.623809620084867</c:v>
                </c:pt>
                <c:pt idx="2423">
                  <c:v>11.37981500652986</c:v>
                </c:pt>
                <c:pt idx="2424">
                  <c:v>12.274794848525554</c:v>
                </c:pt>
                <c:pt idx="2425">
                  <c:v>12.439796306738129</c:v>
                </c:pt>
                <c:pt idx="2426">
                  <c:v>12.129806960066666</c:v>
                </c:pt>
                <c:pt idx="2427">
                  <c:v>12.129806960066666</c:v>
                </c:pt>
                <c:pt idx="2428">
                  <c:v>12.129806960066666</c:v>
                </c:pt>
                <c:pt idx="2429">
                  <c:v>12.471796080386957</c:v>
                </c:pt>
                <c:pt idx="2430">
                  <c:v>12.827792991486696</c:v>
                </c:pt>
                <c:pt idx="2431">
                  <c:v>12.988789031532541</c:v>
                </c:pt>
                <c:pt idx="2432">
                  <c:v>12.386802802150815</c:v>
                </c:pt>
                <c:pt idx="2433">
                  <c:v>12.305805987143435</c:v>
                </c:pt>
                <c:pt idx="2434">
                  <c:v>12.305805987143435</c:v>
                </c:pt>
                <c:pt idx="2435">
                  <c:v>12.305805987143435</c:v>
                </c:pt>
                <c:pt idx="2436">
                  <c:v>11.772815319197411</c:v>
                </c:pt>
                <c:pt idx="2437">
                  <c:v>11.864815095447511</c:v>
                </c:pt>
                <c:pt idx="2438">
                  <c:v>12.891801811342692</c:v>
                </c:pt>
                <c:pt idx="2439">
                  <c:v>13.189798938766236</c:v>
                </c:pt>
                <c:pt idx="2440">
                  <c:v>13.339791555010777</c:v>
                </c:pt>
                <c:pt idx="2441">
                  <c:v>13.339791555010777</c:v>
                </c:pt>
                <c:pt idx="2442">
                  <c:v>13.339791555010777</c:v>
                </c:pt>
                <c:pt idx="2443">
                  <c:v>13.622791424054077</c:v>
                </c:pt>
                <c:pt idx="2444">
                  <c:v>13.884783402067693</c:v>
                </c:pt>
                <c:pt idx="2445">
                  <c:v>13.336788115202154</c:v>
                </c:pt>
                <c:pt idx="2446">
                  <c:v>14.351774297037219</c:v>
                </c:pt>
                <c:pt idx="2447">
                  <c:v>15.090769268095872</c:v>
                </c:pt>
                <c:pt idx="2448">
                  <c:v>15.090769268095872</c:v>
                </c:pt>
                <c:pt idx="2449">
                  <c:v>15.090769268095872</c:v>
                </c:pt>
                <c:pt idx="2450">
                  <c:v>15.49175793036545</c:v>
                </c:pt>
                <c:pt idx="2451">
                  <c:v>15.574755804045209</c:v>
                </c:pt>
                <c:pt idx="2452">
                  <c:v>15.467749910166678</c:v>
                </c:pt>
                <c:pt idx="2453">
                  <c:v>13.93378006302793</c:v>
                </c:pt>
                <c:pt idx="2454">
                  <c:v>14.185776191290005</c:v>
                </c:pt>
                <c:pt idx="2455">
                  <c:v>14.185776191290005</c:v>
                </c:pt>
                <c:pt idx="2456">
                  <c:v>14.185776191290005</c:v>
                </c:pt>
                <c:pt idx="2457">
                  <c:v>14.322773520008891</c:v>
                </c:pt>
                <c:pt idx="2458">
                  <c:v>14.484771201122241</c:v>
                </c:pt>
                <c:pt idx="2459">
                  <c:v>14.472773272079687</c:v>
                </c:pt>
                <c:pt idx="2460">
                  <c:v>14.264778536242732</c:v>
                </c:pt>
                <c:pt idx="2461">
                  <c:v>14.608771273417904</c:v>
                </c:pt>
                <c:pt idx="2462">
                  <c:v>14.608771273417904</c:v>
                </c:pt>
                <c:pt idx="2463">
                  <c:v>14.608771273417904</c:v>
                </c:pt>
                <c:pt idx="2464">
                  <c:v>14.561765893114929</c:v>
                </c:pt>
                <c:pt idx="2465">
                  <c:v>14.583772806279605</c:v>
                </c:pt>
                <c:pt idx="2466">
                  <c:v>14.771773163329298</c:v>
                </c:pt>
                <c:pt idx="2467">
                  <c:v>14.243784557357181</c:v>
                </c:pt>
                <c:pt idx="2468">
                  <c:v>14.196779022015287</c:v>
                </c:pt>
                <c:pt idx="2469">
                  <c:v>14.196779022015287</c:v>
                </c:pt>
                <c:pt idx="2470">
                  <c:v>14.196779022015287</c:v>
                </c:pt>
                <c:pt idx="2471">
                  <c:v>13.924786173684703</c:v>
                </c:pt>
                <c:pt idx="2472">
                  <c:v>14.188782663929782</c:v>
                </c:pt>
                <c:pt idx="2473">
                  <c:v>14.668774296458498</c:v>
                </c:pt>
                <c:pt idx="2474">
                  <c:v>14.187780173032351</c:v>
                </c:pt>
                <c:pt idx="2475">
                  <c:v>14.187780173032351</c:v>
                </c:pt>
                <c:pt idx="2476">
                  <c:v>14.187780173032351</c:v>
                </c:pt>
                <c:pt idx="2477">
                  <c:v>14.187780173032351</c:v>
                </c:pt>
                <c:pt idx="2478">
                  <c:v>14.077776428023773</c:v>
                </c:pt>
                <c:pt idx="2479">
                  <c:v>14.165774217462653</c:v>
                </c:pt>
                <c:pt idx="2480">
                  <c:v>14.008777844163117</c:v>
                </c:pt>
                <c:pt idx="2481">
                  <c:v>13.971780569215836</c:v>
                </c:pt>
                <c:pt idx="2482">
                  <c:v>13.834788493552676</c:v>
                </c:pt>
                <c:pt idx="2483">
                  <c:v>13.834788493552676</c:v>
                </c:pt>
                <c:pt idx="2484">
                  <c:v>13.834788493552676</c:v>
                </c:pt>
                <c:pt idx="2485">
                  <c:v>13.669794079018915</c:v>
                </c:pt>
                <c:pt idx="2486">
                  <c:v>12.967807742494463</c:v>
                </c:pt>
                <c:pt idx="2487">
                  <c:v>12.902803418870192</c:v>
                </c:pt>
                <c:pt idx="2488">
                  <c:v>12.535805186237893</c:v>
                </c:pt>
                <c:pt idx="2489">
                  <c:v>12.560801180587262</c:v>
                </c:pt>
                <c:pt idx="2490">
                  <c:v>12.560801180587262</c:v>
                </c:pt>
                <c:pt idx="2491">
                  <c:v>12.560801180587262</c:v>
                </c:pt>
                <c:pt idx="2492">
                  <c:v>12.723792968513925</c:v>
                </c:pt>
                <c:pt idx="2493">
                  <c:v>12.668797717621729</c:v>
                </c:pt>
                <c:pt idx="2494">
                  <c:v>13.299793101530755</c:v>
                </c:pt>
                <c:pt idx="2495">
                  <c:v>12.568804028062658</c:v>
                </c:pt>
                <c:pt idx="2496">
                  <c:v>12.792806062211989</c:v>
                </c:pt>
                <c:pt idx="2497">
                  <c:v>12.792806062211989</c:v>
                </c:pt>
                <c:pt idx="2498">
                  <c:v>12.792806062211989</c:v>
                </c:pt>
                <c:pt idx="2499">
                  <c:v>9.32886029993983</c:v>
                </c:pt>
                <c:pt idx="2500">
                  <c:v>9.1368673072133557</c:v>
                </c:pt>
                <c:pt idx="2501">
                  <c:v>9.0128682656150243</c:v>
                </c:pt>
                <c:pt idx="2502">
                  <c:v>8.9138708163288758</c:v>
                </c:pt>
                <c:pt idx="2503">
                  <c:v>8.6868741089869381</c:v>
                </c:pt>
                <c:pt idx="2504">
                  <c:v>8.6868741089869381</c:v>
                </c:pt>
                <c:pt idx="2505">
                  <c:v>8.6868741089869381</c:v>
                </c:pt>
                <c:pt idx="2506">
                  <c:v>8.848870379015576</c:v>
                </c:pt>
                <c:pt idx="2507">
                  <c:v>8.6838767213106749</c:v>
                </c:pt>
                <c:pt idx="2508">
                  <c:v>8.4318815104882248</c:v>
                </c:pt>
                <c:pt idx="2509">
                  <c:v>8.5958823498408368</c:v>
                </c:pt>
                <c:pt idx="2510">
                  <c:v>8.9498768280194909</c:v>
                </c:pt>
                <c:pt idx="2511">
                  <c:v>8.9498768280194909</c:v>
                </c:pt>
                <c:pt idx="2512">
                  <c:v>8.9498768280194909</c:v>
                </c:pt>
                <c:pt idx="2513">
                  <c:v>9.278868385495624</c:v>
                </c:pt>
                <c:pt idx="2514">
                  <c:v>9.3138699086121903</c:v>
                </c:pt>
                <c:pt idx="2515">
                  <c:v>9.0248753501496957</c:v>
                </c:pt>
                <c:pt idx="2516">
                  <c:v>9.4878641446818843</c:v>
                </c:pt>
                <c:pt idx="2517">
                  <c:v>9.7298653558116293</c:v>
                </c:pt>
                <c:pt idx="2518">
                  <c:v>9.7298653558116293</c:v>
                </c:pt>
                <c:pt idx="2519">
                  <c:v>9.7298653558116293</c:v>
                </c:pt>
                <c:pt idx="2520">
                  <c:v>9.4698700729585532</c:v>
                </c:pt>
                <c:pt idx="2521">
                  <c:v>9.5178686847356762</c:v>
                </c:pt>
                <c:pt idx="2522">
                  <c:v>9.4898735577403421</c:v>
                </c:pt>
                <c:pt idx="2523">
                  <c:v>9.3328759190304122</c:v>
                </c:pt>
                <c:pt idx="2524">
                  <c:v>9.4138728813011276</c:v>
                </c:pt>
                <c:pt idx="2525">
                  <c:v>9.4138728813011276</c:v>
                </c:pt>
                <c:pt idx="2526">
                  <c:v>9.4138728813011276</c:v>
                </c:pt>
                <c:pt idx="2527">
                  <c:v>9.4828702452052411</c:v>
                </c:pt>
                <c:pt idx="2528">
                  <c:v>9.1638757310088241</c:v>
                </c:pt>
                <c:pt idx="2529">
                  <c:v>9.2688735303607519</c:v>
                </c:pt>
                <c:pt idx="2530">
                  <c:v>9.4548697276429436</c:v>
                </c:pt>
                <c:pt idx="2531">
                  <c:v>9.3998710819424964</c:v>
                </c:pt>
                <c:pt idx="2532">
                  <c:v>9.3998710819424964</c:v>
                </c:pt>
                <c:pt idx="2533">
                  <c:v>9.3998710819424964</c:v>
                </c:pt>
                <c:pt idx="2534">
                  <c:v>9.2768690748786806</c:v>
                </c:pt>
                <c:pt idx="2535">
                  <c:v>9.0998675511414273</c:v>
                </c:pt>
                <c:pt idx="2536">
                  <c:v>9.0998675511414273</c:v>
                </c:pt>
                <c:pt idx="2537">
                  <c:v>9.4198602022105202</c:v>
                </c:pt>
                <c:pt idx="2538">
                  <c:v>9.3798644601524295</c:v>
                </c:pt>
                <c:pt idx="2539">
                  <c:v>9.3798644601524295</c:v>
                </c:pt>
                <c:pt idx="2540">
                  <c:v>9.3798644601524295</c:v>
                </c:pt>
                <c:pt idx="2541">
                  <c:v>9.2208690157144648</c:v>
                </c:pt>
                <c:pt idx="2542">
                  <c:v>8.9578747703322801</c:v>
                </c:pt>
                <c:pt idx="2543">
                  <c:v>9.1648725824801769</c:v>
                </c:pt>
                <c:pt idx="2544">
                  <c:v>8.9338782270417827</c:v>
                </c:pt>
                <c:pt idx="2545">
                  <c:v>9.2058750100898994</c:v>
                </c:pt>
                <c:pt idx="2546">
                  <c:v>9.2058750100898994</c:v>
                </c:pt>
                <c:pt idx="2547">
                  <c:v>9.2058750100898994</c:v>
                </c:pt>
                <c:pt idx="2548">
                  <c:v>9.1538718640303429</c:v>
                </c:pt>
                <c:pt idx="2549">
                  <c:v>9.3358652206415282</c:v>
                </c:pt>
                <c:pt idx="2550">
                  <c:v>9.1488714373338613</c:v>
                </c:pt>
                <c:pt idx="2551">
                  <c:v>9.2918733684746861</c:v>
                </c:pt>
                <c:pt idx="2552">
                  <c:v>9.0118744299365581</c:v>
                </c:pt>
                <c:pt idx="2553">
                  <c:v>9.0118744299365581</c:v>
                </c:pt>
                <c:pt idx="2554">
                  <c:v>9.0118744299365581</c:v>
                </c:pt>
                <c:pt idx="2555">
                  <c:v>9.0528749003602904</c:v>
                </c:pt>
                <c:pt idx="2556">
                  <c:v>9.005873247879606</c:v>
                </c:pt>
                <c:pt idx="2557">
                  <c:v>9.076872544926017</c:v>
                </c:pt>
                <c:pt idx="2558">
                  <c:v>8.8818797567464056</c:v>
                </c:pt>
                <c:pt idx="2559">
                  <c:v>8.8618784969787257</c:v>
                </c:pt>
                <c:pt idx="2560">
                  <c:v>8.8618784969787257</c:v>
                </c:pt>
                <c:pt idx="2561">
                  <c:v>8.8618784969787257</c:v>
                </c:pt>
                <c:pt idx="2562">
                  <c:v>8.6548797382783231</c:v>
                </c:pt>
                <c:pt idx="2563">
                  <c:v>8.6268768958743145</c:v>
                </c:pt>
                <c:pt idx="2564">
                  <c:v>8.7928776327020977</c:v>
                </c:pt>
                <c:pt idx="2565">
                  <c:v>8.319883912398339</c:v>
                </c:pt>
                <c:pt idx="2566">
                  <c:v>8.6638834029109173</c:v>
                </c:pt>
                <c:pt idx="2567">
                  <c:v>8.6638834029109173</c:v>
                </c:pt>
                <c:pt idx="2568">
                  <c:v>8.6638834029109173</c:v>
                </c:pt>
                <c:pt idx="2569">
                  <c:v>8.5528840734062523</c:v>
                </c:pt>
                <c:pt idx="2570">
                  <c:v>8.4538890328317891</c:v>
                </c:pt>
                <c:pt idx="2571">
                  <c:v>8.2728946438144177</c:v>
                </c:pt>
                <c:pt idx="2572">
                  <c:v>8.2558957544559917</c:v>
                </c:pt>
                <c:pt idx="2573">
                  <c:v>8.2558957544559917</c:v>
                </c:pt>
                <c:pt idx="2574">
                  <c:v>8.2558957544559917</c:v>
                </c:pt>
                <c:pt idx="2575">
                  <c:v>8.2558957544559917</c:v>
                </c:pt>
                <c:pt idx="2576">
                  <c:v>8.2988923155428207</c:v>
                </c:pt>
                <c:pt idx="2577">
                  <c:v>8.2958892036510985</c:v>
                </c:pt>
                <c:pt idx="2578">
                  <c:v>8.2228945685659376</c:v>
                </c:pt>
                <c:pt idx="2579">
                  <c:v>8.2958901056051584</c:v>
                </c:pt>
                <c:pt idx="2580">
                  <c:v>8.5628895651356522</c:v>
                </c:pt>
                <c:pt idx="2581">
                  <c:v>8.5628895651356522</c:v>
                </c:pt>
                <c:pt idx="2582">
                  <c:v>8.5628895651356522</c:v>
                </c:pt>
                <c:pt idx="2583">
                  <c:v>8.0438973106523619</c:v>
                </c:pt>
                <c:pt idx="2584">
                  <c:v>8.0748968396196616</c:v>
                </c:pt>
                <c:pt idx="2585">
                  <c:v>8.0218961716138093</c:v>
                </c:pt>
                <c:pt idx="2586">
                  <c:v>7.4919039055288845</c:v>
                </c:pt>
                <c:pt idx="2587">
                  <c:v>7.560904722022058</c:v>
                </c:pt>
                <c:pt idx="2588">
                  <c:v>7.560904722022058</c:v>
                </c:pt>
                <c:pt idx="2589">
                  <c:v>7.560904722022058</c:v>
                </c:pt>
                <c:pt idx="2590">
                  <c:v>5.2729320493992704</c:v>
                </c:pt>
                <c:pt idx="2591">
                  <c:v>5.1519337337289128</c:v>
                </c:pt>
                <c:pt idx="2592">
                  <c:v>5.0939341989397855</c:v>
                </c:pt>
                <c:pt idx="2593">
                  <c:v>5.0889368629403773</c:v>
                </c:pt>
                <c:pt idx="2594">
                  <c:v>4.9429373232243012</c:v>
                </c:pt>
                <c:pt idx="2595">
                  <c:v>4.9429373232243012</c:v>
                </c:pt>
                <c:pt idx="2596">
                  <c:v>4.9429373232243012</c:v>
                </c:pt>
                <c:pt idx="2597">
                  <c:v>4.9439359982959576</c:v>
                </c:pt>
                <c:pt idx="2598">
                  <c:v>4.9339349122288692</c:v>
                </c:pt>
                <c:pt idx="2599">
                  <c:v>4.9449324419798319</c:v>
                </c:pt>
                <c:pt idx="2600">
                  <c:v>5.1169277338993924</c:v>
                </c:pt>
                <c:pt idx="2601">
                  <c:v>5.1739289086863902</c:v>
                </c:pt>
                <c:pt idx="2602">
                  <c:v>5.1739289086863902</c:v>
                </c:pt>
                <c:pt idx="2603">
                  <c:v>5.1739289086863902</c:v>
                </c:pt>
                <c:pt idx="2604">
                  <c:v>5.2109264867422604</c:v>
                </c:pt>
                <c:pt idx="2605">
                  <c:v>5.1009300315420871</c:v>
                </c:pt>
                <c:pt idx="2606">
                  <c:v>5.2499282450652851</c:v>
                </c:pt>
                <c:pt idx="2607">
                  <c:v>5.3719246539566408</c:v>
                </c:pt>
                <c:pt idx="2608">
                  <c:v>5.4129221261400247</c:v>
                </c:pt>
                <c:pt idx="2609">
                  <c:v>5.4129221261400247</c:v>
                </c:pt>
                <c:pt idx="2610">
                  <c:v>5.4129221261400247</c:v>
                </c:pt>
                <c:pt idx="2611">
                  <c:v>5.3979213028394337</c:v>
                </c:pt>
                <c:pt idx="2612">
                  <c:v>5.404920675113706</c:v>
                </c:pt>
                <c:pt idx="2613">
                  <c:v>5.4209178035519878</c:v>
                </c:pt>
                <c:pt idx="2614">
                  <c:v>5.2559187463478887</c:v>
                </c:pt>
                <c:pt idx="2615">
                  <c:v>5.2289166209174711</c:v>
                </c:pt>
                <c:pt idx="2616">
                  <c:v>5.2289166209174711</c:v>
                </c:pt>
                <c:pt idx="2617">
                  <c:v>5.2289166209174711</c:v>
                </c:pt>
                <c:pt idx="2618">
                  <c:v>5.2089143896611718</c:v>
                </c:pt>
                <c:pt idx="2619">
                  <c:v>5.0859165830174771</c:v>
                </c:pt>
                <c:pt idx="2620">
                  <c:v>4.9739188522219946</c:v>
                </c:pt>
                <c:pt idx="2621">
                  <c:v>4.7939214823251328</c:v>
                </c:pt>
                <c:pt idx="2622">
                  <c:v>4.7679220036392884</c:v>
                </c:pt>
                <c:pt idx="2623">
                  <c:v>4.7679220036392884</c:v>
                </c:pt>
                <c:pt idx="2624">
                  <c:v>4.7679220036392884</c:v>
                </c:pt>
                <c:pt idx="2625">
                  <c:v>4.8989191003835444</c:v>
                </c:pt>
                <c:pt idx="2626">
                  <c:v>4.7899196879642307</c:v>
                </c:pt>
                <c:pt idx="2627">
                  <c:v>4.7459202612224374</c:v>
                </c:pt>
                <c:pt idx="2628">
                  <c:v>4.8009195961155369</c:v>
                </c:pt>
                <c:pt idx="2629">
                  <c:v>4.961918981301837</c:v>
                </c:pt>
                <c:pt idx="2630">
                  <c:v>4.961918981301837</c:v>
                </c:pt>
                <c:pt idx="2631">
                  <c:v>4.961918981301837</c:v>
                </c:pt>
                <c:pt idx="2632">
                  <c:v>4.961918981301837</c:v>
                </c:pt>
                <c:pt idx="2633">
                  <c:v>5.0959160950203986</c:v>
                </c:pt>
                <c:pt idx="2634">
                  <c:v>5.2239123965609346</c:v>
                </c:pt>
                <c:pt idx="2635">
                  <c:v>5.5219076656451405</c:v>
                </c:pt>
                <c:pt idx="2636">
                  <c:v>5.3339087189374705</c:v>
                </c:pt>
                <c:pt idx="2637">
                  <c:v>5.3339087189374705</c:v>
                </c:pt>
                <c:pt idx="2638">
                  <c:v>5.3339087189374705</c:v>
                </c:pt>
                <c:pt idx="2639">
                  <c:v>5.4519042833418379</c:v>
                </c:pt>
                <c:pt idx="2640">
                  <c:v>5.6509007533718263</c:v>
                </c:pt>
                <c:pt idx="2641">
                  <c:v>5.6999028178972893</c:v>
                </c:pt>
                <c:pt idx="2642">
                  <c:v>5.5599044244886651</c:v>
                </c:pt>
                <c:pt idx="2643">
                  <c:v>5.790903567808547</c:v>
                </c:pt>
                <c:pt idx="2644">
                  <c:v>5.790903567808547</c:v>
                </c:pt>
                <c:pt idx="2645">
                  <c:v>5.790903567808547</c:v>
                </c:pt>
                <c:pt idx="2646">
                  <c:v>5.8389052075195655</c:v>
                </c:pt>
                <c:pt idx="2647">
                  <c:v>5.8569034718886801</c:v>
                </c:pt>
                <c:pt idx="2648">
                  <c:v>5.7949037961734202</c:v>
                </c:pt>
                <c:pt idx="2649">
                  <c:v>5.9528997073050025</c:v>
                </c:pt>
                <c:pt idx="2650">
                  <c:v>5.8859005018919666</c:v>
                </c:pt>
                <c:pt idx="2651">
                  <c:v>5.8859005018919666</c:v>
                </c:pt>
                <c:pt idx="2652">
                  <c:v>5.8859005018919666</c:v>
                </c:pt>
                <c:pt idx="2653">
                  <c:v>5.7919036967966537</c:v>
                </c:pt>
                <c:pt idx="2654">
                  <c:v>5.8689037135180104</c:v>
                </c:pt>
                <c:pt idx="2655">
                  <c:v>5.7989051296974328</c:v>
                </c:pt>
                <c:pt idx="2656">
                  <c:v>5.8239071631488306</c:v>
                </c:pt>
                <c:pt idx="2657">
                  <c:v>5.6909105828281374</c:v>
                </c:pt>
                <c:pt idx="2658">
                  <c:v>5.6909105828281374</c:v>
                </c:pt>
                <c:pt idx="2659">
                  <c:v>5.6909105828281374</c:v>
                </c:pt>
                <c:pt idx="2660">
                  <c:v>5.4319167902681524</c:v>
                </c:pt>
                <c:pt idx="2661">
                  <c:v>5.6259152249708215</c:v>
                </c:pt>
                <c:pt idx="2662">
                  <c:v>5.5559162363095576</c:v>
                </c:pt>
                <c:pt idx="2663">
                  <c:v>5.7369159340281453</c:v>
                </c:pt>
                <c:pt idx="2664">
                  <c:v>5.9939108558850744</c:v>
                </c:pt>
                <c:pt idx="2665">
                  <c:v>5.9939108558850744</c:v>
                </c:pt>
                <c:pt idx="2666">
                  <c:v>5.9939108558850744</c:v>
                </c:pt>
                <c:pt idx="2667">
                  <c:v>4.8399270494780282</c:v>
                </c:pt>
                <c:pt idx="2668">
                  <c:v>4.9809271348102362</c:v>
                </c:pt>
                <c:pt idx="2669">
                  <c:v>5.0199269472635271</c:v>
                </c:pt>
                <c:pt idx="2670">
                  <c:v>4.8409287652400126</c:v>
                </c:pt>
                <c:pt idx="2671">
                  <c:v>4.8409287652400126</c:v>
                </c:pt>
                <c:pt idx="2672">
                  <c:v>4.8409287652400126</c:v>
                </c:pt>
                <c:pt idx="2673">
                  <c:v>4.8409287652400126</c:v>
                </c:pt>
                <c:pt idx="2674">
                  <c:v>4.830928742742536</c:v>
                </c:pt>
                <c:pt idx="2675">
                  <c:v>4.7209310492939851</c:v>
                </c:pt>
                <c:pt idx="2676">
                  <c:v>4.5219342871206667</c:v>
                </c:pt>
                <c:pt idx="2677">
                  <c:v>4.3879355124417216</c:v>
                </c:pt>
                <c:pt idx="2678">
                  <c:v>4.2799356170803167</c:v>
                </c:pt>
                <c:pt idx="2679">
                  <c:v>4.2799356170803167</c:v>
                </c:pt>
                <c:pt idx="2680">
                  <c:v>4.2799356170803167</c:v>
                </c:pt>
                <c:pt idx="2681">
                  <c:v>4.3339364654396952</c:v>
                </c:pt>
                <c:pt idx="2682">
                  <c:v>4.4199351435273053</c:v>
                </c:pt>
                <c:pt idx="2683">
                  <c:v>4.5469356018217901</c:v>
                </c:pt>
                <c:pt idx="2684">
                  <c:v>4.5099360861708444</c:v>
                </c:pt>
                <c:pt idx="2685">
                  <c:v>4.6759316601045562</c:v>
                </c:pt>
                <c:pt idx="2686">
                  <c:v>4.6759316601045562</c:v>
                </c:pt>
                <c:pt idx="2687">
                  <c:v>4.6759316601045562</c:v>
                </c:pt>
                <c:pt idx="2688">
                  <c:v>4.5829347481941989</c:v>
                </c:pt>
                <c:pt idx="2689">
                  <c:v>4.8479324307223441</c:v>
                </c:pt>
                <c:pt idx="2690">
                  <c:v>4.868932135020688</c:v>
                </c:pt>
                <c:pt idx="2691">
                  <c:v>5.054928218832635</c:v>
                </c:pt>
                <c:pt idx="2692">
                  <c:v>5.1239270200851008</c:v>
                </c:pt>
                <c:pt idx="2693">
                  <c:v>5.1239270200851008</c:v>
                </c:pt>
                <c:pt idx="2694">
                  <c:v>5.1239270200851008</c:v>
                </c:pt>
                <c:pt idx="2695">
                  <c:v>4.9479291791816102</c:v>
                </c:pt>
                <c:pt idx="2696">
                  <c:v>4.8799322038531212</c:v>
                </c:pt>
                <c:pt idx="2697">
                  <c:v>4.9399326255227205</c:v>
                </c:pt>
                <c:pt idx="2698">
                  <c:v>4.8649347907879337</c:v>
                </c:pt>
                <c:pt idx="2699">
                  <c:v>4.7359373297988716</c:v>
                </c:pt>
                <c:pt idx="2700">
                  <c:v>4.7359373297988716</c:v>
                </c:pt>
                <c:pt idx="2701">
                  <c:v>4.7359373297988716</c:v>
                </c:pt>
                <c:pt idx="2702">
                  <c:v>4.8359347893735372</c:v>
                </c:pt>
                <c:pt idx="2703">
                  <c:v>4.9479312123654289</c:v>
                </c:pt>
                <c:pt idx="2704">
                  <c:v>4.8329316048285333</c:v>
                </c:pt>
                <c:pt idx="2705">
                  <c:v>4.9129288248841219</c:v>
                </c:pt>
                <c:pt idx="2706">
                  <c:v>4.9129288248841219</c:v>
                </c:pt>
                <c:pt idx="2707">
                  <c:v>4.9129288248841219</c:v>
                </c:pt>
                <c:pt idx="2708">
                  <c:v>4.9129288248841219</c:v>
                </c:pt>
                <c:pt idx="2709">
                  <c:v>4.8959301553846268</c:v>
                </c:pt>
                <c:pt idx="2710">
                  <c:v>4.7899337122658947</c:v>
                </c:pt>
                <c:pt idx="2711">
                  <c:v>4.7419358377165288</c:v>
                </c:pt>
                <c:pt idx="2712">
                  <c:v>4.7869330079916494</c:v>
                </c:pt>
                <c:pt idx="2713">
                  <c:v>4.8349342350774993</c:v>
                </c:pt>
                <c:pt idx="2714">
                  <c:v>4.8349342350774993</c:v>
                </c:pt>
                <c:pt idx="2715">
                  <c:v>4.8349342350774993</c:v>
                </c:pt>
                <c:pt idx="2716">
                  <c:v>4.7649373060516007</c:v>
                </c:pt>
                <c:pt idx="2717">
                  <c:v>4.7909377250856409</c:v>
                </c:pt>
                <c:pt idx="2718">
                  <c:v>4.6409379689899168</c:v>
                </c:pt>
                <c:pt idx="2719">
                  <c:v>4.5729383753484854</c:v>
                </c:pt>
                <c:pt idx="2720">
                  <c:v>4.5729383753484854</c:v>
                </c:pt>
                <c:pt idx="2721">
                  <c:v>4.5729383753484854</c:v>
                </c:pt>
                <c:pt idx="2722">
                  <c:v>4.5729383753484854</c:v>
                </c:pt>
                <c:pt idx="2723">
                  <c:v>4.6419361137431636</c:v>
                </c:pt>
                <c:pt idx="2724">
                  <c:v>4.7009375813263912</c:v>
                </c:pt>
                <c:pt idx="2725">
                  <c:v>4.6479371539597869</c:v>
                </c:pt>
                <c:pt idx="2726">
                  <c:v>4.6219387484994776</c:v>
                </c:pt>
                <c:pt idx="2727">
                  <c:v>4.6219387484994776</c:v>
                </c:pt>
                <c:pt idx="2728">
                  <c:v>4.6219387484994776</c:v>
                </c:pt>
                <c:pt idx="2729">
                  <c:v>4.6219387484994776</c:v>
                </c:pt>
                <c:pt idx="2730">
                  <c:v>4.6159380290616969</c:v>
                </c:pt>
                <c:pt idx="2731">
                  <c:v>4.9589325142766718</c:v>
                </c:pt>
                <c:pt idx="2732">
                  <c:v>4.893931318504297</c:v>
                </c:pt>
                <c:pt idx="2733">
                  <c:v>4.97992972492401</c:v>
                </c:pt>
                <c:pt idx="2734">
                  <c:v>4.9249329981338494</c:v>
                </c:pt>
                <c:pt idx="2735">
                  <c:v>4.9249329981338494</c:v>
                </c:pt>
                <c:pt idx="2736">
                  <c:v>4.9249329981338494</c:v>
                </c:pt>
                <c:pt idx="2737">
                  <c:v>4.8969323390193376</c:v>
                </c:pt>
                <c:pt idx="2738">
                  <c:v>4.8999310968506098</c:v>
                </c:pt>
                <c:pt idx="2739">
                  <c:v>4.6859338689245629</c:v>
                </c:pt>
                <c:pt idx="2740">
                  <c:v>4.8299335064869648</c:v>
                </c:pt>
                <c:pt idx="2741">
                  <c:v>4.5249390403502376</c:v>
                </c:pt>
                <c:pt idx="2742">
                  <c:v>4.5249390403502376</c:v>
                </c:pt>
                <c:pt idx="2743">
                  <c:v>4.5249390403502376</c:v>
                </c:pt>
                <c:pt idx="2744">
                  <c:v>4.533938909084771</c:v>
                </c:pt>
                <c:pt idx="2745">
                  <c:v>4.4179414386710247</c:v>
                </c:pt>
                <c:pt idx="2746">
                  <c:v>4.5069399825055614</c:v>
                </c:pt>
                <c:pt idx="2747">
                  <c:v>4.5249401945996794</c:v>
                </c:pt>
                <c:pt idx="2748">
                  <c:v>4.7999382572330767</c:v>
                </c:pt>
                <c:pt idx="2749">
                  <c:v>4.7999382572330767</c:v>
                </c:pt>
                <c:pt idx="2750">
                  <c:v>4.7999382572330767</c:v>
                </c:pt>
                <c:pt idx="2751">
                  <c:v>4.9139366741363668</c:v>
                </c:pt>
                <c:pt idx="2752">
                  <c:v>4.8409353687752361</c:v>
                </c:pt>
                <c:pt idx="2753">
                  <c:v>5.0139310311427536</c:v>
                </c:pt>
                <c:pt idx="2754">
                  <c:v>4.9889314954192079</c:v>
                </c:pt>
                <c:pt idx="2755">
                  <c:v>5.1189318896897689</c:v>
                </c:pt>
                <c:pt idx="2756">
                  <c:v>5.1189318896897689</c:v>
                </c:pt>
                <c:pt idx="2757">
                  <c:v>5.1189318896897689</c:v>
                </c:pt>
                <c:pt idx="2758">
                  <c:v>5.1119336525194701</c:v>
                </c:pt>
                <c:pt idx="2759">
                  <c:v>5.1119336525194701</c:v>
                </c:pt>
                <c:pt idx="2760">
                  <c:v>5.1919309241995357</c:v>
                </c:pt>
                <c:pt idx="2761">
                  <c:v>5.039931626282482</c:v>
                </c:pt>
                <c:pt idx="2762">
                  <c:v>5.0009293780629696</c:v>
                </c:pt>
                <c:pt idx="2763">
                  <c:v>5.0009293780629696</c:v>
                </c:pt>
                <c:pt idx="2764">
                  <c:v>5.0009293780629696</c:v>
                </c:pt>
                <c:pt idx="2765">
                  <c:v>4.8899327935814636</c:v>
                </c:pt>
                <c:pt idx="2766">
                  <c:v>4.8239317592513862</c:v>
                </c:pt>
                <c:pt idx="2767">
                  <c:v>4.7049345544989967</c:v>
                </c:pt>
                <c:pt idx="2768">
                  <c:v>4.840432789577644</c:v>
                </c:pt>
                <c:pt idx="2769">
                  <c:v>5.099427618914703</c:v>
                </c:pt>
                <c:pt idx="2770">
                  <c:v>5.099427618914703</c:v>
                </c:pt>
                <c:pt idx="2771">
                  <c:v>5.099427618914703</c:v>
                </c:pt>
                <c:pt idx="2772">
                  <c:v>5.9279126975201137</c:v>
                </c:pt>
                <c:pt idx="2773">
                  <c:v>6.1649103459494476</c:v>
                </c:pt>
                <c:pt idx="2774">
                  <c:v>6.4659046744497584</c:v>
                </c:pt>
                <c:pt idx="2775">
                  <c:v>6.537900029575443</c:v>
                </c:pt>
                <c:pt idx="2776">
                  <c:v>6.4619016048013744</c:v>
                </c:pt>
                <c:pt idx="2777">
                  <c:v>6.4619016048013744</c:v>
                </c:pt>
                <c:pt idx="2778">
                  <c:v>6.4619016048013744</c:v>
                </c:pt>
                <c:pt idx="2779">
                  <c:v>6.4059012163678863</c:v>
                </c:pt>
                <c:pt idx="2780">
                  <c:v>6.506901338951085</c:v>
                </c:pt>
                <c:pt idx="2781">
                  <c:v>6.5918972622505434</c:v>
                </c:pt>
                <c:pt idx="2782">
                  <c:v>6.4199016764371155</c:v>
                </c:pt>
                <c:pt idx="2783">
                  <c:v>6.3969048036679297</c:v>
                </c:pt>
                <c:pt idx="2784">
                  <c:v>6.3969048036679297</c:v>
                </c:pt>
                <c:pt idx="2785">
                  <c:v>6.3969048036679297</c:v>
                </c:pt>
                <c:pt idx="2786">
                  <c:v>6.2679050498372302</c:v>
                </c:pt>
                <c:pt idx="2787">
                  <c:v>6.2569054101262287</c:v>
                </c:pt>
                <c:pt idx="2788">
                  <c:v>6.3309073865678194</c:v>
                </c:pt>
                <c:pt idx="2789">
                  <c:v>6.345909115717375</c:v>
                </c:pt>
                <c:pt idx="2790">
                  <c:v>6.3619093176512687</c:v>
                </c:pt>
                <c:pt idx="2791">
                  <c:v>6.3619093176512687</c:v>
                </c:pt>
                <c:pt idx="2792">
                  <c:v>6.3619093176512687</c:v>
                </c:pt>
                <c:pt idx="2793">
                  <c:v>6.3239089487780618</c:v>
                </c:pt>
                <c:pt idx="2794">
                  <c:v>6.4069104739683214</c:v>
                </c:pt>
                <c:pt idx="2795">
                  <c:v>6.3889129063112424</c:v>
                </c:pt>
                <c:pt idx="2796">
                  <c:v>6.4529128964179145</c:v>
                </c:pt>
                <c:pt idx="2797">
                  <c:v>6.6509105020643702</c:v>
                </c:pt>
                <c:pt idx="2798">
                  <c:v>6.6509105020643702</c:v>
                </c:pt>
                <c:pt idx="2799">
                  <c:v>6.6509105020643702</c:v>
                </c:pt>
                <c:pt idx="2800">
                  <c:v>6.5309115335469796</c:v>
                </c:pt>
                <c:pt idx="2801">
                  <c:v>6.4859122741886592</c:v>
                </c:pt>
                <c:pt idx="2802">
                  <c:v>6.4119123932580679</c:v>
                </c:pt>
                <c:pt idx="2803">
                  <c:v>6.4179131420458804</c:v>
                </c:pt>
                <c:pt idx="2804">
                  <c:v>6.4279149777512616</c:v>
                </c:pt>
                <c:pt idx="2805">
                  <c:v>6.4279149777512616</c:v>
                </c:pt>
                <c:pt idx="2806">
                  <c:v>6.4279149777512616</c:v>
                </c:pt>
                <c:pt idx="2807">
                  <c:v>6.0959190352532966</c:v>
                </c:pt>
                <c:pt idx="2808">
                  <c:v>6.0139192463295919</c:v>
                </c:pt>
                <c:pt idx="2809">
                  <c:v>6.0529181982811169</c:v>
                </c:pt>
                <c:pt idx="2810">
                  <c:v>5.9559200837964088</c:v>
                </c:pt>
                <c:pt idx="2811">
                  <c:v>6.1509164366717775</c:v>
                </c:pt>
                <c:pt idx="2812">
                  <c:v>6.1509164366717775</c:v>
                </c:pt>
                <c:pt idx="2813">
                  <c:v>6.1509164366717775</c:v>
                </c:pt>
                <c:pt idx="2814">
                  <c:v>5.8319219688211952</c:v>
                </c:pt>
                <c:pt idx="2815">
                  <c:v>5.7789234617534548</c:v>
                </c:pt>
                <c:pt idx="2816">
                  <c:v>5.6009260324424348</c:v>
                </c:pt>
                <c:pt idx="2817">
                  <c:v>5.6359251274841116</c:v>
                </c:pt>
                <c:pt idx="2818">
                  <c:v>5.9799200270395625</c:v>
                </c:pt>
                <c:pt idx="2819">
                  <c:v>5.9799200270395625</c:v>
                </c:pt>
                <c:pt idx="2820">
                  <c:v>5.9799200270395625</c:v>
                </c:pt>
                <c:pt idx="2821">
                  <c:v>5.9539192616240504</c:v>
                </c:pt>
                <c:pt idx="2822">
                  <c:v>5.980917121510549</c:v>
                </c:pt>
                <c:pt idx="2823">
                  <c:v>6.1719131457179364</c:v>
                </c:pt>
                <c:pt idx="2824">
                  <c:v>6.008915309044788</c:v>
                </c:pt>
                <c:pt idx="2825">
                  <c:v>5.9879156887244314</c:v>
                </c:pt>
                <c:pt idx="2826">
                  <c:v>5.9879156887244314</c:v>
                </c:pt>
                <c:pt idx="2827">
                  <c:v>5.9879156887244314</c:v>
                </c:pt>
                <c:pt idx="2828">
                  <c:v>5.9699163908061514</c:v>
                </c:pt>
                <c:pt idx="2829">
                  <c:v>6.0119156334212329</c:v>
                </c:pt>
                <c:pt idx="2830">
                  <c:v>6.1679145276546743</c:v>
                </c:pt>
                <c:pt idx="2831">
                  <c:v>6.0569154943060211</c:v>
                </c:pt>
                <c:pt idx="2832">
                  <c:v>5.6229215410065159</c:v>
                </c:pt>
                <c:pt idx="2833">
                  <c:v>5.6229215410065159</c:v>
                </c:pt>
                <c:pt idx="2834">
                  <c:v>5.6229215410065159</c:v>
                </c:pt>
                <c:pt idx="2835">
                  <c:v>5.7079181501808591</c:v>
                </c:pt>
                <c:pt idx="2836">
                  <c:v>5.4849231159776703</c:v>
                </c:pt>
                <c:pt idx="2837">
                  <c:v>5.3509252459681367</c:v>
                </c:pt>
                <c:pt idx="2838">
                  <c:v>5.3689272590677906</c:v>
                </c:pt>
                <c:pt idx="2839">
                  <c:v>5.3689272590677906</c:v>
                </c:pt>
                <c:pt idx="2840">
                  <c:v>5.3689272590677906</c:v>
                </c:pt>
                <c:pt idx="2841">
                  <c:v>5.3689272590677906</c:v>
                </c:pt>
                <c:pt idx="2842">
                  <c:v>5.2969261420193225</c:v>
                </c:pt>
                <c:pt idx="2843">
                  <c:v>5.2999259000787671</c:v>
                </c:pt>
                <c:pt idx="2844">
                  <c:v>5.1749255728661838</c:v>
                </c:pt>
                <c:pt idx="2845">
                  <c:v>5.1399278044457128</c:v>
                </c:pt>
                <c:pt idx="2846">
                  <c:v>5.103929787653394</c:v>
                </c:pt>
                <c:pt idx="2847">
                  <c:v>5.103929787653394</c:v>
                </c:pt>
                <c:pt idx="2848">
                  <c:v>5.103929787653394</c:v>
                </c:pt>
                <c:pt idx="2849">
                  <c:v>5.0999314414033341</c:v>
                </c:pt>
                <c:pt idx="2850">
                  <c:v>4.9989329990897255</c:v>
                </c:pt>
                <c:pt idx="2851">
                  <c:v>5.0279341231118346</c:v>
                </c:pt>
                <c:pt idx="2852">
                  <c:v>5.0019340698169259</c:v>
                </c:pt>
                <c:pt idx="2853">
                  <c:v>4.9509344935983695</c:v>
                </c:pt>
                <c:pt idx="2854">
                  <c:v>4.9509344935983695</c:v>
                </c:pt>
                <c:pt idx="2855">
                  <c:v>4.9509344935983695</c:v>
                </c:pt>
                <c:pt idx="2856">
                  <c:v>4.8369375494333244</c:v>
                </c:pt>
                <c:pt idx="2857">
                  <c:v>5.0569344246429937</c:v>
                </c:pt>
                <c:pt idx="2858">
                  <c:v>5.1019334779182319</c:v>
                </c:pt>
                <c:pt idx="2859">
                  <c:v>5.3639292375995442</c:v>
                </c:pt>
                <c:pt idx="2860">
                  <c:v>5.4449279863241022</c:v>
                </c:pt>
                <c:pt idx="2861">
                  <c:v>5.4449279863241022</c:v>
                </c:pt>
                <c:pt idx="2862">
                  <c:v>5.4449279863241022</c:v>
                </c:pt>
                <c:pt idx="2863">
                  <c:v>5.0059327167304266</c:v>
                </c:pt>
                <c:pt idx="2864">
                  <c:v>5.3989259344230129</c:v>
                </c:pt>
                <c:pt idx="2865">
                  <c:v>5.4519240884871962</c:v>
                </c:pt>
                <c:pt idx="2866">
                  <c:v>5.5509248328816403</c:v>
                </c:pt>
                <c:pt idx="2867">
                  <c:v>5.3389267302758467</c:v>
                </c:pt>
                <c:pt idx="2868">
                  <c:v>5.3389267302758467</c:v>
                </c:pt>
                <c:pt idx="2869">
                  <c:v>5.3389267302758467</c:v>
                </c:pt>
                <c:pt idx="2870">
                  <c:v>5.4479233323869121</c:v>
                </c:pt>
                <c:pt idx="2871">
                  <c:v>5.3009234248912529</c:v>
                </c:pt>
                <c:pt idx="2872">
                  <c:v>5.3419226814715461</c:v>
                </c:pt>
                <c:pt idx="2873">
                  <c:v>5.3309249832311405</c:v>
                </c:pt>
                <c:pt idx="2874">
                  <c:v>5.3409231914455271</c:v>
                </c:pt>
                <c:pt idx="2875">
                  <c:v>5.3409231914455271</c:v>
                </c:pt>
                <c:pt idx="2876">
                  <c:v>5.3409231914455271</c:v>
                </c:pt>
                <c:pt idx="2877">
                  <c:v>5.3099238559743487</c:v>
                </c:pt>
                <c:pt idx="2878">
                  <c:v>5.4969237034417331</c:v>
                </c:pt>
                <c:pt idx="2879">
                  <c:v>5.567920254608242</c:v>
                </c:pt>
                <c:pt idx="2880">
                  <c:v>5.4109223428310012</c:v>
                </c:pt>
                <c:pt idx="2881">
                  <c:v>5.2329244187279693</c:v>
                </c:pt>
                <c:pt idx="2882">
                  <c:v>5.2329244187279693</c:v>
                </c:pt>
                <c:pt idx="2883">
                  <c:v>5.2329244187279693</c:v>
                </c:pt>
                <c:pt idx="2884">
                  <c:v>5.4519227017339196</c:v>
                </c:pt>
                <c:pt idx="2885">
                  <c:v>5.4689201054215699</c:v>
                </c:pt>
                <c:pt idx="2886">
                  <c:v>4.9889255959810415</c:v>
                </c:pt>
                <c:pt idx="2887">
                  <c:v>5.0389268672851113</c:v>
                </c:pt>
                <c:pt idx="2888">
                  <c:v>5.1009234913995822</c:v>
                </c:pt>
                <c:pt idx="2889">
                  <c:v>5.1009234913995822</c:v>
                </c:pt>
                <c:pt idx="2890">
                  <c:v>5.1009234913995822</c:v>
                </c:pt>
                <c:pt idx="2891">
                  <c:v>5.0799230893482159</c:v>
                </c:pt>
                <c:pt idx="2892">
                  <c:v>5.150923417738321</c:v>
                </c:pt>
                <c:pt idx="2893">
                  <c:v>5.1169214745400033</c:v>
                </c:pt>
                <c:pt idx="2894">
                  <c:v>5.0149229565271964</c:v>
                </c:pt>
                <c:pt idx="2895">
                  <c:v>4.9899234400923334</c:v>
                </c:pt>
                <c:pt idx="2896">
                  <c:v>4.9899234400923334</c:v>
                </c:pt>
                <c:pt idx="2897">
                  <c:v>4.9899234400923334</c:v>
                </c:pt>
                <c:pt idx="2898">
                  <c:v>4.8639235017787543</c:v>
                </c:pt>
                <c:pt idx="2899">
                  <c:v>4.9879232743798374</c:v>
                </c:pt>
                <c:pt idx="2900">
                  <c:v>4.9719236241572995</c:v>
                </c:pt>
                <c:pt idx="2901">
                  <c:v>4.9719236241572995</c:v>
                </c:pt>
                <c:pt idx="2902">
                  <c:v>5.0109236428697548</c:v>
                </c:pt>
                <c:pt idx="2903">
                  <c:v>5.0109236428697548</c:v>
                </c:pt>
                <c:pt idx="2904">
                  <c:v>5.0109236428697548</c:v>
                </c:pt>
                <c:pt idx="2905">
                  <c:v>5.0839237033258096</c:v>
                </c:pt>
                <c:pt idx="2906">
                  <c:v>5.2539195234257745</c:v>
                </c:pt>
                <c:pt idx="2907">
                  <c:v>5.0509229308354966</c:v>
                </c:pt>
                <c:pt idx="2908">
                  <c:v>5.3079218930533534</c:v>
                </c:pt>
                <c:pt idx="2909">
                  <c:v>5.420920991113106</c:v>
                </c:pt>
                <c:pt idx="2910">
                  <c:v>5.420920991113106</c:v>
                </c:pt>
                <c:pt idx="2911">
                  <c:v>5.420920991113106</c:v>
                </c:pt>
                <c:pt idx="2912">
                  <c:v>5.1849239907501241</c:v>
                </c:pt>
                <c:pt idx="2913">
                  <c:v>5.2349227378190335</c:v>
                </c:pt>
                <c:pt idx="2914">
                  <c:v>5.0889265247504678</c:v>
                </c:pt>
                <c:pt idx="2915">
                  <c:v>5.2069258790208375</c:v>
                </c:pt>
                <c:pt idx="2916">
                  <c:v>4.9929289444612293</c:v>
                </c:pt>
                <c:pt idx="2917">
                  <c:v>4.9929289444612293</c:v>
                </c:pt>
                <c:pt idx="2918">
                  <c:v>4.9929289444612293</c:v>
                </c:pt>
                <c:pt idx="2919">
                  <c:v>4.8649325685818416</c:v>
                </c:pt>
                <c:pt idx="2920">
                  <c:v>4.9239311111557091</c:v>
                </c:pt>
                <c:pt idx="2921">
                  <c:v>5.014932068470169</c:v>
                </c:pt>
                <c:pt idx="2922">
                  <c:v>5.0049322139067831</c:v>
                </c:pt>
                <c:pt idx="2923">
                  <c:v>5.135929224712295</c:v>
                </c:pt>
                <c:pt idx="2924">
                  <c:v>5.135929224712295</c:v>
                </c:pt>
                <c:pt idx="2925">
                  <c:v>5.135929224712295</c:v>
                </c:pt>
                <c:pt idx="2926">
                  <c:v>5.5439231619712448</c:v>
                </c:pt>
                <c:pt idx="2927">
                  <c:v>5.4379270871877807</c:v>
                </c:pt>
                <c:pt idx="2928">
                  <c:v>5.5839243738669051</c:v>
                </c:pt>
                <c:pt idx="2929">
                  <c:v>5.5689216988103105</c:v>
                </c:pt>
                <c:pt idx="2930">
                  <c:v>5.6959178839508793</c:v>
                </c:pt>
                <c:pt idx="2931">
                  <c:v>5.6959178839508793</c:v>
                </c:pt>
                <c:pt idx="2932">
                  <c:v>5.6959178839508793</c:v>
                </c:pt>
                <c:pt idx="2933">
                  <c:v>5.4959213075684632</c:v>
                </c:pt>
                <c:pt idx="2934">
                  <c:v>5.4999197492261507</c:v>
                </c:pt>
                <c:pt idx="2935">
                  <c:v>5.3489197448296109</c:v>
                </c:pt>
                <c:pt idx="2936">
                  <c:v>5.2239217453078846</c:v>
                </c:pt>
                <c:pt idx="2937">
                  <c:v>5.2239217453078846</c:v>
                </c:pt>
                <c:pt idx="2938">
                  <c:v>5.2239217453078846</c:v>
                </c:pt>
                <c:pt idx="2939">
                  <c:v>5.2239217453078846</c:v>
                </c:pt>
                <c:pt idx="2940">
                  <c:v>5.1989201383624986</c:v>
                </c:pt>
                <c:pt idx="2941">
                  <c:v>5.1499186622908022</c:v>
                </c:pt>
                <c:pt idx="2942">
                  <c:v>5.3479145008559934</c:v>
                </c:pt>
                <c:pt idx="2943">
                  <c:v>5.2509143598858232</c:v>
                </c:pt>
                <c:pt idx="2944">
                  <c:v>5.0069172676010867</c:v>
                </c:pt>
                <c:pt idx="2945">
                  <c:v>5.0069172676010867</c:v>
                </c:pt>
                <c:pt idx="2946">
                  <c:v>5.0069172676010867</c:v>
                </c:pt>
                <c:pt idx="2947">
                  <c:v>5.1379135104638731</c:v>
                </c:pt>
                <c:pt idx="2948">
                  <c:v>4.7749193653877331</c:v>
                </c:pt>
                <c:pt idx="2949">
                  <c:v>5.2199116102499294</c:v>
                </c:pt>
                <c:pt idx="2950">
                  <c:v>5.3569092062916317</c:v>
                </c:pt>
                <c:pt idx="2951">
                  <c:v>5.1899133639788833</c:v>
                </c:pt>
                <c:pt idx="2952">
                  <c:v>5.1899133639788833</c:v>
                </c:pt>
                <c:pt idx="2953">
                  <c:v>5.1899133639788833</c:v>
                </c:pt>
                <c:pt idx="2954">
                  <c:v>3.9889333029832827</c:v>
                </c:pt>
                <c:pt idx="2955">
                  <c:v>4.0049330103596699</c:v>
                </c:pt>
                <c:pt idx="2956">
                  <c:v>4.0859325369726145</c:v>
                </c:pt>
                <c:pt idx="2957">
                  <c:v>4.0389314912094116</c:v>
                </c:pt>
                <c:pt idx="2958">
                  <c:v>4.006932131209572</c:v>
                </c:pt>
                <c:pt idx="2959">
                  <c:v>4.006932131209572</c:v>
                </c:pt>
                <c:pt idx="2960">
                  <c:v>4.006932131209572</c:v>
                </c:pt>
                <c:pt idx="2961">
                  <c:v>3.9849313253622469</c:v>
                </c:pt>
                <c:pt idx="2962">
                  <c:v>3.8059344234910397</c:v>
                </c:pt>
                <c:pt idx="2963">
                  <c:v>3.8279335576468356</c:v>
                </c:pt>
                <c:pt idx="2964">
                  <c:v>3.7589345549560624</c:v>
                </c:pt>
                <c:pt idx="2965">
                  <c:v>3.734933869908033</c:v>
                </c:pt>
                <c:pt idx="2966">
                  <c:v>3.734933869908033</c:v>
                </c:pt>
                <c:pt idx="2967">
                  <c:v>3.734933869908033</c:v>
                </c:pt>
                <c:pt idx="2968">
                  <c:v>3.7689334182742851</c:v>
                </c:pt>
                <c:pt idx="2969">
                  <c:v>3.6329345147158949</c:v>
                </c:pt>
                <c:pt idx="2970">
                  <c:v>3.6199353269567931</c:v>
                </c:pt>
                <c:pt idx="2971">
                  <c:v>3.6469335762215613</c:v>
                </c:pt>
                <c:pt idx="2972">
                  <c:v>3.5979333223050887</c:v>
                </c:pt>
                <c:pt idx="2973">
                  <c:v>3.5979333223050887</c:v>
                </c:pt>
                <c:pt idx="2974">
                  <c:v>3.5979333223050887</c:v>
                </c:pt>
                <c:pt idx="2975">
                  <c:v>3.6229315500000894</c:v>
                </c:pt>
                <c:pt idx="2976">
                  <c:v>3.5859319046083407</c:v>
                </c:pt>
                <c:pt idx="2977">
                  <c:v>3.5189314498040716</c:v>
                </c:pt>
                <c:pt idx="2978">
                  <c:v>3.6439291514875487</c:v>
                </c:pt>
                <c:pt idx="2979">
                  <c:v>3.6849276565948226</c:v>
                </c:pt>
                <c:pt idx="2980">
                  <c:v>3.6849276565948226</c:v>
                </c:pt>
                <c:pt idx="2981">
                  <c:v>3.6849276565948226</c:v>
                </c:pt>
                <c:pt idx="2982">
                  <c:v>3.6849276565948226</c:v>
                </c:pt>
                <c:pt idx="2983">
                  <c:v>3.7209276314288968</c:v>
                </c:pt>
                <c:pt idx="2984">
                  <c:v>3.7549285090786038</c:v>
                </c:pt>
                <c:pt idx="2985">
                  <c:v>3.6899303853408254</c:v>
                </c:pt>
                <c:pt idx="2986">
                  <c:v>3.6989298817431062</c:v>
                </c:pt>
                <c:pt idx="2987">
                  <c:v>3.6989298817431062</c:v>
                </c:pt>
                <c:pt idx="2988">
                  <c:v>3.6989298817431062</c:v>
                </c:pt>
                <c:pt idx="2989">
                  <c:v>3.7709282141355973</c:v>
                </c:pt>
                <c:pt idx="2990">
                  <c:v>3.7049286157741959</c:v>
                </c:pt>
                <c:pt idx="2991">
                  <c:v>3.632931185539181</c:v>
                </c:pt>
                <c:pt idx="2992">
                  <c:v>3.7019314865163593</c:v>
                </c:pt>
                <c:pt idx="2993">
                  <c:v>3.7249291993934137</c:v>
                </c:pt>
                <c:pt idx="2994">
                  <c:v>3.7249291993934137</c:v>
                </c:pt>
                <c:pt idx="2995">
                  <c:v>3.7249291993934137</c:v>
                </c:pt>
                <c:pt idx="2996">
                  <c:v>3.6729315080341745</c:v>
                </c:pt>
                <c:pt idx="2997">
                  <c:v>3.7979289454880778</c:v>
                </c:pt>
                <c:pt idx="2998">
                  <c:v>3.6489321010076337</c:v>
                </c:pt>
                <c:pt idx="2999">
                  <c:v>3.7219303203812713</c:v>
                </c:pt>
                <c:pt idx="3000">
                  <c:v>3.6019319572262778</c:v>
                </c:pt>
                <c:pt idx="3001">
                  <c:v>3.6019319572262778</c:v>
                </c:pt>
                <c:pt idx="3002">
                  <c:v>3.6019319572262778</c:v>
                </c:pt>
                <c:pt idx="3003">
                  <c:v>3.7019284484765262</c:v>
                </c:pt>
                <c:pt idx="3004">
                  <c:v>3.8639234386415739</c:v>
                </c:pt>
                <c:pt idx="3005">
                  <c:v>3.7549254623213106</c:v>
                </c:pt>
                <c:pt idx="3006">
                  <c:v>3.8099255475253875</c:v>
                </c:pt>
                <c:pt idx="3007">
                  <c:v>3.950922104674921</c:v>
                </c:pt>
                <c:pt idx="3008">
                  <c:v>3.950922104674921</c:v>
                </c:pt>
                <c:pt idx="3009">
                  <c:v>3.950922104674921</c:v>
                </c:pt>
                <c:pt idx="3010">
                  <c:v>4.0179209362875152</c:v>
                </c:pt>
                <c:pt idx="3011">
                  <c:v>4.1549168548247986</c:v>
                </c:pt>
                <c:pt idx="3012">
                  <c:v>4.1219167890119692</c:v>
                </c:pt>
                <c:pt idx="3013">
                  <c:v>4.33491272579385</c:v>
                </c:pt>
                <c:pt idx="3014">
                  <c:v>4.5789090524729774</c:v>
                </c:pt>
                <c:pt idx="3015">
                  <c:v>4.5789090524729774</c:v>
                </c:pt>
                <c:pt idx="3016">
                  <c:v>4.5789090524729774</c:v>
                </c:pt>
                <c:pt idx="3017">
                  <c:v>4.4379121456921906</c:v>
                </c:pt>
                <c:pt idx="3018">
                  <c:v>4.3309126185385773</c:v>
                </c:pt>
                <c:pt idx="3019">
                  <c:v>4.4079099902482337</c:v>
                </c:pt>
                <c:pt idx="3020">
                  <c:v>4.2339130975896877</c:v>
                </c:pt>
                <c:pt idx="3021">
                  <c:v>4.4599101232659422</c:v>
                </c:pt>
                <c:pt idx="3022">
                  <c:v>4.4599101232659422</c:v>
                </c:pt>
                <c:pt idx="3023">
                  <c:v>4.4599101232659422</c:v>
                </c:pt>
                <c:pt idx="3024">
                  <c:v>4.2439160175526034</c:v>
                </c:pt>
                <c:pt idx="3025">
                  <c:v>4.3049166870074993</c:v>
                </c:pt>
                <c:pt idx="3026">
                  <c:v>4.2209162330535026</c:v>
                </c:pt>
                <c:pt idx="3027">
                  <c:v>3.6829287351392948</c:v>
                </c:pt>
                <c:pt idx="3028">
                  <c:v>3.7319289624158145</c:v>
                </c:pt>
                <c:pt idx="3029">
                  <c:v>3.7319289624158145</c:v>
                </c:pt>
                <c:pt idx="3030">
                  <c:v>3.7319289624158145</c:v>
                </c:pt>
                <c:pt idx="3031">
                  <c:v>3.6389324058518642</c:v>
                </c:pt>
                <c:pt idx="3032">
                  <c:v>3.429936108926638</c:v>
                </c:pt>
                <c:pt idx="3033">
                  <c:v>3.4999348050271815</c:v>
                </c:pt>
                <c:pt idx="3034">
                  <c:v>3.2409384497535738</c:v>
                </c:pt>
                <c:pt idx="3035">
                  <c:v>3.2409384497535738</c:v>
                </c:pt>
                <c:pt idx="3036">
                  <c:v>3.2409384497535738</c:v>
                </c:pt>
                <c:pt idx="3037">
                  <c:v>3.2409384497535738</c:v>
                </c:pt>
                <c:pt idx="3038">
                  <c:v>3.3359358962717032</c:v>
                </c:pt>
                <c:pt idx="3039">
                  <c:v>3.1669385542037292</c:v>
                </c:pt>
                <c:pt idx="3040">
                  <c:v>3.0349399125856418</c:v>
                </c:pt>
                <c:pt idx="3041">
                  <c:v>3.0059415940280534</c:v>
                </c:pt>
                <c:pt idx="3042">
                  <c:v>2.9049425514009455</c:v>
                </c:pt>
                <c:pt idx="3043">
                  <c:v>2.9049425514009455</c:v>
                </c:pt>
                <c:pt idx="3044">
                  <c:v>2.9049425514009455</c:v>
                </c:pt>
                <c:pt idx="3045">
                  <c:v>2.9039435948043333</c:v>
                </c:pt>
                <c:pt idx="3046">
                  <c:v>2.8339451496089909</c:v>
                </c:pt>
                <c:pt idx="3047">
                  <c:v>2.8549432572661839</c:v>
                </c:pt>
                <c:pt idx="3048">
                  <c:v>2.8799440515779318</c:v>
                </c:pt>
                <c:pt idx="3049">
                  <c:v>2.8919427219312244</c:v>
                </c:pt>
                <c:pt idx="3050">
                  <c:v>2.8919427219312244</c:v>
                </c:pt>
                <c:pt idx="3051">
                  <c:v>2.8919427219312244</c:v>
                </c:pt>
                <c:pt idx="3052">
                  <c:v>2.9019428168781864</c:v>
                </c:pt>
                <c:pt idx="3053">
                  <c:v>2.9589408953452212</c:v>
                </c:pt>
                <c:pt idx="3054">
                  <c:v>2.9659405149605282</c:v>
                </c:pt>
                <c:pt idx="3055">
                  <c:v>2.9749397075759458</c:v>
                </c:pt>
                <c:pt idx="3056">
                  <c:v>3.0829381125983799</c:v>
                </c:pt>
                <c:pt idx="3057">
                  <c:v>3.0829381125983799</c:v>
                </c:pt>
                <c:pt idx="3058">
                  <c:v>3.0829381125983799</c:v>
                </c:pt>
                <c:pt idx="3059">
                  <c:v>3.0779395387873887</c:v>
                </c:pt>
                <c:pt idx="3060">
                  <c:v>3.0409404167369498</c:v>
                </c:pt>
                <c:pt idx="3061">
                  <c:v>2.9649429978169066</c:v>
                </c:pt>
                <c:pt idx="3062">
                  <c:v>2.9789440347803748</c:v>
                </c:pt>
                <c:pt idx="3063">
                  <c:v>2.9259463682129336</c:v>
                </c:pt>
                <c:pt idx="3064">
                  <c:v>2.9259463682129336</c:v>
                </c:pt>
                <c:pt idx="3065">
                  <c:v>2.9259463682129336</c:v>
                </c:pt>
                <c:pt idx="3066">
                  <c:v>2.8999454572432901</c:v>
                </c:pt>
                <c:pt idx="3067">
                  <c:v>2.9009462837111708</c:v>
                </c:pt>
                <c:pt idx="3068">
                  <c:v>2.8989460109636056</c:v>
                </c:pt>
                <c:pt idx="3069">
                  <c:v>2.9349460593273147</c:v>
                </c:pt>
                <c:pt idx="3070">
                  <c:v>2.9349460593273147</c:v>
                </c:pt>
                <c:pt idx="3071">
                  <c:v>2.9349460593273147</c:v>
                </c:pt>
                <c:pt idx="3072">
                  <c:v>2.9349460593273147</c:v>
                </c:pt>
                <c:pt idx="3073">
                  <c:v>2.9369461196347864</c:v>
                </c:pt>
                <c:pt idx="3074">
                  <c:v>2.9749450933116561</c:v>
                </c:pt>
                <c:pt idx="3075">
                  <c:v>2.8859454224293568</c:v>
                </c:pt>
                <c:pt idx="3076">
                  <c:v>2.8439460274953068</c:v>
                </c:pt>
                <c:pt idx="3077">
                  <c:v>2.7699468961642779</c:v>
                </c:pt>
                <c:pt idx="3078">
                  <c:v>2.7699468961642779</c:v>
                </c:pt>
                <c:pt idx="3079">
                  <c:v>2.7699468961642779</c:v>
                </c:pt>
                <c:pt idx="3080">
                  <c:v>2.744948648819479</c:v>
                </c:pt>
                <c:pt idx="3081">
                  <c:v>2.7099496491013348</c:v>
                </c:pt>
                <c:pt idx="3082">
                  <c:v>2.6929490616749807</c:v>
                </c:pt>
                <c:pt idx="3083">
                  <c:v>2.7669483277523907</c:v>
                </c:pt>
                <c:pt idx="3084">
                  <c:v>2.7669483277523907</c:v>
                </c:pt>
                <c:pt idx="3085">
                  <c:v>2.7669483277523907</c:v>
                </c:pt>
                <c:pt idx="3086">
                  <c:v>2.7669483277523907</c:v>
                </c:pt>
                <c:pt idx="3087">
                  <c:v>2.8379481136599347</c:v>
                </c:pt>
                <c:pt idx="3088">
                  <c:v>2.848947901507656</c:v>
                </c:pt>
                <c:pt idx="3089">
                  <c:v>2.993944640444377</c:v>
                </c:pt>
                <c:pt idx="3090">
                  <c:v>3.0149437234784036</c:v>
                </c:pt>
                <c:pt idx="3091">
                  <c:v>3.0149437234784036</c:v>
                </c:pt>
                <c:pt idx="3092">
                  <c:v>3.0149437234784036</c:v>
                </c:pt>
                <c:pt idx="3093">
                  <c:v>3.0149437234784036</c:v>
                </c:pt>
                <c:pt idx="3094">
                  <c:v>3.0319438325474977</c:v>
                </c:pt>
                <c:pt idx="3095">
                  <c:v>3.0359452083320795</c:v>
                </c:pt>
                <c:pt idx="3096">
                  <c:v>3.1099431967556841</c:v>
                </c:pt>
                <c:pt idx="3097">
                  <c:v>2.9219452400132324</c:v>
                </c:pt>
                <c:pt idx="3098">
                  <c:v>2.9229448871646428</c:v>
                </c:pt>
                <c:pt idx="3099">
                  <c:v>2.9229448871646428</c:v>
                </c:pt>
                <c:pt idx="3100">
                  <c:v>2.9229448871646428</c:v>
                </c:pt>
                <c:pt idx="3101">
                  <c:v>2.9519447928092006</c:v>
                </c:pt>
                <c:pt idx="3102">
                  <c:v>2.7999468766626898</c:v>
                </c:pt>
                <c:pt idx="3103">
                  <c:v>2.9289434019723561</c:v>
                </c:pt>
                <c:pt idx="3104">
                  <c:v>2.9359426893437517</c:v>
                </c:pt>
                <c:pt idx="3105">
                  <c:v>2.7469472262811556</c:v>
                </c:pt>
                <c:pt idx="3106">
                  <c:v>2.7469472262811556</c:v>
                </c:pt>
                <c:pt idx="3107">
                  <c:v>2.7469472262811556</c:v>
                </c:pt>
                <c:pt idx="3108">
                  <c:v>2.7409472926575287</c:v>
                </c:pt>
                <c:pt idx="3109">
                  <c:v>2.7579472796895343</c:v>
                </c:pt>
                <c:pt idx="3110">
                  <c:v>2.8099453177953375</c:v>
                </c:pt>
                <c:pt idx="3111">
                  <c:v>2.6619489424423692</c:v>
                </c:pt>
                <c:pt idx="3112">
                  <c:v>2.619948547280909</c:v>
                </c:pt>
                <c:pt idx="3113">
                  <c:v>2.619948547280909</c:v>
                </c:pt>
                <c:pt idx="3114">
                  <c:v>2.619948547280909</c:v>
                </c:pt>
                <c:pt idx="3115">
                  <c:v>2.6079493722193279</c:v>
                </c:pt>
                <c:pt idx="3116">
                  <c:v>2.6579480326617277</c:v>
                </c:pt>
                <c:pt idx="3117">
                  <c:v>2.7119483481704987</c:v>
                </c:pt>
                <c:pt idx="3118">
                  <c:v>2.6699500341335773</c:v>
                </c:pt>
                <c:pt idx="3119">
                  <c:v>2.9079449746977666</c:v>
                </c:pt>
                <c:pt idx="3120">
                  <c:v>2.9079449746977666</c:v>
                </c:pt>
                <c:pt idx="3121">
                  <c:v>2.9079449746977666</c:v>
                </c:pt>
                <c:pt idx="3122">
                  <c:v>3.0189424310605704</c:v>
                </c:pt>
                <c:pt idx="3123">
                  <c:v>3.0189424310605704</c:v>
                </c:pt>
                <c:pt idx="3124">
                  <c:v>2.8729451066317573</c:v>
                </c:pt>
                <c:pt idx="3125">
                  <c:v>2.9329443491829936</c:v>
                </c:pt>
                <c:pt idx="3126">
                  <c:v>2.9099441506165209</c:v>
                </c:pt>
                <c:pt idx="3127">
                  <c:v>2.9099441506165209</c:v>
                </c:pt>
                <c:pt idx="3128">
                  <c:v>2.9099441506165209</c:v>
                </c:pt>
                <c:pt idx="3129">
                  <c:v>2.5929507371040739</c:v>
                </c:pt>
                <c:pt idx="3130">
                  <c:v>2.5359526650054125</c:v>
                </c:pt>
                <c:pt idx="3131">
                  <c:v>2.5249539655315569</c:v>
                </c:pt>
                <c:pt idx="3132">
                  <c:v>2.5769543268939494</c:v>
                </c:pt>
                <c:pt idx="3133">
                  <c:v>2.5449540743629102</c:v>
                </c:pt>
                <c:pt idx="3134">
                  <c:v>2.5449540743629102</c:v>
                </c:pt>
                <c:pt idx="3135">
                  <c:v>2.5449540743629102</c:v>
                </c:pt>
                <c:pt idx="3136">
                  <c:v>2.3429582700673257</c:v>
                </c:pt>
                <c:pt idx="3137">
                  <c:v>2.2949591984321178</c:v>
                </c:pt>
                <c:pt idx="3138">
                  <c:v>2.2799593458954717</c:v>
                </c:pt>
                <c:pt idx="3139">
                  <c:v>2.2899595994663415</c:v>
                </c:pt>
                <c:pt idx="3140">
                  <c:v>2.3869584291517825</c:v>
                </c:pt>
                <c:pt idx="3141">
                  <c:v>2.3869584291517825</c:v>
                </c:pt>
                <c:pt idx="3142">
                  <c:v>2.3869584291517825</c:v>
                </c:pt>
                <c:pt idx="3143">
                  <c:v>2.2899602911396877</c:v>
                </c:pt>
                <c:pt idx="3144">
                  <c:v>2.4429578557282361</c:v>
                </c:pt>
                <c:pt idx="3145">
                  <c:v>2.5239566732873744</c:v>
                </c:pt>
                <c:pt idx="3146">
                  <c:v>2.5179563832261462</c:v>
                </c:pt>
                <c:pt idx="3147">
                  <c:v>2.5609548145626531</c:v>
                </c:pt>
                <c:pt idx="3148">
                  <c:v>2.5609548145626531</c:v>
                </c:pt>
                <c:pt idx="3149">
                  <c:v>2.5609548145626531</c:v>
                </c:pt>
                <c:pt idx="3150">
                  <c:v>2.5519540725487735</c:v>
                </c:pt>
                <c:pt idx="3151">
                  <c:v>2.8179487046243827</c:v>
                </c:pt>
                <c:pt idx="3152">
                  <c:v>2.879948230122459</c:v>
                </c:pt>
                <c:pt idx="3153">
                  <c:v>2.8519478065576758</c:v>
                </c:pt>
                <c:pt idx="3154">
                  <c:v>2.747948931303561</c:v>
                </c:pt>
                <c:pt idx="3155">
                  <c:v>2.747948931303561</c:v>
                </c:pt>
                <c:pt idx="3156">
                  <c:v>2.747948931303561</c:v>
                </c:pt>
                <c:pt idx="3157">
                  <c:v>2.6489497329345961</c:v>
                </c:pt>
                <c:pt idx="3158">
                  <c:v>2.5459507494162135</c:v>
                </c:pt>
                <c:pt idx="3159">
                  <c:v>2.5879505996987242</c:v>
                </c:pt>
                <c:pt idx="3160">
                  <c:v>2.6269503039105806</c:v>
                </c:pt>
                <c:pt idx="3161">
                  <c:v>2.6359494352826358</c:v>
                </c:pt>
                <c:pt idx="3162">
                  <c:v>2.6359494352826358</c:v>
                </c:pt>
                <c:pt idx="3163">
                  <c:v>2.6359494352826358</c:v>
                </c:pt>
                <c:pt idx="3164">
                  <c:v>2.5969510217884384</c:v>
                </c:pt>
                <c:pt idx="3165">
                  <c:v>2.6899506868861534</c:v>
                </c:pt>
                <c:pt idx="3166">
                  <c:v>2.5519537859129127</c:v>
                </c:pt>
                <c:pt idx="3167">
                  <c:v>2.5279533963677969</c:v>
                </c:pt>
                <c:pt idx="3168">
                  <c:v>2.6259512718832068</c:v>
                </c:pt>
                <c:pt idx="3169">
                  <c:v>2.6259512718832068</c:v>
                </c:pt>
                <c:pt idx="3170">
                  <c:v>2.6259512718832068</c:v>
                </c:pt>
                <c:pt idx="3171">
                  <c:v>2.6079511927508401</c:v>
                </c:pt>
                <c:pt idx="3172">
                  <c:v>2.4779528313144232</c:v>
                </c:pt>
                <c:pt idx="3173">
                  <c:v>2.3829539876430457</c:v>
                </c:pt>
                <c:pt idx="3174">
                  <c:v>2.6379486565829828</c:v>
                </c:pt>
                <c:pt idx="3175">
                  <c:v>2.9209443499255165</c:v>
                </c:pt>
                <c:pt idx="3176">
                  <c:v>2.9209443499255165</c:v>
                </c:pt>
                <c:pt idx="3177">
                  <c:v>2.9209443499255165</c:v>
                </c:pt>
                <c:pt idx="3178">
                  <c:v>2.898944261921792</c:v>
                </c:pt>
                <c:pt idx="3179">
                  <c:v>3.3389358759050567</c:v>
                </c:pt>
                <c:pt idx="3180">
                  <c:v>2.9979437570865213</c:v>
                </c:pt>
                <c:pt idx="3181">
                  <c:v>2.7769486311243807</c:v>
                </c:pt>
                <c:pt idx="3182">
                  <c:v>2.7659484541223369</c:v>
                </c:pt>
                <c:pt idx="3183">
                  <c:v>2.7659484541223369</c:v>
                </c:pt>
                <c:pt idx="3184">
                  <c:v>2.7659484541223369</c:v>
                </c:pt>
                <c:pt idx="3185">
                  <c:v>2.8899474284341613</c:v>
                </c:pt>
                <c:pt idx="3186">
                  <c:v>3.0099449018356426</c:v>
                </c:pt>
              </c:numCache>
            </c:numRef>
          </c:val>
          <c:smooth val="0"/>
          <c:extLst>
            <c:ext xmlns:c16="http://schemas.microsoft.com/office/drawing/2014/chart" uri="{C3380CC4-5D6E-409C-BE32-E72D297353CC}">
              <c16:uniqueId val="{00000000-8D5A-4E55-85E8-D71751067242}"/>
            </c:ext>
          </c:extLst>
        </c:ser>
        <c:dLbls>
          <c:showLegendKey val="0"/>
          <c:showVal val="0"/>
          <c:showCatName val="0"/>
          <c:showSerName val="0"/>
          <c:showPercent val="0"/>
          <c:showBubbleSize val="0"/>
        </c:dLbls>
        <c:marker val="1"/>
        <c:smooth val="0"/>
        <c:axId val="1329204255"/>
        <c:axId val="1329211935"/>
      </c:lineChart>
      <c:dateAx>
        <c:axId val="1329204255"/>
        <c:scaling>
          <c:orientation val="minMax"/>
        </c:scaling>
        <c:delete val="0"/>
        <c:axPos val="b"/>
        <c:numFmt formatCode="yyyy\-mm\-dd;@"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211935"/>
        <c:crossesAt val="1"/>
        <c:auto val="0"/>
        <c:lblOffset val="100"/>
        <c:baseTimeUnit val="days"/>
      </c:dateAx>
      <c:valAx>
        <c:axId val="1329211935"/>
        <c:scaling>
          <c:logBase val="2"/>
          <c:orientation val="minMax"/>
          <c:max val="604.33000736264671"/>
          <c:min val="0.3746220119674896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204255"/>
        <c:crosses val="autoZero"/>
        <c:crossBetween val="between"/>
      </c:valAx>
      <c:valAx>
        <c:axId val="183528863"/>
        <c:scaling>
          <c:logBase val="2"/>
          <c:orientation val="minMax"/>
          <c:max val="60.433000736264674"/>
          <c:min val="3.7462201196748965E-2"/>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527423"/>
        <c:crosses val="max"/>
        <c:crossBetween val="between"/>
      </c:valAx>
      <c:dateAx>
        <c:axId val="183527423"/>
        <c:scaling>
          <c:orientation val="minMax"/>
        </c:scaling>
        <c:delete val="0"/>
        <c:axPos val="b"/>
        <c:numFmt formatCode="yyyy\-mm\-dd;@"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528863"/>
        <c:crossesAt val="0.1"/>
        <c:auto val="0"/>
        <c:lblOffset val="100"/>
        <c:baseTimeUnit val="years"/>
      </c:dateAx>
      <c:spPr>
        <a:noFill/>
        <a:ln>
          <a:noFill/>
        </a:ln>
        <a:effectLst/>
      </c:spPr>
    </c:plotArea>
    <c:legend>
      <c:legendPos val="r"/>
      <c:layout>
        <c:manualLayout>
          <c:xMode val="edge"/>
          <c:yMode val="edge"/>
          <c:x val="5.5281632726814349E-2"/>
          <c:y val="2.9868252168703997E-2"/>
          <c:w val="0.45094056149735778"/>
          <c:h val="0.1239234134514020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'Share price history'!$A$1:$A$2</c:f>
              <c:strCache>
                <c:ptCount val="2"/>
                <c:pt idx="0">
                  <c:v>Trade Desk, Inc. Class A</c:v>
                </c:pt>
                <c:pt idx="1">
                  <c:v>Raw daily returns</c:v>
                </c:pt>
              </c:strCache>
            </c:strRef>
          </c:cat>
          <c:val>
            <c:numRef>
              <c:f>'Share price history'!$J$1:$J$3203</c:f>
              <c:numCache>
                <c:formatCode>#,##0.00</c:formatCode>
                <c:ptCount val="3203"/>
              </c:numCache>
            </c:numRef>
          </c:val>
          <c:smooth val="0"/>
          <c:extLst>
            <c:ext xmlns:c16="http://schemas.microsoft.com/office/drawing/2014/chart" uri="{C3380CC4-5D6E-409C-BE32-E72D297353CC}">
              <c16:uniqueId val="{00000000-593E-45D2-BB6E-BE3C56483ED0}"/>
            </c:ext>
          </c:extLst>
        </c:ser>
        <c:dLbls>
          <c:showLegendKey val="0"/>
          <c:showVal val="0"/>
          <c:showCatName val="0"/>
          <c:showSerName val="0"/>
          <c:showPercent val="0"/>
          <c:showBubbleSize val="0"/>
        </c:dLbls>
        <c:smooth val="0"/>
        <c:axId val="1782113407"/>
        <c:axId val="1782115807"/>
      </c:lineChart>
      <c:dateAx>
        <c:axId val="1782113407"/>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115807"/>
        <c:crosses val="autoZero"/>
        <c:auto val="0"/>
        <c:lblOffset val="100"/>
        <c:baseTimeUnit val="days"/>
      </c:dateAx>
      <c:valAx>
        <c:axId val="1782115807"/>
        <c:scaling>
          <c:logBase val="10"/>
          <c:orientation val="minMax"/>
          <c:min val="10"/>
        </c:scaling>
        <c:delete val="0"/>
        <c:axPos val="r"/>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1134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69F25FB-7421-4AB7-B60D-D7FBF2780D9F}">
  <sheetPr codeName="Chart"/>
  <sheetViews>
    <sheetView zoomScale="173"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93757" cy="6071040"/>
    <xdr:graphicFrame macro="">
      <xdr:nvGraphicFramePr>
        <xdr:cNvPr id="2" name="Chart 1">
          <a:extLst>
            <a:ext uri="{FF2B5EF4-FFF2-40B4-BE49-F238E27FC236}">
              <a16:creationId xmlns:a16="http://schemas.microsoft.com/office/drawing/2014/main" id="{CF15BA6D-84B5-0A43-2ABD-EE3BF854A7A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1</xdr:col>
      <xdr:colOff>19050</xdr:colOff>
      <xdr:row>3150</xdr:row>
      <xdr:rowOff>95250</xdr:rowOff>
    </xdr:from>
    <xdr:to>
      <xdr:col>7</xdr:col>
      <xdr:colOff>0</xdr:colOff>
      <xdr:row>3165</xdr:row>
      <xdr:rowOff>76200</xdr:rowOff>
    </xdr:to>
    <xdr:graphicFrame macro="">
      <xdr:nvGraphicFramePr>
        <xdr:cNvPr id="2" name="Chart 1">
          <a:extLst>
            <a:ext uri="{FF2B5EF4-FFF2-40B4-BE49-F238E27FC236}">
              <a16:creationId xmlns:a16="http://schemas.microsoft.com/office/drawing/2014/main" id="{69B436D9-5A40-2844-FF77-B75A711C0E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elect-share-for-model" connectionId="1" xr16:uid="{8286DB6B-DA31-4CCE-8259-7C1F6AD8B03D}" autoFormatId="16" applyNumberFormats="0" applyBorderFormats="0" applyFontFormats="0" applyPatternFormats="0" applyAlignmentFormats="0" applyWidthHeightFormats="0">
  <queryTableRefresh nextId="174">
    <queryTableFields count="31">
      <queryTableField id="1" name="proper_name" tableColumnId="1"/>
      <queryTableField id="108" name="co_mkt_cap_usd" tableColumnId="5"/>
      <queryTableField id="109" name="co_mkt_cap_financials_curr" tableColumnId="11"/>
      <queryTableField id="110" name="co_mkt_cap_trading_curr" tableColumnId="12"/>
      <queryTableField id="84" name="financials_currency" tableColumnId="13"/>
      <queryTableField id="142" name="fin_curr_in_a_usd" tableColumnId="27"/>
      <queryTableField id="58" name="trading_currency" tableColumnId="6"/>
      <queryTableField id="143" name="trading_curr_in_a_usd" tableColumnId="28"/>
      <queryTableField id="144" name="fin_curr_in_a_trading_curr" tableColumnId="29"/>
      <queryTableField id="111" name="ff_is_adr" tableColumnId="14"/>
      <queryTableField id="112" name="ff_is_dually_listed" tableColumnId="15"/>
      <queryTableField id="113" name="ff_is_multi_share" tableColumnId="16"/>
      <queryTableField id="114" name="ff_share_type_secs" tableColumnId="17"/>
      <queryTableField id="115" name="first_price_date" tableColumnId="18"/>
      <queryTableField id="116" name="fref_exchange_code" tableColumnId="19"/>
      <queryTableField id="117" name="fref_security_type" tableColumnId="20"/>
      <queryTableField id="9" name="fref_listing_exchange" tableColumnId="9"/>
      <queryTableField id="118" name="ff_id" tableColumnId="21"/>
      <queryTableField id="23" name="fsym_primary_listing_id" tableColumnId="23"/>
      <queryTableField id="25" name="fsym_security_id" tableColumnId="25"/>
      <queryTableField id="22" name="fsym_primary_equity_id" tableColumnId="22"/>
      <queryTableField id="24" name="fsym_regional_id" tableColumnId="24"/>
      <queryTableField id="151" name="pricing_id" tableColumnId="31"/>
      <queryTableField id="149" name="price" tableColumnId="30"/>
      <queryTableField id="75" name="factset_entity_id" tableColumnId="2"/>
      <queryTableField id="119" name="iso_country" tableColumnId="26"/>
      <queryTableField id="79" name="region" tableColumnId="7"/>
      <queryTableField id="77" name="ticker_region" tableColumnId="4"/>
      <queryTableField id="76" name="ticker_exchange" tableColumnId="3"/>
      <queryTableField id="80" name="l1_name" tableColumnId="8"/>
      <queryTableField id="81" name="l2_name"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select-share-for-model" connectionId="2" xr16:uid="{93B38AB3-BAED-44C7-B9DE-52B3641E4E1D}" autoFormatId="16" applyNumberFormats="0" applyBorderFormats="0" applyFontFormats="0" applyPatternFormats="0" applyAlignmentFormats="0" applyWidthHeightFormats="0">
  <queryTableRefresh nextId="174">
    <queryTableFields count="31">
      <queryTableField id="1" name="proper_name" tableColumnId="1"/>
      <queryTableField id="108" name="co_mkt_cap_usd" tableColumnId="5"/>
      <queryTableField id="109" name="co_mkt_cap_financials_curr" tableColumnId="11"/>
      <queryTableField id="110" name="co_mkt_cap_trading_curr" tableColumnId="12"/>
      <queryTableField id="84" name="financials_currency" tableColumnId="13"/>
      <queryTableField id="142" name="fin_curr_in_a_usd" tableColumnId="27"/>
      <queryTableField id="58" name="trading_currency" tableColumnId="6"/>
      <queryTableField id="143" name="trading_curr_in_a_usd" tableColumnId="28"/>
      <queryTableField id="144" name="fin_curr_in_a_trading_curr" tableColumnId="29"/>
      <queryTableField id="111" name="ff_is_adr" tableColumnId="14"/>
      <queryTableField id="112" name="ff_is_dually_listed" tableColumnId="15"/>
      <queryTableField id="113" name="ff_is_multi_share" tableColumnId="16"/>
      <queryTableField id="114" name="ff_share_type_secs" tableColumnId="17"/>
      <queryTableField id="115" name="first_price_date" tableColumnId="18"/>
      <queryTableField id="116" name="fref_exchange_code" tableColumnId="19"/>
      <queryTableField id="117" name="fref_security_type" tableColumnId="20"/>
      <queryTableField id="9" name="fref_listing_exchange" tableColumnId="9"/>
      <queryTableField id="118" name="ff_id" tableColumnId="21"/>
      <queryTableField id="23" name="fsym_primary_listing_id" tableColumnId="23"/>
      <queryTableField id="25" name="fsym_security_id" tableColumnId="25"/>
      <queryTableField id="22" name="fsym_primary_equity_id" tableColumnId="22"/>
      <queryTableField id="24" name="fsym_regional_id" tableColumnId="24"/>
      <queryTableField id="151" name="pricing_id" tableColumnId="31"/>
      <queryTableField id="149" name="price" tableColumnId="30"/>
      <queryTableField id="75" name="factset_entity_id" tableColumnId="2"/>
      <queryTableField id="119" name="iso_country" tableColumnId="26"/>
      <queryTableField id="79" name="region" tableColumnId="7"/>
      <queryTableField id="77" name="ticker_region" tableColumnId="4"/>
      <queryTableField id="76" name="ticker_exchange" tableColumnId="3"/>
      <queryTableField id="80" name="l1_name" tableColumnId="8"/>
      <queryTableField id="81" name="l2_name"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ADAF8D74-29DD-453C-8C7F-8228F7D614D9}" autoFormatId="16" applyNumberFormats="0" applyBorderFormats="0" applyFontFormats="0" applyPatternFormats="0" applyAlignmentFormats="0" applyWidthHeightFormats="0">
  <queryTableRefresh nextId="24">
    <queryTableFields count="14">
      <queryTableField id="1" name="fsym_id" tableColumnId="1"/>
      <queryTableField id="2" name="price_date" tableColumnId="2"/>
      <queryTableField id="8" name="share_currency" tableColumnId="3"/>
      <queryTableField id="9" name="financials_currency" tableColumnId="4"/>
      <queryTableField id="5" name="volume" tableColumnId="5"/>
      <queryTableField id="10" name="local_currency_turnover" tableColumnId="6"/>
      <queryTableField id="11" name="local_currency_vwap" tableColumnId="7"/>
      <queryTableField id="12" name="local_return_multiplier" tableColumnId="8"/>
      <queryTableField id="18" name="s_curr_in_usd" tableColumnId="12"/>
      <queryTableField id="19" name="f_curr_in_usd" tableColumnId="13"/>
      <queryTableField id="13" name="s_curr_in_usd_return_multiplier" tableColumnId="9"/>
      <queryTableField id="14" name="f_curr_in_usd_return_multiplier" tableColumnId="10"/>
      <queryTableField id="22" name="f_in_s_return_multiplier" tableColumnId="14"/>
      <queryTableField id="23" name="fin_curr_return_multiplier" tableColumnId="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41C544A0-9023-43FA-9C89-7BE330114984}" autoFormatId="16" applyNumberFormats="0" applyBorderFormats="0" applyFontFormats="0" applyPatternFormats="0" applyAlignmentFormats="0" applyWidthHeightFormats="0">
  <queryTableRefresh nextId="139">
    <queryTableFields count="56">
      <queryTableField id="1" name="fsym_id" tableColumnId="1"/>
      <queryTableField id="2" name="date" tableColumnId="2"/>
      <queryTableField id="3" name="currency" tableColumnId="3"/>
      <queryTableField id="4" name="ff_sales" tableColumnId="4"/>
      <queryTableField id="5" name="ff_gross_inc" tableColumnId="5"/>
      <queryTableField id="6" name="ff_ptx_inc" tableColumnId="6"/>
      <queryTableField id="7" name="ff_inc_tax" tableColumnId="7"/>
      <queryTableField id="8" name="ff_min_int_exp" tableColumnId="8"/>
      <queryTableField id="9" name="ff_eq_aff_inc" tableColumnId="9"/>
      <queryTableField id="10" name="ff_div_pfd" tableColumnId="10"/>
      <queryTableField id="11" name="ff_cash_st" tableColumnId="11"/>
      <queryTableField id="12" name="ff_inven" tableColumnId="12"/>
      <queryTableField id="13" name="ff_assets_curr" tableColumnId="13"/>
      <queryTableField id="14" name="ff_intang" tableColumnId="14"/>
      <queryTableField id="15" name="ff_assets" tableColumnId="15"/>
      <queryTableField id="16" name="ff_liabs_curr" tableColumnId="16"/>
      <queryTableField id="17" name="ff_pay_acct" tableColumnId="17"/>
      <queryTableField id="18" name="ff_pfd_stk" tableColumnId="18"/>
      <queryTableField id="19" name="ff_com_eq" tableColumnId="19"/>
      <queryTableField id="20" name="ff_net_inc_cf" tableColumnId="20"/>
      <queryTableField id="21" name="ff_funds_oper_gross" tableColumnId="21"/>
      <queryTableField id="22" name="ff_wkcap_chg" tableColumnId="22"/>
      <queryTableField id="23" name="ff_com_shs_out_eps_dil" tableColumnId="23"/>
      <queryTableField id="24" name="ff_min_int_accum" tableColumnId="24"/>
      <queryTableField id="25" name="ff_ppe_net" tableColumnId="25"/>
      <queryTableField id="26" name="ff_receiv_st" tableColumnId="26"/>
      <queryTableField id="61" name="ff_debt_cf" tableColumnId="31"/>
      <queryTableField id="62" name="ff_ebit_oper" tableColumnId="32"/>
      <queryTableField id="63" name="ff_fin_cf" tableColumnId="33"/>
      <queryTableField id="64" name="ff_int_exp_net" tableColumnId="34"/>
      <queryTableField id="65" name="ff_invest_cf" tableColumnId="35"/>
      <queryTableField id="66" name="ff_liabs" tableColumnId="36"/>
      <queryTableField id="67" name="ff_net_inc_basic" tableColumnId="37"/>
      <queryTableField id="68" name="ff_capex_fix" tableColumnId="38"/>
      <queryTableField id="69" name="ff_capex_oth" tableColumnId="39"/>
      <queryTableField id="70" name="ff_comp_soft" tableColumnId="40"/>
      <queryTableField id="71" name="ff_curn_doc" tableColumnId="41"/>
      <queryTableField id="72" name="ff_debt_lt_tot" tableColumnId="42"/>
      <queryTableField id="73" name="ff_debt_st_tot" tableColumnId="43"/>
      <queryTableField id="74" name="ff_dep_amort_exp" tableColumnId="44"/>
      <queryTableField id="75" name="ff_dep_exp" tableColumnId="45"/>
      <queryTableField id="76" name="ff_div_com_cf" tableColumnId="46"/>
      <queryTableField id="77" name="ff_emp_num" tableColumnId="47"/>
      <queryTableField id="78" name="ff_eps_secs" tableColumnId="48"/>
      <queryTableField id="79" name="ff_int_inc_non_oper" tableColumnId="49"/>
      <queryTableField id="80" name="ff_inven_matl" tableColumnId="50"/>
      <queryTableField id="81" name="ff_inven_wip" tableColumnId="51"/>
      <queryTableField id="82" name="ff_mkt_val_secs" tableColumnId="52"/>
      <queryTableField id="83" name="ff_sale_ppe_cf" tableColumnId="53"/>
      <queryTableField id="84" name="ff_stk_purch_cf" tableColumnId="54"/>
      <queryTableField id="85" name="ff_stk_sale_cf" tableColumnId="55"/>
      <queryTableField id="86" name="ff_invest_lt" tableColumnId="56"/>
      <queryTableField id="59" name="share_curr" tableColumnId="30"/>
      <queryTableField id="53" name="share_curr_per_ff_curr" tableColumnId="27"/>
      <queryTableField id="54" name="share_curr_per_usd" tableColumnId="28"/>
      <queryTableField id="55" name="ff_curr_per_usd" tableColumnId="2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75D57C3-339B-406F-A5A6-7E550EA33361}" name="Candidate_shares" displayName="Candidate_shares" ref="A1:AE2" tableType="queryTable" totalsRowShown="0">
  <autoFilter ref="A1:AE2" xr:uid="{575D57C3-339B-406F-A5A6-7E550EA33361}"/>
  <sortState xmlns:xlrd2="http://schemas.microsoft.com/office/spreadsheetml/2017/richdata2" ref="A2:AE2">
    <sortCondition ref="A1:A2"/>
  </sortState>
  <tableColumns count="31">
    <tableColumn id="1" xr3:uid="{4D73CE46-10A3-437A-B049-A8AC7B32C450}" uniqueName="1" name="proper_name" queryTableFieldId="1"/>
    <tableColumn id="5" xr3:uid="{360193CC-F05B-4D86-9070-01D9D931CA32}" uniqueName="5" name="co_mkt_cap_usd" queryTableFieldId="108"/>
    <tableColumn id="11" xr3:uid="{A9609C83-B26D-4026-A79E-2CB6C1C8D112}" uniqueName="11" name="co_mkt_cap_financials_curr" queryTableFieldId="109"/>
    <tableColumn id="12" xr3:uid="{C288AE14-C6F2-4AC3-9441-355712BF9891}" uniqueName="12" name="co_mkt_cap_trading_curr" queryTableFieldId="110"/>
    <tableColumn id="13" xr3:uid="{FBFB255A-6CC7-4F4E-95F8-63B25518F024}" uniqueName="13" name="financials_currency" queryTableFieldId="84"/>
    <tableColumn id="27" xr3:uid="{4F869CB8-4F6D-4837-B751-D2DDC12A8217}" uniqueName="27" name="fin_curr_in_a_usd" queryTableFieldId="142"/>
    <tableColumn id="6" xr3:uid="{32CC1B46-5F25-41AD-944B-C4998182D49E}" uniqueName="6" name="trading_currency" queryTableFieldId="58"/>
    <tableColumn id="28" xr3:uid="{A1A3C095-7D4A-4059-912F-FBB02B38CE43}" uniqueName="28" name="trading_curr_in_a_usd" queryTableFieldId="143"/>
    <tableColumn id="29" xr3:uid="{AB78E7B5-2481-4CCD-9A34-9E19FF952E4E}" uniqueName="29" name="fin_curr_in_a_trading_curr" queryTableFieldId="144"/>
    <tableColumn id="14" xr3:uid="{361035BF-6E50-42D1-A4EF-8574A291DCFC}" uniqueName="14" name="ff_is_adr" queryTableFieldId="111"/>
    <tableColumn id="15" xr3:uid="{7B4AF2C8-FC70-45B6-AF07-AF619B130A70}" uniqueName="15" name="ff_is_dually_listed" queryTableFieldId="112"/>
    <tableColumn id="16" xr3:uid="{976509F3-A232-44F9-825D-1F2B43C9AD6C}" uniqueName="16" name="ff_is_multi_share" queryTableFieldId="113"/>
    <tableColumn id="17" xr3:uid="{B0988A01-2AB9-4C03-85FA-9884E03881AB}" uniqueName="17" name="ff_share_type_secs" queryTableFieldId="114"/>
    <tableColumn id="18" xr3:uid="{763DC681-654B-48C4-A3BB-05AE940F96B3}" uniqueName="18" name="first_price_date" queryTableFieldId="115" dataDxfId="30"/>
    <tableColumn id="19" xr3:uid="{2F4BA258-D7D7-4511-B416-B231B18A1A03}" uniqueName="19" name="fref_exchange_code" queryTableFieldId="116"/>
    <tableColumn id="20" xr3:uid="{B577AB83-1935-48ED-842B-E2F3B70D1A0C}" uniqueName="20" name="fref_security_type" queryTableFieldId="117"/>
    <tableColumn id="9" xr3:uid="{C99217FA-A946-4844-AF39-2E9C7DD444C9}" uniqueName="9" name="fref_listing_exchange" queryTableFieldId="9"/>
    <tableColumn id="21" xr3:uid="{590B7596-B027-45DF-97FA-CFD50B9AC850}" uniqueName="21" name="ff_id" queryTableFieldId="118"/>
    <tableColumn id="23" xr3:uid="{22BAE64C-19BC-4FC1-AFDD-5CFB7B921DBC}" uniqueName="23" name="fsym_primary_listing_id" queryTableFieldId="23"/>
    <tableColumn id="25" xr3:uid="{CE90C3FD-F95A-4E52-B2C4-CC00265E7CA7}" uniqueName="25" name="fsym_security_id" queryTableFieldId="25"/>
    <tableColumn id="22" xr3:uid="{CA9D1130-3DC8-4B95-BD85-7A6B809F2182}" uniqueName="22" name="fsym_primary_equity_id" queryTableFieldId="22"/>
    <tableColumn id="24" xr3:uid="{1FB84AB3-52C1-427E-AB39-FF0CD6F1CC2E}" uniqueName="24" name="fsym_regional_id" queryTableFieldId="24"/>
    <tableColumn id="31" xr3:uid="{80CFC619-E3ED-403B-8BF2-36D11153F4C0}" uniqueName="31" name="pricing_id" queryTableFieldId="151"/>
    <tableColumn id="30" xr3:uid="{FB6ED291-D692-4D66-85F2-D30D0DAEC558}" uniqueName="30" name="price" queryTableFieldId="149"/>
    <tableColumn id="2" xr3:uid="{B8E031C7-30C3-4069-A110-89575685EA06}" uniqueName="2" name="factset_entity_id" queryTableFieldId="75"/>
    <tableColumn id="26" xr3:uid="{BA8F5590-808F-4E83-9DC6-31311D91DDA3}" uniqueName="26" name="iso_country" queryTableFieldId="119"/>
    <tableColumn id="7" xr3:uid="{61E03112-EC6A-4155-82D1-03D1ECC04C69}" uniqueName="7" name="region" queryTableFieldId="79"/>
    <tableColumn id="4" xr3:uid="{1508FEB5-5717-4E86-BFD0-C3226F9E8FBF}" uniqueName="4" name="ticker_region" queryTableFieldId="77"/>
    <tableColumn id="3" xr3:uid="{84368778-58AC-40A3-BDF3-D3B3EBA7B2FB}" uniqueName="3" name="ticker_exchange" queryTableFieldId="76"/>
    <tableColumn id="8" xr3:uid="{93BED45F-48C6-406E-8FFF-79614021D145}" uniqueName="8" name="l1_name" queryTableFieldId="80"/>
    <tableColumn id="10" xr3:uid="{AF77EC13-D46C-4D5E-83D8-EA24EDF048FE}" uniqueName="10" name="l2_name" queryTableFieldId="8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F8FF0F-7299-4FED-940E-AB088FD91576}" name="Chosen_share" displayName="Chosen_share" ref="A1:AE2" tableType="queryTable" totalsRowShown="0">
  <autoFilter ref="A1:AE2" xr:uid="{575D57C3-339B-406F-A5A6-7E550EA33361}"/>
  <sortState xmlns:xlrd2="http://schemas.microsoft.com/office/spreadsheetml/2017/richdata2" ref="A2:AE2">
    <sortCondition ref="A1:A2"/>
  </sortState>
  <tableColumns count="31">
    <tableColumn id="1" xr3:uid="{A140EEF1-463B-4B4F-B78E-E6BC74756F34}" uniqueName="1" name="proper_name" queryTableFieldId="1"/>
    <tableColumn id="5" xr3:uid="{93C07254-B3B0-4AD8-AC53-4F7DDEB2C22C}" uniqueName="5" name="co_mkt_cap_usd" queryTableFieldId="108"/>
    <tableColumn id="11" xr3:uid="{3650DD60-EC7E-46A0-94BF-3BC87C38F8FC}" uniqueName="11" name="co_mkt_cap_financials_curr" queryTableFieldId="109"/>
    <tableColumn id="12" xr3:uid="{707E69CA-D0B7-4004-8A5E-F3D5D2349121}" uniqueName="12" name="co_mkt_cap_trading_curr" queryTableFieldId="110"/>
    <tableColumn id="13" xr3:uid="{F1275D77-54DC-4285-A4FC-1A2536EE57BC}" uniqueName="13" name="financials_currency" queryTableFieldId="84"/>
    <tableColumn id="27" xr3:uid="{B5EA51C9-C90D-4A0C-A331-677261EAB930}" uniqueName="27" name="fin_curr_in_a_usd" queryTableFieldId="142"/>
    <tableColumn id="6" xr3:uid="{816A4A38-F677-413B-8819-2B781946F73C}" uniqueName="6" name="trading_currency" queryTableFieldId="58"/>
    <tableColumn id="28" xr3:uid="{FD44BC69-DF53-4259-94BA-FF2953A914B4}" uniqueName="28" name="trading_curr_in_a_usd" queryTableFieldId="143"/>
    <tableColumn id="29" xr3:uid="{46AB234D-665D-4171-BEDE-1417DED98033}" uniqueName="29" name="fin_curr_in_a_trading_curr" queryTableFieldId="144"/>
    <tableColumn id="14" xr3:uid="{04BFD926-7699-417C-A806-14B63457E65E}" uniqueName="14" name="ff_is_adr" queryTableFieldId="111"/>
    <tableColumn id="15" xr3:uid="{838175C2-289C-44A6-BB07-CDB7E0354730}" uniqueName="15" name="ff_is_dually_listed" queryTableFieldId="112"/>
    <tableColumn id="16" xr3:uid="{C70C1295-3BCC-4B01-BFE8-216BD1863C08}" uniqueName="16" name="ff_is_multi_share" queryTableFieldId="113"/>
    <tableColumn id="17" xr3:uid="{44665923-962C-4E36-9B03-459A195732B0}" uniqueName="17" name="ff_share_type_secs" queryTableFieldId="114"/>
    <tableColumn id="18" xr3:uid="{56FB4191-1D7C-4C73-914E-7006F8448E83}" uniqueName="18" name="first_price_date" queryTableFieldId="115" dataDxfId="5"/>
    <tableColumn id="19" xr3:uid="{43B0FFCA-2909-4CE8-907A-4D3910B82312}" uniqueName="19" name="fref_exchange_code" queryTableFieldId="116"/>
    <tableColumn id="20" xr3:uid="{79C3FEE4-72B7-4832-9CB5-90941DF9BF26}" uniqueName="20" name="fref_security_type" queryTableFieldId="117"/>
    <tableColumn id="9" xr3:uid="{0056201B-8696-4F73-A7BF-35F503C4DBC9}" uniqueName="9" name="fref_listing_exchange" queryTableFieldId="9"/>
    <tableColumn id="21" xr3:uid="{34895095-0FFC-4D3A-8325-664A5EEF128F}" uniqueName="21" name="ff_id" queryTableFieldId="118"/>
    <tableColumn id="23" xr3:uid="{C7533318-82CF-4CC3-B12E-38B25D949825}" uniqueName="23" name="fsym_primary_listing_id" queryTableFieldId="23"/>
    <tableColumn id="25" xr3:uid="{FDBFFF91-EEDA-498A-9558-70CE3F90D8D7}" uniqueName="25" name="fsym_security_id" queryTableFieldId="25"/>
    <tableColumn id="22" xr3:uid="{4B9C4214-1E70-43FE-9C78-620D2591E211}" uniqueName="22" name="fsym_primary_equity_id" queryTableFieldId="22"/>
    <tableColumn id="24" xr3:uid="{8FF34A87-C9C2-4BBA-94CC-9AAD22092251}" uniqueName="24" name="fsym_regional_id" queryTableFieldId="24"/>
    <tableColumn id="31" xr3:uid="{0D76BB07-67E3-4CCF-982D-87E1DCE50104}" uniqueName="31" name="pricing_id" queryTableFieldId="151"/>
    <tableColumn id="30" xr3:uid="{B65B6DB4-6BD6-4115-A8E0-5F1C56009E67}" uniqueName="30" name="price" queryTableFieldId="149"/>
    <tableColumn id="2" xr3:uid="{FA1E0879-B3E9-4741-AB43-E1E835EA0D64}" uniqueName="2" name="factset_entity_id" queryTableFieldId="75"/>
    <tableColumn id="26" xr3:uid="{7D5BFC38-B15F-4A96-A51B-BBB10190E41F}" uniqueName="26" name="iso_country" queryTableFieldId="119"/>
    <tableColumn id="7" xr3:uid="{F6BF777F-F112-4C76-8DB6-171F9B0B787A}" uniqueName="7" name="region" queryTableFieldId="79"/>
    <tableColumn id="4" xr3:uid="{5DF144BA-9C7D-4B1E-AAB3-B2B2CD1DFA74}" uniqueName="4" name="ticker_region" queryTableFieldId="77"/>
    <tableColumn id="3" xr3:uid="{AADBFCCA-CF70-491D-854D-AA99E423B6E1}" uniqueName="3" name="ticker_exchange" queryTableFieldId="76"/>
    <tableColumn id="8" xr3:uid="{0A827E43-7401-481C-AD95-295119830642}" uniqueName="8" name="l1_name" queryTableFieldId="80"/>
    <tableColumn id="10" xr3:uid="{C408B80A-A36E-48C6-A565-E768E746910D}" uniqueName="10" name="l2_name" queryTableFieldId="8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C826647-F50A-487B-BB9E-C033910BC4B2}" name="Daily_returns" displayName="Daily_returns" ref="A1:N2196" tableType="queryTable" totalsRowShown="0">
  <autoFilter ref="A1:N2196" xr:uid="{9C826647-F50A-487B-BB9E-C033910BC4B2}"/>
  <tableColumns count="14">
    <tableColumn id="1" xr3:uid="{0B897DE6-1005-403F-AF75-136042218FA8}" uniqueName="1" name="fsym_id" queryTableFieldId="1" dataDxfId="4"/>
    <tableColumn id="2" xr3:uid="{039D6559-BDFE-4C34-AECA-555C3A9A8D2C}" uniqueName="2" name="price_date" queryTableFieldId="2" dataDxfId="3"/>
    <tableColumn id="3" xr3:uid="{5645D941-2A8D-4B92-873E-DB40D44DAC6F}" uniqueName="3" name="share_currency" queryTableFieldId="8" dataDxfId="2"/>
    <tableColumn id="4" xr3:uid="{43D43DDF-6363-4891-8A0F-B664B12A8E8D}" uniqueName="4" name="financials_currency" queryTableFieldId="9" dataDxfId="1"/>
    <tableColumn id="5" xr3:uid="{7268A959-C7D1-4B7D-8812-E80E1515C0D8}" uniqueName="5" name="volume" queryTableFieldId="5"/>
    <tableColumn id="6" xr3:uid="{1E36817B-8B82-4F85-8C25-9D7E7ED5B664}" uniqueName="6" name="local_currency_turnover" queryTableFieldId="10"/>
    <tableColumn id="7" xr3:uid="{A58FEA3C-9F44-41D3-865C-D96D4257F3B1}" uniqueName="7" name="local_currency_vwap" queryTableFieldId="11"/>
    <tableColumn id="8" xr3:uid="{BD4548EF-7D18-4C4E-9158-F69C1C484BFC}" uniqueName="8" name="local_return_multiplier" queryTableFieldId="12"/>
    <tableColumn id="12" xr3:uid="{EB80E946-DE62-4980-8A1C-8852E486963F}" uniqueName="12" name="s_curr_in_usd" queryTableFieldId="18"/>
    <tableColumn id="13" xr3:uid="{3B325F60-7C63-433E-B2A9-6591DB2713F5}" uniqueName="13" name="f_curr_in_usd" queryTableFieldId="19" dataDxfId="0"/>
    <tableColumn id="9" xr3:uid="{797C29B9-3DA9-439A-8423-1625A49C3530}" uniqueName="9" name="s_curr_in_usd_return_multiplier" queryTableFieldId="13"/>
    <tableColumn id="10" xr3:uid="{180269C7-558C-4588-B2A3-7E12A9DB3F9E}" uniqueName="10" name="f_curr_in_usd_return_multiplier" queryTableFieldId="14"/>
    <tableColumn id="14" xr3:uid="{B0C816AD-6503-4F67-BC78-87C4D71DD949}" uniqueName="14" name="f_in_s_return_multiplier" queryTableFieldId="22"/>
    <tableColumn id="15" xr3:uid="{16528B18-0148-42A7-BD60-13C625D8A651}" uniqueName="15" name="fin_curr_return_multiplier" queryTableFieldId="2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AD3AB06-53DA-4E3B-A317-6AC1EEAC6BEA}" name="Raw_financials" displayName="Raw_financials" ref="A1:BD12" tableType="queryTable" totalsRowShown="0">
  <autoFilter ref="A1:BD12" xr:uid="{EAD3AB06-53DA-4E3B-A317-6AC1EEAC6BEA}"/>
  <tableColumns count="56">
    <tableColumn id="1" xr3:uid="{37130188-5C5E-4EC4-882D-40BADF619EEB}" uniqueName="1" name="fsym_id" queryTableFieldId="1"/>
    <tableColumn id="2" xr3:uid="{540D6DEC-090F-4936-9FCC-73E0D0F1DB6F}" uniqueName="2" name="date" queryTableFieldId="2" dataDxfId="29"/>
    <tableColumn id="3" xr3:uid="{46D8C053-1871-4300-AEA9-4E37F4A9C23A}" uniqueName="3" name="currency" queryTableFieldId="3"/>
    <tableColumn id="4" xr3:uid="{5BB78F16-0453-4F84-8A2C-3985EC80C7F6}" uniqueName="4" name="ff_sales" queryTableFieldId="4" dataDxfId="28"/>
    <tableColumn id="5" xr3:uid="{2E47C334-05AA-4566-AF1F-EA1289A7952F}" uniqueName="5" name="ff_gross_inc" queryTableFieldId="5" dataDxfId="27"/>
    <tableColumn id="6" xr3:uid="{A6772271-D3C4-4744-991A-FF8F718B4D84}" uniqueName="6" name="ff_ptx_inc" queryTableFieldId="6" dataDxfId="26"/>
    <tableColumn id="7" xr3:uid="{F073E4BC-3764-49B2-B5FD-9DDC54D2CAAA}" uniqueName="7" name="ff_inc_tax" queryTableFieldId="7" dataDxfId="25"/>
    <tableColumn id="8" xr3:uid="{F0E5A254-2050-4C85-AB51-6039B2F3C436}" uniqueName="8" name="ff_min_int_exp" queryTableFieldId="8" dataDxfId="24"/>
    <tableColumn id="9" xr3:uid="{299E6549-86CC-47BF-B635-3F06C2D725D0}" uniqueName="9" name="ff_eq_aff_inc" queryTableFieldId="9" dataDxfId="23"/>
    <tableColumn id="10" xr3:uid="{BB235382-897F-4207-A923-FCC529A5ACBD}" uniqueName="10" name="ff_div_pfd" queryTableFieldId="10" dataDxfId="22"/>
    <tableColumn id="11" xr3:uid="{78EF177A-DD40-4F67-81CB-E1B66A97D295}" uniqueName="11" name="ff_cash_st" queryTableFieldId="11" dataDxfId="21"/>
    <tableColumn id="12" xr3:uid="{4D2EE38E-CA54-4451-B973-51FD536B140F}" uniqueName="12" name="ff_inven" queryTableFieldId="12" dataDxfId="20"/>
    <tableColumn id="13" xr3:uid="{30230812-A961-4DCD-AAF0-A51045E9933E}" uniqueName="13" name="ff_assets_curr" queryTableFieldId="13" dataDxfId="19"/>
    <tableColumn id="14" xr3:uid="{011849DB-BDCE-412C-946E-F23C90455BD4}" uniqueName="14" name="ff_intang" queryTableFieldId="14" dataDxfId="18"/>
    <tableColumn id="15" xr3:uid="{A28D444F-57EB-42F1-9C46-33D1B62A2358}" uniqueName="15" name="ff_assets" queryTableFieldId="15" dataDxfId="17"/>
    <tableColumn id="16" xr3:uid="{B4C43A41-A666-429F-A2F0-CE73F8FC4980}" uniqueName="16" name="ff_liabs_curr" queryTableFieldId="16" dataDxfId="16"/>
    <tableColumn id="17" xr3:uid="{ACE9437B-94E7-4B07-947D-9DC1D57EF36B}" uniqueName="17" name="ff_pay_acct" queryTableFieldId="17" dataDxfId="15"/>
    <tableColumn id="18" xr3:uid="{03AB5A8E-BDE6-4442-8222-E3D6F455BB2E}" uniqueName="18" name="ff_pfd_stk" queryTableFieldId="18" dataDxfId="14"/>
    <tableColumn id="19" xr3:uid="{C2A1C686-1C30-4D4B-809D-2EEA15E67429}" uniqueName="19" name="ff_com_eq" queryTableFieldId="19" dataDxfId="13"/>
    <tableColumn id="20" xr3:uid="{834C2F92-0B4B-465E-BA35-D2D892F44037}" uniqueName="20" name="ff_net_inc_cf" queryTableFieldId="20" dataDxfId="12"/>
    <tableColumn id="21" xr3:uid="{E04029E1-41F5-4822-8CB8-B34789B1538E}" uniqueName="21" name="ff_funds_oper_gross" queryTableFieldId="21" dataDxfId="11"/>
    <tableColumn id="22" xr3:uid="{77476145-C36B-4705-9126-90C2ED5B02C0}" uniqueName="22" name="ff_wkcap_chg" queryTableFieldId="22" dataDxfId="10"/>
    <tableColumn id="23" xr3:uid="{1FCA850E-054F-4403-80A5-F2EEAEC0FBB1}" uniqueName="23" name="ff_com_shs_out_eps_dil" queryTableFieldId="23" dataDxfId="9"/>
    <tableColumn id="24" xr3:uid="{668BF586-D94E-4EFB-992B-3097214A5C58}" uniqueName="24" name="ff_min_int_accum" queryTableFieldId="24" dataDxfId="8"/>
    <tableColumn id="25" xr3:uid="{C724BAEC-674D-49D6-851A-EEB674C357CC}" uniqueName="25" name="ff_ppe_net" queryTableFieldId="25" dataDxfId="7"/>
    <tableColumn id="26" xr3:uid="{AAACB030-00FD-4D2E-8F42-3219ED1CECAB}" uniqueName="26" name="ff_receiv_st" queryTableFieldId="26" dataDxfId="6"/>
    <tableColumn id="31" xr3:uid="{8D6051E9-9C4D-4715-A3C2-34BCE891784D}" uniqueName="31" name="ff_debt_cf" queryTableFieldId="61"/>
    <tableColumn id="32" xr3:uid="{A80C2BFB-CFAB-4B23-904D-A139A12F08EA}" uniqueName="32" name="ff_ebit_oper" queryTableFieldId="62"/>
    <tableColumn id="33" xr3:uid="{06DDA124-6E47-4EA0-BBB3-571A12DCCA32}" uniqueName="33" name="ff_fin_cf" queryTableFieldId="63"/>
    <tableColumn id="34" xr3:uid="{F2D8598F-096D-4176-A669-5624A50CD3D6}" uniqueName="34" name="ff_int_exp_net" queryTableFieldId="64"/>
    <tableColumn id="35" xr3:uid="{E3E8F2FB-CF29-454D-9C62-6598D6302514}" uniqueName="35" name="ff_invest_cf" queryTableFieldId="65"/>
    <tableColumn id="36" xr3:uid="{2F745BE2-08A7-40BA-A59B-3BEB75876FDA}" uniqueName="36" name="ff_liabs" queryTableFieldId="66"/>
    <tableColumn id="37" xr3:uid="{8ABFB761-33B2-4482-8138-66A8540FA6FC}" uniqueName="37" name="ff_net_inc_basic" queryTableFieldId="67"/>
    <tableColumn id="38" xr3:uid="{3B79D3DD-A921-472C-89C7-DE97D28A642B}" uniqueName="38" name="ff_capex_fix" queryTableFieldId="68"/>
    <tableColumn id="39" xr3:uid="{A59BD262-5949-4B12-A9C1-7601AEA4C6B3}" uniqueName="39" name="ff_capex_oth" queryTableFieldId="69"/>
    <tableColumn id="40" xr3:uid="{96EC77D5-0FFC-4A67-B80D-A05F74CC042A}" uniqueName="40" name="ff_comp_soft" queryTableFieldId="70"/>
    <tableColumn id="41" xr3:uid="{B59062BA-1BB5-49E7-9AD6-2FC722B8438B}" uniqueName="41" name="ff_curn_doc" queryTableFieldId="71"/>
    <tableColumn id="42" xr3:uid="{D0695508-696B-4DF8-84AF-745F9D70C4EC}" uniqueName="42" name="ff_debt_lt_tot" queryTableFieldId="72"/>
    <tableColumn id="43" xr3:uid="{0CD87E7E-3CD1-440F-B595-D624F4980343}" uniqueName="43" name="ff_debt_st_tot" queryTableFieldId="73"/>
    <tableColumn id="44" xr3:uid="{DF060DA7-F3F0-4C80-A4CF-4AF8C63B8273}" uniqueName="44" name="ff_dep_amort_exp" queryTableFieldId="74"/>
    <tableColumn id="45" xr3:uid="{A7A8D897-5006-41EA-A254-123E803D6674}" uniqueName="45" name="ff_dep_exp" queryTableFieldId="75"/>
    <tableColumn id="46" xr3:uid="{8DC49887-EA29-4C4D-9762-6E69EB459DA4}" uniqueName="46" name="ff_div_com_cf" queryTableFieldId="76"/>
    <tableColumn id="47" xr3:uid="{1F918D71-B500-405F-9BBD-09D76032A8B8}" uniqueName="47" name="ff_emp_num" queryTableFieldId="77"/>
    <tableColumn id="48" xr3:uid="{345C37FB-AD91-4A68-928F-E7967CDD86C3}" uniqueName="48" name="ff_eps_secs" queryTableFieldId="78"/>
    <tableColumn id="49" xr3:uid="{77100A4C-CFED-4867-995B-566BE7461BE4}" uniqueName="49" name="ff_int_inc_non_oper" queryTableFieldId="79"/>
    <tableColumn id="50" xr3:uid="{E43C799C-7399-4CF2-B1FB-0E81C5B81A49}" uniqueName="50" name="ff_inven_matl" queryTableFieldId="80"/>
    <tableColumn id="51" xr3:uid="{771C7CBC-B182-422E-B7FD-A361EEA02D63}" uniqueName="51" name="ff_inven_wip" queryTableFieldId="81"/>
    <tableColumn id="52" xr3:uid="{E568BFDD-59FA-42BE-A9B7-39BFE22F4178}" uniqueName="52" name="ff_mkt_val_secs" queryTableFieldId="82"/>
    <tableColumn id="53" xr3:uid="{541A70F7-03BC-42E6-BF89-DB24FB2E58E0}" uniqueName="53" name="ff_sale_ppe_cf" queryTableFieldId="83"/>
    <tableColumn id="54" xr3:uid="{CDAC3185-3322-4114-B865-BCCF933A6492}" uniqueName="54" name="ff_stk_purch_cf" queryTableFieldId="84"/>
    <tableColumn id="55" xr3:uid="{292D441C-710D-4B50-90B6-750DD10232AA}" uniqueName="55" name="ff_stk_sale_cf" queryTableFieldId="85"/>
    <tableColumn id="56" xr3:uid="{0BA36CC9-1333-4457-8B06-D091CC9E32DC}" uniqueName="56" name="ff_invest_lt" queryTableFieldId="86"/>
    <tableColumn id="30" xr3:uid="{E96E4B6C-5911-4601-961A-0893EEEBFF5E}" uniqueName="30" name="share_curr" queryTableFieldId="59"/>
    <tableColumn id="27" xr3:uid="{176B5AE6-ADBF-477B-A28A-0436F9889823}" uniqueName="27" name="share_curr_per_ff_curr" queryTableFieldId="53"/>
    <tableColumn id="28" xr3:uid="{98030DE8-2F83-42B5-B750-4FE06800391E}" uniqueName="28" name="share_curr_per_usd" queryTableFieldId="54"/>
    <tableColumn id="29" xr3:uid="{C4592788-E11A-4406-A047-2DC333C88E37}" uniqueName="29" name="ff_curr_per_usd" queryTableFieldId="5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9330D-9DAB-48AE-B09D-2880E9B91E13}">
  <sheetPr codeName="Sheet1">
    <tabColor theme="9" tint="0.79998168889431442"/>
  </sheetPr>
  <dimension ref="A1:H35"/>
  <sheetViews>
    <sheetView showGridLines="0" workbookViewId="0">
      <selection activeCell="D31" sqref="D31"/>
    </sheetView>
  </sheetViews>
  <sheetFormatPr defaultRowHeight="14.5" x14ac:dyDescent="0.35"/>
  <cols>
    <col min="1" max="1" width="33" bestFit="1" customWidth="1"/>
    <col min="2" max="2" width="23.54296875" bestFit="1" customWidth="1"/>
    <col min="3" max="3" width="34.81640625" style="54" bestFit="1" customWidth="1"/>
    <col min="4" max="4" width="26.453125" customWidth="1"/>
    <col min="5" max="5" width="34.81640625" bestFit="1" customWidth="1"/>
    <col min="7" max="7" width="23.54296875" bestFit="1" customWidth="1"/>
    <col min="8" max="8" width="35.6328125" style="56" bestFit="1" customWidth="1"/>
  </cols>
  <sheetData>
    <row r="1" spans="1:8" ht="23.5" x14ac:dyDescent="0.55000000000000004">
      <c r="A1" s="5" t="str">
        <f>'Start Here'!$H$5</f>
        <v>Trade Desk, Inc. Class A</v>
      </c>
    </row>
    <row r="2" spans="1:8" ht="20" thickBot="1" x14ac:dyDescent="0.5">
      <c r="A2" s="12" t="str" cm="1">
        <f t="array" aca="1" ref="A2" ca="1">_xlfn.TEXTAFTER(CELL("filename"), "]")</f>
        <v>Raw daily returns</v>
      </c>
    </row>
    <row r="3" spans="1:8" ht="20.5" thickTop="1" thickBot="1" x14ac:dyDescent="0.5">
      <c r="G3" s="12" t="s">
        <v>346</v>
      </c>
      <c r="H3" s="111"/>
    </row>
    <row r="4" spans="1:8" ht="17.5" customHeight="1" thickTop="1" thickBot="1" x14ac:dyDescent="0.45">
      <c r="A4" t="s">
        <v>347</v>
      </c>
      <c r="B4" s="110" t="s">
        <v>539</v>
      </c>
      <c r="C4" s="151" t="s">
        <v>536</v>
      </c>
      <c r="G4" s="14" t="s">
        <v>344</v>
      </c>
      <c r="H4" s="112" t="s">
        <v>345</v>
      </c>
    </row>
    <row r="5" spans="1:8" ht="15" thickTop="1" x14ac:dyDescent="0.35">
      <c r="A5" t="s">
        <v>535</v>
      </c>
      <c r="B5" s="150"/>
      <c r="C5" s="151" t="s">
        <v>537</v>
      </c>
      <c r="G5" t="str" cm="1">
        <f t="array" ref="G5:H35">TRANSPOSE(Chosen_share[#All])</f>
        <v>proper_name</v>
      </c>
      <c r="H5" s="54" t="str">
        <v>Trade Desk, Inc. Class A</v>
      </c>
    </row>
    <row r="6" spans="1:8" ht="15" thickBot="1" x14ac:dyDescent="0.4">
      <c r="C6" s="72" t="s">
        <v>273</v>
      </c>
      <c r="D6" s="73" t="s">
        <v>274</v>
      </c>
      <c r="E6" s="73" t="s">
        <v>335</v>
      </c>
      <c r="G6" t="str">
        <v>co_mkt_cap_usd</v>
      </c>
      <c r="H6" s="56">
        <v>30447.167359999999</v>
      </c>
    </row>
    <row r="7" spans="1:8" x14ac:dyDescent="0.35">
      <c r="A7" t="s">
        <v>343</v>
      </c>
      <c r="C7">
        <f>ROWS(Candidate_shares[#Data])</f>
        <v>1</v>
      </c>
      <c r="G7" t="str">
        <v>co_mkt_cap_financials_curr</v>
      </c>
      <c r="H7" s="56">
        <v>30447.167359999999</v>
      </c>
    </row>
    <row r="8" spans="1:8" x14ac:dyDescent="0.35">
      <c r="A8" t="s">
        <v>341</v>
      </c>
      <c r="B8" s="58" t="s">
        <v>193</v>
      </c>
      <c r="C8" s="54" t="str">
        <f>INDEX(_xlfn.XLOOKUP($B$8,Candidate_shares[#Headers], Candidate_shares[#Data]),1)</f>
        <v>Trade Desk, Inc. Class A</v>
      </c>
      <c r="D8" s="110"/>
      <c r="E8" s="54" t="str" cm="1">
        <f t="array" ref="E8">_xlfn.SWITCH($D8,,$C8,$D8)</f>
        <v>Trade Desk, Inc. Class A</v>
      </c>
      <c r="G8" t="str">
        <v>co_mkt_cap_trading_curr</v>
      </c>
      <c r="H8" s="56">
        <v>30447.167359999999</v>
      </c>
    </row>
    <row r="9" spans="1:8" x14ac:dyDescent="0.35">
      <c r="A9" t="s">
        <v>342</v>
      </c>
      <c r="B9" s="58" t="s">
        <v>193</v>
      </c>
      <c r="C9" s="54">
        <f>_xlfn.XMATCH($E$8,_xlfn.XLOOKUP($B$9,Candidate_shares[#Headers],Candidate_shares[#Data]))</f>
        <v>1</v>
      </c>
      <c r="G9" t="str">
        <v>financials_currency</v>
      </c>
      <c r="H9" s="56" t="str">
        <v>USD</v>
      </c>
    </row>
    <row r="10" spans="1:8" x14ac:dyDescent="0.35">
      <c r="A10" t="str">
        <f>"Choice of company by "&amp;$B$10</f>
        <v>Choice of company by ff_id</v>
      </c>
      <c r="B10" s="58" t="s">
        <v>358</v>
      </c>
      <c r="C10" s="54" t="str" cm="1">
        <f t="array" ref="C10">_xlfn.XLOOKUP($B10,Candidate_shares[#Headers],INDEX(Candidate_shares[#Data],$C$9,))</f>
        <v>P6FHDH-R</v>
      </c>
      <c r="D10" s="53"/>
      <c r="E10" s="54" t="str" cm="1">
        <f t="array" ref="E10">_xlfn.SWITCH($D10,,$C10,$D10)</f>
        <v>P6FHDH-R</v>
      </c>
      <c r="G10" t="str">
        <v>fin_curr_in_a_usd</v>
      </c>
      <c r="H10" s="56">
        <v>1</v>
      </c>
    </row>
    <row r="11" spans="1:8" x14ac:dyDescent="0.35">
      <c r="A11" t="s">
        <v>275</v>
      </c>
      <c r="B11" s="58" t="s">
        <v>380</v>
      </c>
      <c r="C11" s="54" t="str" cm="1">
        <f t="array" ref="C11">_xlfn.XLOOKUP($B11,Chosen_share[#Headers],Chosen_share[#Data])</f>
        <v>P6FHDH-R</v>
      </c>
      <c r="D11" s="53"/>
      <c r="E11" s="54" t="str" cm="1">
        <f t="array" ref="E11">_xlfn.SWITCH($D11,,$C11,$D11)</f>
        <v>P6FHDH-R</v>
      </c>
      <c r="G11" t="str">
        <v>trading_currency</v>
      </c>
      <c r="H11" s="56" t="str">
        <v>USD</v>
      </c>
    </row>
    <row r="12" spans="1:8" x14ac:dyDescent="0.35">
      <c r="G12" t="str">
        <v>trading_curr_in_a_usd</v>
      </c>
      <c r="H12" s="56">
        <v>1</v>
      </c>
    </row>
    <row r="13" spans="1:8" x14ac:dyDescent="0.35">
      <c r="A13" t="s">
        <v>224</v>
      </c>
      <c r="B13" s="58" t="s">
        <v>340</v>
      </c>
      <c r="C13" s="54" t="str" cm="1">
        <f t="array" ref="C13">_xlfn.XLOOKUP($B13,Chosen_share[#Headers],Chosen_share[#Data])</f>
        <v>USD</v>
      </c>
      <c r="G13" t="str">
        <v>fin_curr_in_a_trading_curr</v>
      </c>
      <c r="H13" s="56">
        <v>1</v>
      </c>
    </row>
    <row r="14" spans="1:8" x14ac:dyDescent="0.35">
      <c r="A14" t="s">
        <v>260</v>
      </c>
      <c r="B14" s="58" t="s">
        <v>315</v>
      </c>
      <c r="C14" s="54" t="str" cm="1">
        <f t="array" ref="C14">_xlfn.XLOOKUP($B14,Chosen_share[#Headers],Chosen_share[#Data])</f>
        <v>USD</v>
      </c>
      <c r="G14" t="str">
        <v>ff_is_adr</v>
      </c>
      <c r="H14" s="56">
        <v>0</v>
      </c>
    </row>
    <row r="15" spans="1:8" x14ac:dyDescent="0.35">
      <c r="A15" t="str">
        <f>share_currency&amp; " in a USD"</f>
        <v>USD in a USD</v>
      </c>
      <c r="B15" s="58" t="s">
        <v>361</v>
      </c>
      <c r="C15" s="54" cm="1">
        <f t="array" ref="C15">_xlfn.XLOOKUP($B15,Chosen_share[#Headers],Chosen_share[#Data])</f>
        <v>1</v>
      </c>
      <c r="G15" t="str">
        <v>ff_is_dually_listed</v>
      </c>
      <c r="H15" s="56">
        <v>0</v>
      </c>
    </row>
    <row r="16" spans="1:8" x14ac:dyDescent="0.35">
      <c r="A16" t="str">
        <f>$C$14&amp; " in a USD"</f>
        <v>USD in a USD</v>
      </c>
      <c r="B16" s="58" t="s">
        <v>360</v>
      </c>
      <c r="C16" s="54" cm="1">
        <f t="array" ref="C16">_xlfn.XLOOKUP($B16,Chosen_share[#Headers],Chosen_share[#Data])</f>
        <v>1</v>
      </c>
      <c r="G16" t="str">
        <v>ff_is_multi_share</v>
      </c>
      <c r="H16" s="56">
        <v>1</v>
      </c>
    </row>
    <row r="17" spans="1:8" x14ac:dyDescent="0.35">
      <c r="A17" t="str">
        <f>share_currency&amp;" in a "&amp;$C$14</f>
        <v>USD in a USD</v>
      </c>
      <c r="C17" s="56">
        <f>$C$15/$C$16</f>
        <v>1</v>
      </c>
      <c r="G17" t="str">
        <v>ff_share_type_secs</v>
      </c>
      <c r="H17" s="56" t="str">
        <v>Class A</v>
      </c>
    </row>
    <row r="18" spans="1:8" x14ac:dyDescent="0.35">
      <c r="A18" t="s">
        <v>261</v>
      </c>
      <c r="B18" s="58" t="s">
        <v>194</v>
      </c>
      <c r="C18" s="54" cm="1">
        <f t="array" ref="C18">_xlfn.XLOOKUP($B18,Chosen_share[#Headers],Chosen_share[#Data])</f>
        <v>67.959999999999994</v>
      </c>
      <c r="G18" t="str">
        <v>first_price_date</v>
      </c>
      <c r="H18" s="56">
        <v>42634</v>
      </c>
    </row>
    <row r="19" spans="1:8" x14ac:dyDescent="0.35">
      <c r="A19" t="str">
        <f>"Share price in financials currency ("&amp;$C$14&amp;")"</f>
        <v>Share price in financials currency (USD)</v>
      </c>
      <c r="C19" s="56">
        <f>$C$18/$C$17</f>
        <v>67.959999999999994</v>
      </c>
      <c r="G19" t="str">
        <v>fref_exchange_code</v>
      </c>
      <c r="H19" s="56" t="str">
        <v>USA</v>
      </c>
    </row>
    <row r="20" spans="1:8" x14ac:dyDescent="0.35">
      <c r="A20" t="s">
        <v>376</v>
      </c>
      <c r="B20" s="58" t="s">
        <v>350</v>
      </c>
      <c r="C20" s="54" cm="1">
        <f t="array" ref="C20">_xlfn.XLOOKUP($B20,Chosen_share[#Headers],Chosen_share[#Data])*1000000</f>
        <v>30447167360</v>
      </c>
      <c r="G20" t="str">
        <v>fref_security_type</v>
      </c>
      <c r="H20" s="56" t="str">
        <v>SHARE</v>
      </c>
    </row>
    <row r="21" spans="1:8" x14ac:dyDescent="0.35">
      <c r="A21" t="s">
        <v>377</v>
      </c>
      <c r="B21" s="58" t="s">
        <v>349</v>
      </c>
      <c r="C21" s="54" cm="1">
        <f t="array" ref="C21">_xlfn.XLOOKUP($B21,Chosen_share[#Headers],Chosen_share[#Data])*1000000</f>
        <v>30447167360</v>
      </c>
      <c r="G21" t="str">
        <v>fref_listing_exchange</v>
      </c>
      <c r="H21" s="56">
        <v>0</v>
      </c>
    </row>
    <row r="22" spans="1:8" x14ac:dyDescent="0.35">
      <c r="A22" t="s">
        <v>382</v>
      </c>
      <c r="C22" s="55">
        <f>$C$20/$C$18</f>
        <v>448016000.00000006</v>
      </c>
      <c r="G22" t="str">
        <v>ff_id</v>
      </c>
      <c r="H22" s="56" t="str">
        <v>P6FHDH-R</v>
      </c>
    </row>
    <row r="23" spans="1:8" x14ac:dyDescent="0.35">
      <c r="A23" t="s">
        <v>384</v>
      </c>
      <c r="C23" s="55">
        <f>'Income statement'!$V$35*1000000</f>
        <v>501924000</v>
      </c>
      <c r="G23" t="str">
        <v>fsym_primary_listing_id</v>
      </c>
      <c r="H23" s="56" t="str">
        <v>P6FHDH-R</v>
      </c>
    </row>
    <row r="24" spans="1:8" x14ac:dyDescent="0.35">
      <c r="A24" t="s">
        <v>383</v>
      </c>
      <c r="C24" s="54">
        <f>$C$23/$C$22</f>
        <v>1.1203260597835789</v>
      </c>
      <c r="G24" t="str">
        <v>fsym_security_id</v>
      </c>
      <c r="H24" s="56" t="str">
        <v>PQ7J0D-S</v>
      </c>
    </row>
    <row r="25" spans="1:8" x14ac:dyDescent="0.35">
      <c r="G25" t="str">
        <v>fsym_primary_equity_id</v>
      </c>
      <c r="H25" s="56" t="str">
        <v>PQ7J0D-S</v>
      </c>
    </row>
    <row r="26" spans="1:8" x14ac:dyDescent="0.35">
      <c r="G26" t="str">
        <v>fsym_regional_id</v>
      </c>
      <c r="H26" s="56" t="str">
        <v>P6FHDH-R</v>
      </c>
    </row>
    <row r="27" spans="1:8" x14ac:dyDescent="0.35">
      <c r="G27" t="str">
        <v>pricing_id</v>
      </c>
      <c r="H27" s="56" t="str">
        <v>P6FHDH-R</v>
      </c>
    </row>
    <row r="28" spans="1:8" x14ac:dyDescent="0.35">
      <c r="G28" t="str">
        <v>price</v>
      </c>
      <c r="H28" s="56">
        <v>67.959999999999994</v>
      </c>
    </row>
    <row r="29" spans="1:8" x14ac:dyDescent="0.35">
      <c r="G29" t="str">
        <v>factset_entity_id</v>
      </c>
      <c r="H29" s="56" t="str">
        <v>09MDTF-E</v>
      </c>
    </row>
    <row r="30" spans="1:8" x14ac:dyDescent="0.35">
      <c r="G30" t="str">
        <v>iso_country</v>
      </c>
      <c r="H30" s="56" t="str">
        <v>US</v>
      </c>
    </row>
    <row r="31" spans="1:8" x14ac:dyDescent="0.35">
      <c r="G31" t="str">
        <v>region</v>
      </c>
      <c r="H31" s="56" t="str">
        <v>AMER</v>
      </c>
    </row>
    <row r="32" spans="1:8" x14ac:dyDescent="0.35">
      <c r="G32" t="str">
        <v>ticker_region</v>
      </c>
      <c r="H32" s="56" t="str">
        <v>TTD-US</v>
      </c>
    </row>
    <row r="33" spans="7:8" x14ac:dyDescent="0.35">
      <c r="G33" t="str">
        <v>ticker_exchange</v>
      </c>
      <c r="H33" s="56">
        <v>0</v>
      </c>
    </row>
    <row r="34" spans="7:8" x14ac:dyDescent="0.35">
      <c r="G34" t="str">
        <v>l1_name</v>
      </c>
      <c r="H34" s="56" t="str">
        <v>Consumer Services</v>
      </c>
    </row>
    <row r="35" spans="7:8" x14ac:dyDescent="0.35">
      <c r="G35" t="str">
        <v>l2_name</v>
      </c>
      <c r="H35" s="56" t="str">
        <v>Media and Publishing Services</v>
      </c>
    </row>
  </sheetData>
  <dataValidations count="1">
    <dataValidation type="list" allowBlank="1" showInputMessage="1" showErrorMessage="1" sqref="D8" xr:uid="{BCF54E9C-C964-4BBE-8969-4FF1ED63F891}">
      <formula1>matching_names</formula1>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B379C-36A7-4C32-AD75-DBEAF80B533D}">
  <sheetPr codeName="Sheet2">
    <tabColor theme="9" tint="0.79998168889431442"/>
  </sheetPr>
  <dimension ref="A1:BL7"/>
  <sheetViews>
    <sheetView workbookViewId="0">
      <selection activeCell="A4" sqref="A4"/>
    </sheetView>
  </sheetViews>
  <sheetFormatPr defaultRowHeight="14.5" x14ac:dyDescent="0.35"/>
  <cols>
    <col min="1" max="1" width="20.26953125" bestFit="1" customWidth="1"/>
    <col min="2" max="2" width="17.08984375" bestFit="1" customWidth="1"/>
    <col min="3" max="3" width="26.7265625" bestFit="1" customWidth="1"/>
    <col min="4" max="4" width="24.26953125" style="2" bestFit="1" customWidth="1"/>
    <col min="5" max="5" width="19.81640625" bestFit="1" customWidth="1"/>
    <col min="6" max="6" width="17.81640625" style="3" bestFit="1" customWidth="1"/>
    <col min="7" max="7" width="17.26953125" bestFit="1" customWidth="1"/>
    <col min="8" max="8" width="21.54296875" bestFit="1" customWidth="1"/>
    <col min="9" max="9" width="25" style="3" bestFit="1" customWidth="1"/>
    <col min="10" max="10" width="10.1796875" style="3" bestFit="1" customWidth="1"/>
    <col min="11" max="11" width="18.26953125" style="3" bestFit="1" customWidth="1"/>
    <col min="12" max="12" width="17.453125" style="3" bestFit="1" customWidth="1"/>
    <col min="13" max="13" width="19" style="3" bestFit="1" customWidth="1"/>
    <col min="14" max="14" width="16.1796875" style="3" bestFit="1" customWidth="1"/>
    <col min="15" max="15" width="19.90625" style="3" bestFit="1" customWidth="1"/>
    <col min="16" max="16" width="18.08984375" style="3" bestFit="1" customWidth="1"/>
    <col min="17" max="17" width="21" style="3" bestFit="1" customWidth="1"/>
    <col min="18" max="18" width="9.453125" style="3" bestFit="1" customWidth="1"/>
    <col min="19" max="19" width="23.08984375" style="3" bestFit="1" customWidth="1"/>
    <col min="20" max="20" width="17.26953125" style="3" bestFit="1" customWidth="1"/>
    <col min="21" max="21" width="23.1796875" style="3" bestFit="1" customWidth="1"/>
    <col min="22" max="22" width="17.26953125" style="3" bestFit="1" customWidth="1"/>
    <col min="23" max="23" width="11.36328125" style="3" bestFit="1" customWidth="1"/>
    <col min="24" max="24" width="7.36328125" style="3" bestFit="1" customWidth="1"/>
    <col min="25" max="25" width="17.08984375" style="3" bestFit="1" customWidth="1"/>
    <col min="26" max="26" width="12.7265625" style="3" bestFit="1" customWidth="1"/>
    <col min="27" max="27" width="8.26953125" style="3" bestFit="1" customWidth="1"/>
    <col min="28" max="28" width="13.90625" style="3" bestFit="1" customWidth="1"/>
    <col min="29" max="29" width="16.81640625" style="3" bestFit="1" customWidth="1"/>
    <col min="30" max="30" width="16.453125" style="3" bestFit="1" customWidth="1"/>
    <col min="31" max="31" width="25.26953125" style="3" bestFit="1" customWidth="1"/>
    <col min="32" max="32" width="19.90625" style="3" bestFit="1" customWidth="1"/>
    <col min="33" max="33" width="21" style="3" bestFit="1" customWidth="1"/>
    <col min="34" max="34" width="13.90625" style="3" bestFit="1" customWidth="1"/>
    <col min="35" max="35" width="11.453125" style="3" bestFit="1" customWidth="1"/>
    <col min="36" max="36" width="23.1796875" style="3" bestFit="1" customWidth="1"/>
    <col min="37" max="37" width="23.08984375" style="3" bestFit="1" customWidth="1"/>
    <col min="38" max="39" width="17.26953125" style="3" bestFit="1" customWidth="1"/>
    <col min="40" max="40" width="17.08984375" style="3" customWidth="1"/>
    <col min="41" max="41" width="16.453125" style="3" bestFit="1" customWidth="1"/>
    <col min="42" max="42" width="25.26953125" style="3" bestFit="1" customWidth="1"/>
    <col min="43" max="43" width="19.90625" style="3" bestFit="1" customWidth="1"/>
    <col min="44" max="44" width="14.26953125" style="3" bestFit="1" customWidth="1"/>
    <col min="45" max="45" width="9.6328125" style="3" bestFit="1" customWidth="1"/>
    <col min="46" max="46" width="18.36328125" style="3" bestFit="1" customWidth="1"/>
    <col min="47" max="47" width="17.26953125" bestFit="1" customWidth="1"/>
    <col min="48" max="48" width="14.453125" bestFit="1" customWidth="1"/>
    <col min="49" max="49" width="22.36328125" bestFit="1" customWidth="1"/>
    <col min="50" max="51" width="10.36328125" bestFit="1" customWidth="1"/>
    <col min="52" max="52" width="10.6328125" bestFit="1" customWidth="1"/>
    <col min="53" max="53" width="13.1796875" bestFit="1" customWidth="1"/>
    <col min="54" max="54" width="8.7265625" bestFit="1" customWidth="1"/>
    <col min="55" max="56" width="17.81640625" bestFit="1" customWidth="1"/>
    <col min="57" max="57" width="24" bestFit="1" customWidth="1"/>
    <col min="58" max="58" width="23.81640625" bestFit="1" customWidth="1"/>
    <col min="59" max="59" width="20.26953125" bestFit="1" customWidth="1"/>
    <col min="60" max="60" width="7.90625" bestFit="1" customWidth="1"/>
    <col min="61" max="61" width="6.36328125" bestFit="1" customWidth="1"/>
    <col min="62" max="62" width="21.81640625" bestFit="1" customWidth="1"/>
    <col min="63" max="63" width="19.08984375" bestFit="1" customWidth="1"/>
    <col min="64" max="64" width="12.90625" bestFit="1" customWidth="1"/>
    <col min="65" max="65" width="15.453125" bestFit="1" customWidth="1"/>
    <col min="66" max="66" width="18.26953125" bestFit="1" customWidth="1"/>
    <col min="67" max="67" width="13.7265625" bestFit="1" customWidth="1"/>
    <col min="68" max="68" width="7.1796875" bestFit="1" customWidth="1"/>
    <col min="69" max="69" width="17.7265625" bestFit="1" customWidth="1"/>
    <col min="70" max="70" width="12.453125" bestFit="1" customWidth="1"/>
    <col min="71" max="72" width="14.1796875" bestFit="1" customWidth="1"/>
    <col min="73" max="73" width="10.453125" bestFit="1" customWidth="1"/>
    <col min="74" max="74" width="17.7265625" bestFit="1" customWidth="1"/>
    <col min="75" max="75" width="18.90625" bestFit="1" customWidth="1"/>
    <col min="76" max="76" width="18" bestFit="1" customWidth="1"/>
    <col min="77" max="77" width="19.90625" bestFit="1" customWidth="1"/>
    <col min="78" max="78" width="13.7265625" bestFit="1" customWidth="1"/>
  </cols>
  <sheetData>
    <row r="1" spans="1:64" x14ac:dyDescent="0.35">
      <c r="A1" t="s">
        <v>193</v>
      </c>
      <c r="B1" t="s">
        <v>348</v>
      </c>
      <c r="C1" t="s">
        <v>349</v>
      </c>
      <c r="D1" t="s">
        <v>350</v>
      </c>
      <c r="E1" t="s">
        <v>315</v>
      </c>
      <c r="F1" t="s">
        <v>360</v>
      </c>
      <c r="G1" t="s">
        <v>340</v>
      </c>
      <c r="H1" t="s">
        <v>361</v>
      </c>
      <c r="I1" t="s">
        <v>362</v>
      </c>
      <c r="J1" t="s">
        <v>351</v>
      </c>
      <c r="K1" t="s">
        <v>352</v>
      </c>
      <c r="L1" t="s">
        <v>353</v>
      </c>
      <c r="M1" t="s">
        <v>354</v>
      </c>
      <c r="N1" t="s">
        <v>355</v>
      </c>
      <c r="O1" t="s">
        <v>356</v>
      </c>
      <c r="P1" t="s">
        <v>357</v>
      </c>
      <c r="Q1" t="s">
        <v>198</v>
      </c>
      <c r="R1" t="s">
        <v>358</v>
      </c>
      <c r="S1" t="s">
        <v>203</v>
      </c>
      <c r="T1" t="s">
        <v>205</v>
      </c>
      <c r="U1" t="s">
        <v>202</v>
      </c>
      <c r="V1" t="s">
        <v>204</v>
      </c>
      <c r="W1" t="s">
        <v>380</v>
      </c>
      <c r="X1" t="s">
        <v>194</v>
      </c>
      <c r="Y1" t="s">
        <v>206</v>
      </c>
      <c r="Z1" t="s">
        <v>359</v>
      </c>
      <c r="AA1" t="s">
        <v>199</v>
      </c>
      <c r="AB1" t="s">
        <v>197</v>
      </c>
      <c r="AC1" t="s">
        <v>196</v>
      </c>
      <c r="AD1" t="s">
        <v>200</v>
      </c>
      <c r="AE1" t="s">
        <v>201</v>
      </c>
      <c r="AF1"/>
      <c r="AG1"/>
      <c r="AH1"/>
      <c r="AI1"/>
      <c r="AJ1"/>
      <c r="AK1"/>
      <c r="AL1"/>
      <c r="AM1"/>
      <c r="AN1"/>
      <c r="AO1"/>
      <c r="AP1"/>
      <c r="AQ1"/>
      <c r="AR1"/>
      <c r="AS1"/>
      <c r="AT1"/>
    </row>
    <row r="2" spans="1:64" x14ac:dyDescent="0.35">
      <c r="A2" t="s">
        <v>540</v>
      </c>
      <c r="B2">
        <v>30455.321948359997</v>
      </c>
      <c r="C2">
        <v>30455.321948359997</v>
      </c>
      <c r="D2">
        <v>30455.321948359997</v>
      </c>
      <c r="E2" t="s">
        <v>531</v>
      </c>
      <c r="F2">
        <v>1</v>
      </c>
      <c r="G2" t="s">
        <v>531</v>
      </c>
      <c r="H2">
        <v>1</v>
      </c>
      <c r="I2">
        <v>1</v>
      </c>
      <c r="J2">
        <v>0</v>
      </c>
      <c r="K2">
        <v>0</v>
      </c>
      <c r="L2">
        <v>1</v>
      </c>
      <c r="M2" t="s">
        <v>541</v>
      </c>
      <c r="N2" s="61">
        <v>42634</v>
      </c>
      <c r="O2" t="s">
        <v>532</v>
      </c>
      <c r="P2" t="s">
        <v>470</v>
      </c>
      <c r="Q2"/>
      <c r="R2" t="s">
        <v>542</v>
      </c>
      <c r="S2" t="s">
        <v>542</v>
      </c>
      <c r="T2" t="s">
        <v>543</v>
      </c>
      <c r="U2" t="s">
        <v>543</v>
      </c>
      <c r="V2" t="s">
        <v>542</v>
      </c>
      <c r="W2" t="s">
        <v>542</v>
      </c>
      <c r="X2">
        <v>67.959999999999994</v>
      </c>
      <c r="Y2" t="s">
        <v>544</v>
      </c>
      <c r="Z2" t="s">
        <v>533</v>
      </c>
      <c r="AA2" t="s">
        <v>534</v>
      </c>
      <c r="AB2" t="s">
        <v>545</v>
      </c>
      <c r="AC2"/>
      <c r="AD2" t="s">
        <v>546</v>
      </c>
      <c r="AE2" t="s">
        <v>547</v>
      </c>
      <c r="AF2"/>
      <c r="AG2"/>
      <c r="AH2"/>
      <c r="AI2"/>
      <c r="AJ2"/>
      <c r="AK2"/>
      <c r="AL2"/>
      <c r="AM2"/>
      <c r="AN2"/>
      <c r="AO2"/>
      <c r="AP2"/>
      <c r="AQ2"/>
      <c r="AR2"/>
      <c r="AS2"/>
      <c r="AT2"/>
    </row>
    <row r="7" spans="1:64" x14ac:dyDescent="0.35">
      <c r="BL7" t="str">
        <f>_xlfn.TEXTJOIN("', '",TRUE," ",_xlfn.UNIQUE(Candidate_shares[fsym_regional_id]), " ")</f>
        <v xml:space="preserve"> ', 'P6FHDH-R', ' </v>
      </c>
    </row>
  </sheetData>
  <phoneticPr fontId="7"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38C0F-C922-448F-A89D-C0AC35B1AB06}">
  <sheetPr codeName="Sheet16">
    <tabColor theme="9" tint="0.79998168889431442"/>
  </sheetPr>
  <dimension ref="A1:BL7"/>
  <sheetViews>
    <sheetView workbookViewId="0">
      <selection sqref="A1:AE2"/>
    </sheetView>
  </sheetViews>
  <sheetFormatPr defaultRowHeight="14.5" x14ac:dyDescent="0.35"/>
  <cols>
    <col min="1" max="1" width="20.26953125" bestFit="1" customWidth="1"/>
    <col min="2" max="2" width="17.08984375" bestFit="1" customWidth="1"/>
    <col min="3" max="3" width="26.7265625" bestFit="1" customWidth="1"/>
    <col min="4" max="4" width="24.26953125" style="2" bestFit="1" customWidth="1"/>
    <col min="5" max="5" width="19.81640625" bestFit="1" customWidth="1"/>
    <col min="6" max="6" width="17.81640625" style="3" bestFit="1" customWidth="1"/>
    <col min="7" max="7" width="17.26953125" bestFit="1" customWidth="1"/>
    <col min="8" max="8" width="21.54296875" bestFit="1" customWidth="1"/>
    <col min="9" max="9" width="25" style="3" bestFit="1" customWidth="1"/>
    <col min="10" max="10" width="10.1796875" style="3" bestFit="1" customWidth="1"/>
    <col min="11" max="11" width="18.26953125" style="3" bestFit="1" customWidth="1"/>
    <col min="12" max="12" width="17.453125" style="3" bestFit="1" customWidth="1"/>
    <col min="13" max="13" width="19" style="3" bestFit="1" customWidth="1"/>
    <col min="14" max="14" width="16.1796875" style="3" bestFit="1" customWidth="1"/>
    <col min="15" max="15" width="19.90625" style="3" bestFit="1" customWidth="1"/>
    <col min="16" max="16" width="18.08984375" style="3" bestFit="1" customWidth="1"/>
    <col min="17" max="17" width="21" style="3" bestFit="1" customWidth="1"/>
    <col min="18" max="18" width="9.453125" style="3" bestFit="1" customWidth="1"/>
    <col min="19" max="19" width="23.08984375" style="3" bestFit="1" customWidth="1"/>
    <col min="20" max="20" width="17.26953125" style="3" bestFit="1" customWidth="1"/>
    <col min="21" max="21" width="23.1796875" style="3" bestFit="1" customWidth="1"/>
    <col min="22" max="22" width="17.26953125" style="3" bestFit="1" customWidth="1"/>
    <col min="23" max="23" width="11.36328125" style="3" bestFit="1" customWidth="1"/>
    <col min="24" max="24" width="7.36328125" style="3" bestFit="1" customWidth="1"/>
    <col min="25" max="25" width="17.08984375" style="3" bestFit="1" customWidth="1"/>
    <col min="26" max="26" width="12.7265625" style="3" bestFit="1" customWidth="1"/>
    <col min="27" max="27" width="8.26953125" style="3" bestFit="1" customWidth="1"/>
    <col min="28" max="28" width="13.90625" style="3" bestFit="1" customWidth="1"/>
    <col min="29" max="29" width="16.81640625" style="3" bestFit="1" customWidth="1"/>
    <col min="30" max="30" width="16.453125" style="3" bestFit="1" customWidth="1"/>
    <col min="31" max="31" width="25.26953125" style="3" bestFit="1" customWidth="1"/>
    <col min="32" max="32" width="19.90625" style="3" bestFit="1" customWidth="1"/>
    <col min="33" max="33" width="21" style="3" bestFit="1" customWidth="1"/>
    <col min="34" max="34" width="13.90625" style="3" bestFit="1" customWidth="1"/>
    <col min="35" max="35" width="11.453125" style="3" bestFit="1" customWidth="1"/>
    <col min="36" max="36" width="23.1796875" style="3" bestFit="1" customWidth="1"/>
    <col min="37" max="37" width="23.08984375" style="3" bestFit="1" customWidth="1"/>
    <col min="38" max="39" width="17.26953125" style="3" bestFit="1" customWidth="1"/>
    <col min="40" max="40" width="17.08984375" style="3" customWidth="1"/>
    <col min="41" max="41" width="16.453125" style="3" bestFit="1" customWidth="1"/>
    <col min="42" max="42" width="25.26953125" style="3" bestFit="1" customWidth="1"/>
    <col min="43" max="43" width="19.90625" style="3" bestFit="1" customWidth="1"/>
    <col min="44" max="44" width="14.26953125" style="3" bestFit="1" customWidth="1"/>
    <col min="45" max="45" width="9.6328125" style="3" bestFit="1" customWidth="1"/>
    <col min="46" max="46" width="18.36328125" style="3" bestFit="1" customWidth="1"/>
    <col min="47" max="47" width="17.26953125" bestFit="1" customWidth="1"/>
    <col min="48" max="48" width="14.453125" bestFit="1" customWidth="1"/>
    <col min="49" max="49" width="22.36328125" bestFit="1" customWidth="1"/>
    <col min="50" max="51" width="10.36328125" bestFit="1" customWidth="1"/>
    <col min="52" max="52" width="10.6328125" bestFit="1" customWidth="1"/>
    <col min="53" max="53" width="13.1796875" bestFit="1" customWidth="1"/>
    <col min="54" max="54" width="8.7265625" bestFit="1" customWidth="1"/>
    <col min="55" max="56" width="17.81640625" bestFit="1" customWidth="1"/>
    <col min="57" max="57" width="24" bestFit="1" customWidth="1"/>
    <col min="58" max="58" width="23.81640625" bestFit="1" customWidth="1"/>
    <col min="59" max="59" width="20.26953125" bestFit="1" customWidth="1"/>
    <col min="60" max="60" width="7.90625" bestFit="1" customWidth="1"/>
    <col min="61" max="61" width="6.36328125" bestFit="1" customWidth="1"/>
    <col min="62" max="62" width="21.81640625" bestFit="1" customWidth="1"/>
    <col min="63" max="63" width="19.08984375" bestFit="1" customWidth="1"/>
    <col min="64" max="64" width="12.90625" bestFit="1" customWidth="1"/>
    <col min="65" max="65" width="15.453125" bestFit="1" customWidth="1"/>
    <col min="66" max="66" width="18.26953125" bestFit="1" customWidth="1"/>
    <col min="67" max="67" width="13.7265625" bestFit="1" customWidth="1"/>
    <col min="68" max="68" width="7.1796875" bestFit="1" customWidth="1"/>
    <col min="69" max="69" width="17.7265625" bestFit="1" customWidth="1"/>
    <col min="70" max="70" width="12.453125" bestFit="1" customWidth="1"/>
    <col min="71" max="72" width="14.1796875" bestFit="1" customWidth="1"/>
    <col min="73" max="73" width="10.453125" bestFit="1" customWidth="1"/>
    <col min="74" max="74" width="17.7265625" bestFit="1" customWidth="1"/>
    <col min="75" max="75" width="18.90625" bestFit="1" customWidth="1"/>
    <col min="76" max="76" width="18" bestFit="1" customWidth="1"/>
    <col min="77" max="77" width="19.90625" bestFit="1" customWidth="1"/>
    <col min="78" max="78" width="13.7265625" bestFit="1" customWidth="1"/>
  </cols>
  <sheetData>
    <row r="1" spans="1:64" x14ac:dyDescent="0.35">
      <c r="A1" t="s">
        <v>193</v>
      </c>
      <c r="B1" t="s">
        <v>348</v>
      </c>
      <c r="C1" t="s">
        <v>349</v>
      </c>
      <c r="D1" t="s">
        <v>350</v>
      </c>
      <c r="E1" t="s">
        <v>315</v>
      </c>
      <c r="F1" t="s">
        <v>360</v>
      </c>
      <c r="G1" t="s">
        <v>340</v>
      </c>
      <c r="H1" t="s">
        <v>361</v>
      </c>
      <c r="I1" t="s">
        <v>362</v>
      </c>
      <c r="J1" t="s">
        <v>351</v>
      </c>
      <c r="K1" t="s">
        <v>352</v>
      </c>
      <c r="L1" t="s">
        <v>353</v>
      </c>
      <c r="M1" t="s">
        <v>354</v>
      </c>
      <c r="N1" t="s">
        <v>355</v>
      </c>
      <c r="O1" t="s">
        <v>356</v>
      </c>
      <c r="P1" t="s">
        <v>357</v>
      </c>
      <c r="Q1" t="s">
        <v>198</v>
      </c>
      <c r="R1" t="s">
        <v>358</v>
      </c>
      <c r="S1" t="s">
        <v>203</v>
      </c>
      <c r="T1" t="s">
        <v>205</v>
      </c>
      <c r="U1" t="s">
        <v>202</v>
      </c>
      <c r="V1" t="s">
        <v>204</v>
      </c>
      <c r="W1" t="s">
        <v>380</v>
      </c>
      <c r="X1" t="s">
        <v>194</v>
      </c>
      <c r="Y1" t="s">
        <v>206</v>
      </c>
      <c r="Z1" t="s">
        <v>359</v>
      </c>
      <c r="AA1" t="s">
        <v>199</v>
      </c>
      <c r="AB1" t="s">
        <v>197</v>
      </c>
      <c r="AC1" t="s">
        <v>196</v>
      </c>
      <c r="AD1" t="s">
        <v>200</v>
      </c>
      <c r="AE1" t="s">
        <v>201</v>
      </c>
      <c r="AF1"/>
      <c r="AG1"/>
      <c r="AH1"/>
      <c r="AI1"/>
      <c r="AJ1"/>
      <c r="AK1"/>
      <c r="AL1"/>
      <c r="AM1"/>
      <c r="AN1"/>
      <c r="AO1"/>
      <c r="AP1"/>
      <c r="AQ1"/>
      <c r="AR1"/>
      <c r="AS1"/>
      <c r="AT1"/>
    </row>
    <row r="2" spans="1:64" x14ac:dyDescent="0.35">
      <c r="A2" t="s">
        <v>540</v>
      </c>
      <c r="B2">
        <v>30447.167359999999</v>
      </c>
      <c r="C2">
        <v>30447.167359999999</v>
      </c>
      <c r="D2">
        <v>30447.167359999999</v>
      </c>
      <c r="E2" t="s">
        <v>531</v>
      </c>
      <c r="F2">
        <v>1</v>
      </c>
      <c r="G2" t="s">
        <v>531</v>
      </c>
      <c r="H2">
        <v>1</v>
      </c>
      <c r="I2">
        <v>1</v>
      </c>
      <c r="J2">
        <v>0</v>
      </c>
      <c r="K2">
        <v>0</v>
      </c>
      <c r="L2">
        <v>1</v>
      </c>
      <c r="M2" t="s">
        <v>541</v>
      </c>
      <c r="N2" s="61">
        <v>42634</v>
      </c>
      <c r="O2" t="s">
        <v>532</v>
      </c>
      <c r="P2" t="s">
        <v>470</v>
      </c>
      <c r="Q2"/>
      <c r="R2" t="s">
        <v>542</v>
      </c>
      <c r="S2" t="s">
        <v>542</v>
      </c>
      <c r="T2" t="s">
        <v>543</v>
      </c>
      <c r="U2" t="s">
        <v>543</v>
      </c>
      <c r="V2" t="s">
        <v>542</v>
      </c>
      <c r="W2" t="s">
        <v>542</v>
      </c>
      <c r="X2">
        <v>67.959999999999994</v>
      </c>
      <c r="Y2" t="s">
        <v>544</v>
      </c>
      <c r="Z2" t="s">
        <v>533</v>
      </c>
      <c r="AA2" t="s">
        <v>534</v>
      </c>
      <c r="AB2" t="s">
        <v>545</v>
      </c>
      <c r="AC2"/>
      <c r="AD2" t="s">
        <v>546</v>
      </c>
      <c r="AE2" t="s">
        <v>547</v>
      </c>
      <c r="AF2"/>
      <c r="AG2"/>
      <c r="AH2"/>
      <c r="AI2"/>
      <c r="AJ2"/>
      <c r="AK2"/>
      <c r="AL2"/>
      <c r="AM2"/>
      <c r="AN2"/>
      <c r="AO2"/>
      <c r="AP2"/>
      <c r="AQ2"/>
      <c r="AR2"/>
      <c r="AS2"/>
      <c r="AT2"/>
    </row>
    <row r="7" spans="1:64" x14ac:dyDescent="0.35">
      <c r="BL7" t="str">
        <f>_xlfn.TEXTJOIN("', '",TRUE," ",_xlfn.UNIQUE(Chosen_share[fsym_regional_id]), " ")</f>
        <v xml:space="preserve"> ', 'P6FHDH-R', ' </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89790-8C29-4468-9581-C1244CF53F5F}">
  <sheetPr codeName="Sheet4">
    <tabColor theme="3" tint="0.749992370372631"/>
  </sheetPr>
  <dimension ref="A1:K76"/>
  <sheetViews>
    <sheetView showGridLines="0" zoomScale="85" zoomScaleNormal="85" workbookViewId="0">
      <selection activeCell="G31" sqref="G31"/>
    </sheetView>
  </sheetViews>
  <sheetFormatPr defaultRowHeight="14.5" x14ac:dyDescent="0.35"/>
  <cols>
    <col min="1" max="1" width="29" customWidth="1"/>
    <col min="2" max="2" width="19.6328125" customWidth="1"/>
    <col min="3" max="11" width="13.453125" customWidth="1"/>
  </cols>
  <sheetData>
    <row r="1" spans="1:8" ht="23.5" x14ac:dyDescent="0.55000000000000004">
      <c r="A1" s="5" t="str">
        <f>'Start Here'!$H$5</f>
        <v>Trade Desk, Inc. Class A</v>
      </c>
    </row>
    <row r="2" spans="1:8" ht="20" thickBot="1" x14ac:dyDescent="0.5">
      <c r="A2" s="12" t="str" cm="1">
        <f t="array" aca="1" ref="A2" ca="1">_xlfn.TEXTAFTER(CELL("filename"), "]")</f>
        <v>Raw daily returns</v>
      </c>
      <c r="C2" s="54"/>
      <c r="H2" s="56"/>
    </row>
    <row r="3" spans="1:8" ht="15" thickTop="1" x14ac:dyDescent="0.35"/>
    <row r="4" spans="1:8" x14ac:dyDescent="0.35">
      <c r="A4" s="1" t="s">
        <v>307</v>
      </c>
      <c r="B4" s="51">
        <f>MAX(_xlfn.ANCHORARRAY('Share price history'!$D$6))</f>
        <v>45821</v>
      </c>
      <c r="E4" s="1" t="str">
        <f>share_currency&amp; " in a "&amp;financials_currency</f>
        <v>USD in a USD</v>
      </c>
      <c r="G4" s="57">
        <f>'Start Here'!$C$17</f>
        <v>1</v>
      </c>
    </row>
    <row r="5" spans="1:8" x14ac:dyDescent="0.35">
      <c r="A5" s="1" t="s">
        <v>306</v>
      </c>
      <c r="B5" s="91">
        <f ca="1">Valuation!$W$47</f>
        <v>-0.28544262817925958</v>
      </c>
      <c r="E5" s="1" t="s">
        <v>378</v>
      </c>
      <c r="G5" s="70">
        <f>'Start Here'!C20</f>
        <v>30447167360</v>
      </c>
    </row>
    <row r="6" spans="1:8" x14ac:dyDescent="0.35">
      <c r="A6" s="1" t="s">
        <v>313</v>
      </c>
      <c r="B6" s="92">
        <f ca="1">Valuation!$C$29</f>
        <v>-0.44450186459804153</v>
      </c>
      <c r="E6" s="1" t="s">
        <v>379</v>
      </c>
      <c r="G6" s="70">
        <f>'Start Here'!C21</f>
        <v>30447167360</v>
      </c>
    </row>
    <row r="7" spans="1:8" x14ac:dyDescent="0.35">
      <c r="A7" s="1" t="str">
        <f>"Price in trading currency ("&amp;share_currency&amp;")"</f>
        <v>Price in trading currency (USD)</v>
      </c>
      <c r="B7" s="2">
        <f>'Start Here'!$C$18</f>
        <v>67.959999999999994</v>
      </c>
      <c r="C7" t="str">
        <f>share_currency</f>
        <v>USD</v>
      </c>
      <c r="E7" s="1" t="str">
        <f>"Net cash &amp; investments ("&amp;financials_currency&amp;"):"</f>
        <v>Net cash &amp; investments (USD):</v>
      </c>
      <c r="G7" s="119">
        <f>($G$13-$C$16)*1000000*$G$4</f>
        <v>1921489000</v>
      </c>
    </row>
    <row r="8" spans="1:8" x14ac:dyDescent="0.35">
      <c r="A8" s="1" t="str">
        <f>"Price in financials currency ("&amp;financials_currency&amp;")"</f>
        <v>Price in financials currency (USD)</v>
      </c>
      <c r="B8" s="2">
        <f>price_financials_currency</f>
        <v>67.959999999999994</v>
      </c>
      <c r="C8" t="str">
        <f>financials_currency</f>
        <v>USD</v>
      </c>
      <c r="E8" s="1" t="s">
        <v>215</v>
      </c>
      <c r="G8" s="3">
        <f>'Income statement'!$W$35</f>
        <v>501.92399999999998</v>
      </c>
    </row>
    <row r="9" spans="1:8" x14ac:dyDescent="0.35">
      <c r="D9" s="1"/>
      <c r="E9" s="54"/>
      <c r="F9" s="3"/>
    </row>
    <row r="10" spans="1:8" x14ac:dyDescent="0.35">
      <c r="A10" s="120" t="str">
        <f>"Financials are in "&amp;financials_currency&amp;" millions"</f>
        <v>Financials are in USD millions</v>
      </c>
    </row>
    <row r="12" spans="1:8" x14ac:dyDescent="0.35">
      <c r="A12" s="1" t="str">
        <f>"BALANCE SHEET ("&amp;TEXT('Balance sheet'!$V$7,"yyyy-mm-dd;@")&amp;")"</f>
        <v>BALANCE SHEET (2024-12-31)</v>
      </c>
    </row>
    <row r="13" spans="1:8" x14ac:dyDescent="0.35">
      <c r="A13" t="s">
        <v>216</v>
      </c>
      <c r="C13" s="45">
        <f>'Balance sheet'!$V$47</f>
        <v>2949.145</v>
      </c>
      <c r="D13" s="45"/>
      <c r="E13" t="s">
        <v>218</v>
      </c>
      <c r="G13" s="45">
        <f>'Balance sheet'!$V$11+'Balance sheet'!$V$28</f>
        <v>1921.489</v>
      </c>
    </row>
    <row r="14" spans="1:8" x14ac:dyDescent="0.35">
      <c r="A14" t="s">
        <v>220</v>
      </c>
      <c r="C14" s="45">
        <f>'Balance sheet'!$V$48</f>
        <v>0</v>
      </c>
      <c r="D14" s="45"/>
      <c r="E14" t="s">
        <v>119</v>
      </c>
      <c r="G14" s="45">
        <f>'Balance sheet'!$V$16+'Balance sheet'!$V$17+'Balance sheet'!$V$20</f>
        <v>3414.9689999999991</v>
      </c>
    </row>
    <row r="15" spans="1:8" x14ac:dyDescent="0.35">
      <c r="A15" t="s">
        <v>221</v>
      </c>
      <c r="C15" s="45">
        <f>'Balance sheet'!$V$49 + 'Balance sheet'!$V$50</f>
        <v>0</v>
      </c>
      <c r="D15" s="45"/>
      <c r="E15" t="s">
        <v>223</v>
      </c>
      <c r="G15" s="45">
        <f>'Balance sheet'!$V$24+'Balance sheet'!$V$25</f>
        <v>487.714</v>
      </c>
    </row>
    <row r="16" spans="1:8" x14ac:dyDescent="0.35">
      <c r="A16" t="s">
        <v>222</v>
      </c>
      <c r="C16" s="45">
        <f>'Balance sheet'!$V$35+'Balance sheet'!V41</f>
        <v>0</v>
      </c>
      <c r="D16" s="45"/>
      <c r="E16" t="s">
        <v>219</v>
      </c>
      <c r="G16" s="45">
        <f>'Balance sheet'!$V$31-SUM(Summary!$G$13:$G$15)</f>
        <v>287.77900000000136</v>
      </c>
    </row>
    <row r="17" spans="1:11" x14ac:dyDescent="0.35">
      <c r="A17" t="s">
        <v>166</v>
      </c>
      <c r="C17" s="45">
        <f>'Balance sheet'!$V$36+'Balance sheet'!$V$37</f>
        <v>2873.4650000000001</v>
      </c>
      <c r="D17" s="45"/>
      <c r="G17" s="45"/>
    </row>
    <row r="18" spans="1:11" x14ac:dyDescent="0.35">
      <c r="A18" t="s">
        <v>217</v>
      </c>
      <c r="C18" s="8">
        <f>'Balance sheet'!$V$44-Summary!$C$16-Summary!$C$17</f>
        <v>289.34099999999989</v>
      </c>
      <c r="D18" s="8"/>
      <c r="G18" s="45"/>
    </row>
    <row r="19" spans="1:11" ht="15" thickBot="1" x14ac:dyDescent="0.4">
      <c r="C19" s="94">
        <f>SUM(C13:C18)</f>
        <v>6111.9510000000009</v>
      </c>
      <c r="D19" s="60"/>
      <c r="G19" s="94">
        <f>SUM(G13:G18)</f>
        <v>6111.951</v>
      </c>
    </row>
    <row r="20" spans="1:11" ht="15" thickTop="1" x14ac:dyDescent="0.35"/>
    <row r="22" spans="1:11" s="1" customFormat="1" x14ac:dyDescent="0.35">
      <c r="A22" s="1" t="s">
        <v>229</v>
      </c>
      <c r="B22" s="4">
        <f>'Income statement'!R$6</f>
        <v>44196</v>
      </c>
      <c r="C22" s="4">
        <f>'Income statement'!S$6</f>
        <v>44561</v>
      </c>
      <c r="D22" s="4">
        <f>'Income statement'!T$6</f>
        <v>44926</v>
      </c>
      <c r="E22" s="4">
        <f>'Income statement'!U$6</f>
        <v>45291</v>
      </c>
      <c r="F22" s="4">
        <f>'Income statement'!V$6</f>
        <v>45657</v>
      </c>
      <c r="G22" s="4">
        <f>'Income statement'!W$6</f>
        <v>46022</v>
      </c>
      <c r="H22" s="4">
        <f>'Income statement'!X$6</f>
        <v>46022</v>
      </c>
      <c r="I22" s="4">
        <f>'Income statement'!Y$6</f>
        <v>46022</v>
      </c>
      <c r="J22" s="4">
        <f>'Income statement'!Z$6</f>
        <v>46022</v>
      </c>
      <c r="K22" s="4">
        <f>'Income statement'!AA$6</f>
        <v>46022</v>
      </c>
    </row>
    <row r="23" spans="1:11" x14ac:dyDescent="0.35">
      <c r="A23" t="s">
        <v>53</v>
      </c>
      <c r="B23" s="45">
        <f>'Income statement'!R$7</f>
        <v>836.03300000000002</v>
      </c>
      <c r="C23" s="45">
        <f>'Income statement'!S$7</f>
        <v>1196.4670000000001</v>
      </c>
      <c r="D23" s="45">
        <f>'Income statement'!T$7</f>
        <v>1577.7950000000001</v>
      </c>
      <c r="E23" s="45">
        <f>'Income statement'!U$7</f>
        <v>1946.12</v>
      </c>
      <c r="F23" s="45">
        <f>'Income statement'!V$7</f>
        <v>2444.8310000000001</v>
      </c>
      <c r="G23" s="45">
        <f>'Income statement'!W$7</f>
        <v>3160.0341591808092</v>
      </c>
      <c r="H23" s="45">
        <f>'Income statement'!X$7</f>
        <v>3815.4041109591085</v>
      </c>
      <c r="I23" s="45">
        <f>'Income statement'!Y$7</f>
        <v>4439.9730061008049</v>
      </c>
      <c r="J23" s="45">
        <f>'Income statement'!Z$7</f>
        <v>4972.769766832902</v>
      </c>
      <c r="K23" s="45">
        <f>'Income statement'!AA$7</f>
        <v>5569.5021388528503</v>
      </c>
    </row>
    <row r="24" spans="1:11" x14ac:dyDescent="0.35">
      <c r="A24" t="s">
        <v>230</v>
      </c>
      <c r="B24" s="13">
        <f>'Income statement'!R$46</f>
        <v>0.17249079880818102</v>
      </c>
      <c r="C24" s="13">
        <f>'Income statement'!S$46</f>
        <v>0.10432130597835125</v>
      </c>
      <c r="D24" s="13">
        <f>'Income statement'!T$46</f>
        <v>7.203343907161576E-2</v>
      </c>
      <c r="E24" s="13">
        <f>'Income statement'!U$46</f>
        <v>0.10301523030440055</v>
      </c>
      <c r="F24" s="13">
        <f>'Income statement'!V$46</f>
        <v>0.17472250638183168</v>
      </c>
      <c r="G24" s="13">
        <f>'Income statement'!W$46</f>
        <v>6.6209653176943162E-2</v>
      </c>
      <c r="H24" s="13">
        <f>'Income statement'!X$46</f>
        <v>6.6209653176943162E-2</v>
      </c>
      <c r="I24" s="13">
        <f>'Income statement'!Y$46</f>
        <v>6.6209653176943162E-2</v>
      </c>
      <c r="J24" s="13">
        <f>'Income statement'!Z$46</f>
        <v>6.6209653176943162E-2</v>
      </c>
      <c r="K24" s="13">
        <f>'Income statement'!AA$46</f>
        <v>6.6209653176943162E-2</v>
      </c>
    </row>
    <row r="25" spans="1:11" x14ac:dyDescent="0.35">
      <c r="A25" t="s">
        <v>231</v>
      </c>
      <c r="B25" s="13">
        <f>'Income statement'!R$50</f>
        <v>-0.68389123228841653</v>
      </c>
      <c r="C25" s="13">
        <f>'Income statement'!S$50</f>
        <v>-0.12886361401553639</v>
      </c>
      <c r="D25" s="13">
        <f>'Income statement'!T$50</f>
        <v>0.58086676611446963</v>
      </c>
      <c r="E25" s="13">
        <f>'Income statement'!U$50</f>
        <v>0.33230097576447326</v>
      </c>
      <c r="F25" s="13">
        <f>'Income statement'!V$50</f>
        <v>0.225163709190975</v>
      </c>
      <c r="G25" s="13">
        <f>'Income statement'!W$50</f>
        <v>0.225163709190975</v>
      </c>
      <c r="H25" s="13">
        <f>'Income statement'!X$50</f>
        <v>0.225163709190975</v>
      </c>
      <c r="I25" s="13">
        <f>'Income statement'!Y$50</f>
        <v>0.225163709190975</v>
      </c>
      <c r="J25" s="13">
        <f>'Income statement'!Z$50</f>
        <v>0.225163709190975</v>
      </c>
      <c r="K25" s="13">
        <f>'Income statement'!AA$50</f>
        <v>0.225163709190975</v>
      </c>
    </row>
    <row r="26" spans="1:11" x14ac:dyDescent="0.35">
      <c r="A26" t="s">
        <v>95</v>
      </c>
      <c r="B26" s="45">
        <f>'Income statement'!R$28</f>
        <v>242.31700000000001</v>
      </c>
      <c r="C26" s="45">
        <f>'Income statement'!S$28</f>
        <v>137.762</v>
      </c>
      <c r="D26" s="45">
        <f>'Income statement'!T$28</f>
        <v>53.385000000000005</v>
      </c>
      <c r="E26" s="45">
        <f>'Income statement'!U$28</f>
        <v>178.94</v>
      </c>
      <c r="F26" s="45">
        <f>'Income statement'!V$28</f>
        <v>393.07600000000002</v>
      </c>
      <c r="G26" s="45">
        <f>'Income statement'!W$28</f>
        <v>236.217370894661</v>
      </c>
      <c r="H26" s="45">
        <f ca="1">'Income statement'!X$28</f>
        <v>259.58007425479167</v>
      </c>
      <c r="I26" s="45">
        <f ca="1">'Income statement'!Y$28</f>
        <v>289.80612560784931</v>
      </c>
      <c r="J26" s="45">
        <f ca="1">'Income statement'!Z$28</f>
        <v>316.28525882661188</v>
      </c>
      <c r="K26" s="45">
        <f ca="1">'Income statement'!AA$28</f>
        <v>347.95380967814788</v>
      </c>
    </row>
    <row r="27" spans="1:11" x14ac:dyDescent="0.35">
      <c r="A27" t="s">
        <v>165</v>
      </c>
      <c r="B27" s="45">
        <f>'Cash flow statement'!R$55</f>
        <v>310</v>
      </c>
      <c r="C27" s="45">
        <f>'Cash flow statement'!S$55</f>
        <v>486.29400000000004</v>
      </c>
      <c r="D27" s="45">
        <f>'Cash flow statement'!T$55</f>
        <v>551</v>
      </c>
      <c r="E27" s="45">
        <f>'Cash flow statement'!U$55</f>
        <v>665.89800000000002</v>
      </c>
      <c r="F27" s="45">
        <f>'Cash flow statement'!V$55</f>
        <v>841.67499999999995</v>
      </c>
      <c r="G27" s="45">
        <f ca="1">'Cash flow statement'!W$55</f>
        <v>-294.04631041338968</v>
      </c>
      <c r="H27" s="45">
        <f ca="1">'Cash flow statement'!X$55</f>
        <v>-65.079013926248024</v>
      </c>
      <c r="I27" s="45">
        <f ca="1">'Cash flow statement'!Y$55</f>
        <v>-36.751021980233702</v>
      </c>
      <c r="J27" s="45">
        <f ca="1">'Cash flow statement'!Z$55</f>
        <v>13.209091558592945</v>
      </c>
      <c r="K27" s="45">
        <f ca="1">'Cash flow statement'!AA$55</f>
        <v>19.138383238204483</v>
      </c>
    </row>
    <row r="28" spans="1:11" x14ac:dyDescent="0.35">
      <c r="A28" t="s">
        <v>177</v>
      </c>
      <c r="B28" s="64">
        <f>'Cash flow statement'!R$59</f>
        <v>0.31506322118863722</v>
      </c>
      <c r="C28" s="64">
        <f>'Cash flow statement'!S$59</f>
        <v>0.48755983240657719</v>
      </c>
      <c r="D28" s="64">
        <f>'Cash flow statement'!T$59</f>
        <v>0.40186145855450173</v>
      </c>
      <c r="E28" s="64">
        <f>'Cash flow statement'!U$59</f>
        <v>0.37192580621955479</v>
      </c>
      <c r="F28" s="64">
        <f>'Cash flow statement'!V$59</f>
        <v>0.38909693553460328</v>
      </c>
      <c r="G28" s="64">
        <f ca="1">'Cash flow statement'!W$59</f>
        <v>1.2598557007586232E-2</v>
      </c>
      <c r="H28" s="64">
        <f ca="1">'Cash flow statement'!X$59</f>
        <v>2.9592436798846142E-2</v>
      </c>
      <c r="I28" s="64">
        <f ca="1">'Cash flow statement'!Y$59</f>
        <v>2.9925882587489842E-2</v>
      </c>
      <c r="J28" s="64">
        <f ca="1">'Cash flow statement'!Z$59</f>
        <v>3.1754263898713948E-2</v>
      </c>
      <c r="K28" s="64">
        <f ca="1">'Cash flow statement'!AA$59</f>
        <v>3.253426192803064E-2</v>
      </c>
    </row>
    <row r="29" spans="1:11" x14ac:dyDescent="0.35">
      <c r="A29" t="s">
        <v>233</v>
      </c>
      <c r="B29" s="45">
        <f>'Balance sheet'!R$62</f>
        <v>1001.64</v>
      </c>
      <c r="C29" s="45">
        <f>'Balance sheet'!S$62</f>
        <v>1512.972</v>
      </c>
      <c r="D29" s="45">
        <f>'Balance sheet'!T$62</f>
        <v>2096.7950000000001</v>
      </c>
      <c r="E29" s="45">
        <f>'Balance sheet'!U$62</f>
        <v>2147.3180000000002</v>
      </c>
      <c r="F29" s="45">
        <f>'Balance sheet'!V$62</f>
        <v>2934.5239999999999</v>
      </c>
      <c r="G29" s="45">
        <f ca="1">'Balance sheet'!W$62</f>
        <v>3185.3623708946611</v>
      </c>
      <c r="H29" s="45">
        <f ca="1">'Balance sheet'!X$62</f>
        <v>3444.9424451494529</v>
      </c>
      <c r="I29" s="45">
        <f ca="1">'Balance sheet'!Y$62</f>
        <v>3734.7485707573023</v>
      </c>
      <c r="J29" s="45">
        <f ca="1">'Balance sheet'!Z$62</f>
        <v>4051.0338295839142</v>
      </c>
      <c r="K29" s="45">
        <f ca="1">'Balance sheet'!AA$62</f>
        <v>4398.9876392620617</v>
      </c>
    </row>
    <row r="30" spans="1:11" x14ac:dyDescent="0.35">
      <c r="A30" t="s">
        <v>98</v>
      </c>
      <c r="B30" s="65">
        <f>'Income statement'!R84</f>
        <v>0.50068599293344629</v>
      </c>
      <c r="C30" s="65">
        <f>'Income statement'!S84</f>
        <v>0.27875194755265981</v>
      </c>
      <c r="D30" s="65">
        <f>'Income statement'!T84</f>
        <v>0.10693414391090324</v>
      </c>
      <c r="E30" s="65">
        <f>'Income statement'!U84</f>
        <v>0.35784171093692974</v>
      </c>
      <c r="F30" s="65">
        <f>'Income statement'!V84</f>
        <v>0.78449984332994716</v>
      </c>
      <c r="G30" s="65">
        <f>'Income statement'!W84</f>
        <v>0.47062378147819395</v>
      </c>
      <c r="H30" s="65">
        <f ca="1">'Income statement'!X84</f>
        <v>0.51717007804924986</v>
      </c>
      <c r="I30" s="65">
        <f ca="1">'Income statement'!Y84</f>
        <v>0.5773904527535032</v>
      </c>
      <c r="J30" s="65">
        <f ca="1">'Income statement'!Z84</f>
        <v>0.63014571693445998</v>
      </c>
      <c r="K30" s="65">
        <f ca="1">'Income statement'!AA84</f>
        <v>0.6932400317142593</v>
      </c>
    </row>
    <row r="31" spans="1:11" x14ac:dyDescent="0.35">
      <c r="A31" t="s">
        <v>415</v>
      </c>
      <c r="B31" s="65">
        <f>'Income statement'!R86</f>
        <v>0.54425532574333113</v>
      </c>
      <c r="C31" s="65">
        <f>'Income statement'!S86</f>
        <v>1.1803671516157102</v>
      </c>
      <c r="D31" s="65">
        <f>'Income statement'!T86</f>
        <v>1.2700595413960429</v>
      </c>
      <c r="E31" s="65">
        <f>'Income statement'!U86</f>
        <v>1.4474696207505797</v>
      </c>
      <c r="F31" s="65">
        <f>'Income statement'!V86</f>
        <v>1.8985541449706913</v>
      </c>
      <c r="G31" s="65">
        <f ca="1">'Income statement'!W86</f>
        <v>7.9318523322971707E-2</v>
      </c>
      <c r="H31" s="65">
        <f ca="1">'Income statement'!X86</f>
        <v>0.22494860778846035</v>
      </c>
      <c r="I31" s="65">
        <f ca="1">'Income statement'!Y86</f>
        <v>0.26472157313098599</v>
      </c>
      <c r="J31" s="65">
        <f ca="1">'Income statement'!Z86</f>
        <v>0.3146026957937022</v>
      </c>
      <c r="K31" s="65">
        <f ca="1">'Income statement'!AA86</f>
        <v>0.36101011586249215</v>
      </c>
    </row>
    <row r="32" spans="1:11" x14ac:dyDescent="0.35">
      <c r="A32" t="s">
        <v>100</v>
      </c>
      <c r="B32" s="65">
        <f>'Income statement'!R87</f>
        <v>0</v>
      </c>
      <c r="C32" s="65">
        <f>'Income statement'!S87</f>
        <v>0</v>
      </c>
      <c r="D32" s="65">
        <f>'Income statement'!T87</f>
        <v>0</v>
      </c>
      <c r="E32" s="65">
        <f>'Income statement'!U87</f>
        <v>0</v>
      </c>
      <c r="F32" s="65">
        <f>'Income statement'!V87</f>
        <v>0</v>
      </c>
      <c r="G32" s="65">
        <f ca="1">'Income statement'!W87</f>
        <v>0</v>
      </c>
      <c r="H32" s="65">
        <f ca="1">'Income statement'!X87</f>
        <v>0</v>
      </c>
      <c r="I32" s="65">
        <f ca="1">'Income statement'!Y87</f>
        <v>0</v>
      </c>
      <c r="J32" s="65">
        <f ca="1">'Income statement'!Z87</f>
        <v>0</v>
      </c>
      <c r="K32" s="65">
        <f ca="1">'Income statement'!AA87</f>
        <v>0</v>
      </c>
    </row>
    <row r="33" spans="1:11" x14ac:dyDescent="0.35">
      <c r="A33" t="s">
        <v>234</v>
      </c>
      <c r="B33" s="65">
        <f>'Income statement'!R89</f>
        <v>2.044663999346779</v>
      </c>
      <c r="C33" s="65">
        <f>'Income statement'!S89</f>
        <v>3.0348056324467443</v>
      </c>
      <c r="D33" s="65">
        <f>'Income statement'!T89</f>
        <v>4.1942191328699305</v>
      </c>
      <c r="E33" s="65">
        <f>'Income statement'!U89</f>
        <v>4.2930733213110432</v>
      </c>
      <c r="F33" s="65">
        <f>'Income statement'!V89</f>
        <v>5.8465504737769063</v>
      </c>
      <c r="G33" s="65">
        <f ca="1">'Income statement'!W89</f>
        <v>6.3463041633686794</v>
      </c>
      <c r="H33" s="65">
        <f ca="1">'Income statement'!X89</f>
        <v>6.8634742414179302</v>
      </c>
      <c r="I33" s="65">
        <f ca="1">'Income statement'!Y89</f>
        <v>7.4408646941714336</v>
      </c>
      <c r="J33" s="65">
        <f ca="1">'Income statement'!Z89</f>
        <v>8.0710104111058936</v>
      </c>
      <c r="K33" s="65">
        <f ca="1">'Income statement'!AA89</f>
        <v>8.7642504428201526</v>
      </c>
    </row>
    <row r="34" spans="1:11" x14ac:dyDescent="0.35">
      <c r="A34" t="s">
        <v>252</v>
      </c>
      <c r="B34" s="65">
        <f>'Income statement'!R90</f>
        <v>5.621060259655426</v>
      </c>
      <c r="C34" s="65">
        <f>'Income statement'!S90</f>
        <v>7.1756328479159146</v>
      </c>
      <c r="D34" s="65">
        <f>'Income statement'!T90</f>
        <v>8.7626724008601293</v>
      </c>
      <c r="E34" s="65">
        <f>'Income statement'!U90</f>
        <v>9.7738163308555688</v>
      </c>
      <c r="F34" s="65">
        <f>'Income statement'!V90</f>
        <v>12.177044731871758</v>
      </c>
      <c r="G34" s="65">
        <f ca="1">'Income statement'!W90</f>
        <v>6.9227679307916343</v>
      </c>
      <c r="H34" s="65">
        <f ca="1">'Income statement'!X90</f>
        <v>7.4399380088408851</v>
      </c>
      <c r="I34" s="65">
        <f ca="1">'Income statement'!Y90</f>
        <v>8.0173284615943885</v>
      </c>
      <c r="J34" s="65">
        <f ca="1">'Income statement'!Z90</f>
        <v>8.6474741785288494</v>
      </c>
      <c r="K34" s="65">
        <f ca="1">'Income statement'!AA90</f>
        <v>9.3407142102431067</v>
      </c>
    </row>
    <row r="35" spans="1:11" x14ac:dyDescent="0.35">
      <c r="A35" t="s">
        <v>259</v>
      </c>
      <c r="B35" s="66">
        <f>'Income statement'!R97</f>
        <v>0.30193853869756865</v>
      </c>
      <c r="C35" s="66">
        <f>'Income statement'!S97</f>
        <v>0.10956918999829794</v>
      </c>
      <c r="D35" s="66">
        <f>'Income statement'!T97</f>
        <v>2.9578086341860849E-2</v>
      </c>
      <c r="E35" s="66">
        <f>'Income statement'!U97</f>
        <v>8.4323862253431983E-2</v>
      </c>
      <c r="F35" s="66">
        <f>'Income statement'!V97</f>
        <v>0.15469823737140981</v>
      </c>
      <c r="G35" s="66">
        <f ca="1">'Income statement'!W97</f>
        <v>7.7196652545079389E-2</v>
      </c>
      <c r="H35" s="66">
        <f ca="1">'Income statement'!X97</f>
        <v>7.8301098201897387E-2</v>
      </c>
      <c r="I35" s="66">
        <f ca="1">'Income statement'!Y97</f>
        <v>8.0729414390056001E-2</v>
      </c>
      <c r="J35" s="66">
        <f ca="1">'Income statement'!Z97</f>
        <v>8.1246878621408808E-2</v>
      </c>
      <c r="K35" s="66">
        <f ca="1">'Income statement'!AA97</f>
        <v>8.235572204425845E-2</v>
      </c>
    </row>
    <row r="36" spans="1:11" x14ac:dyDescent="0.35">
      <c r="A36" t="s">
        <v>257</v>
      </c>
      <c r="B36" s="66">
        <f>'Income statement'!R98</f>
        <v>0.6504657874140759</v>
      </c>
      <c r="C36" s="66">
        <f>'Income statement'!S98</f>
        <v>0.29426977260744125</v>
      </c>
      <c r="D36" s="66">
        <f>'Income statement'!T98</f>
        <v>7.7001436318417923E-2</v>
      </c>
      <c r="E36" s="66">
        <f>'Income statement'!U98</f>
        <v>0.18429376296391839</v>
      </c>
      <c r="F36" s="66">
        <f>'Income statement'!V98</f>
        <v>0.36540833405850087</v>
      </c>
      <c r="G36" s="66">
        <f ca="1">'Income statement'!W98</f>
        <v>0.12539949426157743</v>
      </c>
      <c r="H36" s="66">
        <f ca="1">'Income statement'!X98</f>
        <v>0.11378380133175728</v>
      </c>
      <c r="I36" s="66">
        <f ca="1">'Income statement'!Y98</f>
        <v>0.11133616269319005</v>
      </c>
      <c r="J36" s="66">
        <f ca="1">'Income statement'!Z98</f>
        <v>0.10806712602597067</v>
      </c>
      <c r="K36" s="66">
        <f ca="1">'Income statement'!AA98</f>
        <v>0.10674829707601091</v>
      </c>
    </row>
    <row r="37" spans="1:11" x14ac:dyDescent="0.35">
      <c r="A37" t="s">
        <v>235</v>
      </c>
      <c r="B37" s="66">
        <f>'Income statement'!R100</f>
        <v>0.10811916635842447</v>
      </c>
      <c r="C37" s="66">
        <f>'Income statement'!S100</f>
        <v>4.3519926204216242E-2</v>
      </c>
      <c r="D37" s="66">
        <f>'Income statement'!T100</f>
        <v>1.3416655577223428E-2</v>
      </c>
      <c r="E37" s="66">
        <f>'Income statement'!U100</f>
        <v>3.8608897307539698E-2</v>
      </c>
      <c r="F37" s="66">
        <f>'Income statement'!V100</f>
        <v>7.1464218711678365E-2</v>
      </c>
      <c r="G37" s="66">
        <f ca="1">'Income statement'!W100</f>
        <v>4.9280460472596842E-2</v>
      </c>
      <c r="H37" s="66">
        <f ca="1">'Income statement'!X100</f>
        <v>7.2015688439623096E-2</v>
      </c>
      <c r="I37" s="66">
        <f ca="1">'Income statement'!Y100</f>
        <v>7.470796390265555E-2</v>
      </c>
      <c r="J37" s="66">
        <f ca="1">'Income statement'!Z100</f>
        <v>7.5625944158172156E-2</v>
      </c>
      <c r="K37" s="66">
        <f ca="1">'Income statement'!AA100</f>
        <v>7.7077248328905945E-2</v>
      </c>
    </row>
    <row r="38" spans="1:11" x14ac:dyDescent="0.35">
      <c r="A38" t="s">
        <v>474</v>
      </c>
      <c r="B38" s="139">
        <f>'Income statement'!R35</f>
        <v>489.88</v>
      </c>
      <c r="C38" s="139">
        <f>'Income statement'!S35</f>
        <v>498.54</v>
      </c>
      <c r="D38" s="139">
        <f>'Income statement'!T35</f>
        <v>499.92500000000001</v>
      </c>
      <c r="E38" s="139">
        <f>'Income statement'!U35</f>
        <v>500.18200000000002</v>
      </c>
      <c r="F38" s="139">
        <f>'Income statement'!V35</f>
        <v>501.92399999999998</v>
      </c>
      <c r="G38" s="139">
        <f>'Income statement'!W35</f>
        <v>501.92399999999998</v>
      </c>
      <c r="H38" s="139">
        <f>'Income statement'!X35</f>
        <v>501.92399999999998</v>
      </c>
      <c r="I38" s="139">
        <f>'Income statement'!Y35</f>
        <v>501.92399999999998</v>
      </c>
      <c r="J38" s="139">
        <f>'Income statement'!Z35</f>
        <v>501.92399999999998</v>
      </c>
      <c r="K38" s="139">
        <f>'Income statement'!AA35</f>
        <v>501.92399999999998</v>
      </c>
    </row>
    <row r="41" spans="1:11" s="1" customFormat="1" x14ac:dyDescent="0.35">
      <c r="A41" s="1" t="s">
        <v>237</v>
      </c>
      <c r="B41" s="99">
        <v>-10</v>
      </c>
      <c r="C41" s="99">
        <v>-5</v>
      </c>
      <c r="D41" s="99">
        <v>-3</v>
      </c>
      <c r="E41" s="99">
        <v>-1</v>
      </c>
      <c r="F41" s="99">
        <v>4</v>
      </c>
    </row>
    <row r="42" spans="1:11" s="80" customFormat="1" x14ac:dyDescent="0.35">
      <c r="A42" s="80" t="s">
        <v>334</v>
      </c>
      <c r="B42" s="100"/>
      <c r="C42" s="100"/>
      <c r="D42" s="100"/>
      <c r="E42" s="100"/>
      <c r="F42" s="100"/>
    </row>
    <row r="43" spans="1:11" x14ac:dyDescent="0.35">
      <c r="A43" t="s">
        <v>53</v>
      </c>
      <c r="B43" s="13">
        <f ca="1">LOGEST(OFFSET('Income statement'!$V$7,,,1,B$41+SIGN(B$41)))-1</f>
        <v>0.4489249591440625</v>
      </c>
      <c r="C43" s="13">
        <f ca="1">LOGEST(OFFSET('Income statement'!$V$7,,,1,C$41+SIGN(C$41)))-1</f>
        <v>0.30625981460676877</v>
      </c>
      <c r="D43" s="13">
        <f ca="1">LOGEST(OFFSET('Income statement'!$V$7,,,1,D$41+SIGN(D$41)))-1</f>
        <v>0.26536652097396352</v>
      </c>
      <c r="E43" s="13">
        <f ca="1">LOGEST(OFFSET('Income statement'!$V$7,,,1,E$41+SIGN(E$41)))-1</f>
        <v>0.25625912071198109</v>
      </c>
      <c r="F43" s="13">
        <f ca="1">LOGEST(OFFSET('Income statement'!$V$7,,,1,F$41+SIGN(F$41)))-1</f>
        <v>0.19244609852386474</v>
      </c>
    </row>
    <row r="44" spans="1:11" x14ac:dyDescent="0.35">
      <c r="A44" t="s">
        <v>112</v>
      </c>
      <c r="B44" s="13">
        <f ca="1">LOGEST(OFFSET('Income statement'!$V$15,,,1,B$41+SIGN(B$41)))-1</f>
        <v>0.46105410069100627</v>
      </c>
      <c r="C44" s="13">
        <f ca="1">LOGEST(OFFSET('Income statement'!$V$15,,,1,C$41+SIGN(C$41)))-1</f>
        <v>0.24178772500451062</v>
      </c>
      <c r="D44" s="13">
        <f ca="1">LOGEST(OFFSET('Income statement'!$V$15,,,1,D$41+SIGN(D$41)))-1</f>
        <v>0.5308964615928462</v>
      </c>
      <c r="E44" s="13">
        <f ca="1">LOGEST(OFFSET('Income statement'!$V$15,,,1,E$41+SIGN(E$41)))-1</f>
        <v>1.1307212689545101</v>
      </c>
      <c r="F44" s="13">
        <f ca="1">LOGEST(OFFSET('Income statement'!$V$15,,,1,F$41+SIGN(F$41)))-1</f>
        <v>-1.7905566723996902E-2</v>
      </c>
    </row>
    <row r="45" spans="1:11" x14ac:dyDescent="0.35">
      <c r="A45" t="s">
        <v>232</v>
      </c>
      <c r="B45" s="13" t="e">
        <f ca="1">LOGEST(OFFSET('Income statement'!$V$28,,,1,B$41+SIGN(B$41)))-1</f>
        <v>#NUM!</v>
      </c>
      <c r="C45" s="13">
        <f ca="1">LOGEST(OFFSET('Income statement'!$V$28,,,1,C$41+SIGN(C$41)))-1</f>
        <v>0.14003526007115696</v>
      </c>
      <c r="D45" s="13">
        <f ca="1">LOGEST(OFFSET('Income statement'!$V$28,,,1,D$41+SIGN(D$41)))-1</f>
        <v>0.54572754171180549</v>
      </c>
      <c r="E45" s="13">
        <f ca="1">LOGEST(OFFSET('Income statement'!$V$28,,,1,E$41+SIGN(E$41)))-1</f>
        <v>1.1966916284788187</v>
      </c>
      <c r="F45" s="13">
        <f ca="1">LOGEST(OFFSET('Income statement'!$V$28,,,1,F$41+SIGN(F$41)))-1</f>
        <v>-2.2762649493038745E-2</v>
      </c>
    </row>
    <row r="46" spans="1:11" x14ac:dyDescent="0.35">
      <c r="A46" t="s">
        <v>165</v>
      </c>
      <c r="B46" s="13" t="e">
        <f ca="1">LOGEST(OFFSET('Cash flow statement'!$V$55,,,1,B$41+SIGN(B$41)))-1</f>
        <v>#NUM!</v>
      </c>
      <c r="C46" s="13">
        <f ca="1">LOGEST(OFFSET('Cash flow statement'!$V$55,,,1,C$41+SIGN(C$41)))-1</f>
        <v>0.33327923989977015</v>
      </c>
      <c r="D46" s="13">
        <f ca="1">LOGEST(OFFSET('Cash flow statement'!$V$55,,,1,D$41+SIGN(D$41)))-1</f>
        <v>0.20143219630562514</v>
      </c>
      <c r="E46" s="13">
        <f ca="1">LOGEST(OFFSET('Cash flow statement'!$V$55,,,1,E$41+SIGN(E$41)))-1</f>
        <v>0.26396985724540389</v>
      </c>
      <c r="F46" s="13" t="e">
        <f ca="1">LOGEST(OFFSET('Cash flow statement'!$V$55,,,1,F$41+SIGN(F$41)))-1</f>
        <v>#NUM!</v>
      </c>
    </row>
    <row r="47" spans="1:11" x14ac:dyDescent="0.35">
      <c r="A47" t="s">
        <v>233</v>
      </c>
      <c r="B47" s="13">
        <f ca="1">LOGEST(OFFSET('Balance sheet'!$V$62,,,1,B$41+SIGN(B$41)))-1</f>
        <v>0.61727737255124859</v>
      </c>
      <c r="C47" s="13">
        <f ca="1">LOGEST(OFFSET('Balance sheet'!$V$62,,,1,C$41+SIGN(C$41)))-1</f>
        <v>0.35072253058092384</v>
      </c>
      <c r="D47" s="13">
        <f ca="1">LOGEST(OFFSET('Balance sheet'!$V$62,,,1,D$41+SIGN(D$41)))-1</f>
        <v>0.222773650945433</v>
      </c>
      <c r="E47" s="13">
        <f ca="1">LOGEST(OFFSET('Balance sheet'!$V$62,,,1,E$41+SIGN(E$41)))-1</f>
        <v>0.36659963731501333</v>
      </c>
      <c r="F47" s="13">
        <f ca="1">LOGEST(OFFSET('Balance sheet'!$V$62,,,1,F$41+SIGN(F$41)))-1</f>
        <v>8.3717017922221304E-2</v>
      </c>
    </row>
    <row r="48" spans="1:11" x14ac:dyDescent="0.35">
      <c r="A48" t="s">
        <v>125</v>
      </c>
      <c r="B48" s="13">
        <f ca="1">LOGEST(OFFSET('Balance sheet'!$V$31,,,1,B$41+SIGN(B$41)))-1</f>
        <v>0.48151424397285969</v>
      </c>
      <c r="C48" s="13">
        <f ca="1">LOGEST(OFFSET('Balance sheet'!$V$31,,,1,C$41+SIGN(C$41)))-1</f>
        <v>0.26540703786806041</v>
      </c>
      <c r="D48" s="13">
        <f ca="1">LOGEST(OFFSET('Balance sheet'!$V$31,,,1,D$41+SIGN(D$41)))-1</f>
        <v>0.18727404474049258</v>
      </c>
      <c r="E48" s="13">
        <f ca="1">LOGEST(OFFSET('Balance sheet'!$V$31,,,1,E$41+SIGN(E$41)))-1</f>
        <v>0.25022342399912301</v>
      </c>
      <c r="F48" s="13">
        <f ca="1">LOGEST(OFFSET('Balance sheet'!$V$31,,,1,F$41+SIGN(F$41)))-1</f>
        <v>-5.2357641727517001E-2</v>
      </c>
    </row>
    <row r="49" spans="1:6" x14ac:dyDescent="0.35">
      <c r="A49" t="s">
        <v>98</v>
      </c>
      <c r="B49" s="13" t="e">
        <f ca="1">LOGEST(OFFSET('Income statement'!$V$84,,,1,B$41+SIGN(B$41)))-1</f>
        <v>#VALUE!</v>
      </c>
      <c r="C49" s="13">
        <f ca="1">LOGEST(OFFSET('Income statement'!$V$84,,,1,C$41+SIGN(C$41)))-1</f>
        <v>0.12548887694905964</v>
      </c>
      <c r="D49" s="13">
        <f ca="1">LOGEST(OFFSET('Income statement'!$V$84,,,1,D$41+SIGN(D$41)))-1</f>
        <v>0.53911099872445267</v>
      </c>
      <c r="E49" s="13">
        <f ca="1">LOGEST(OFFSET('Income statement'!$V$84,,,1,E$41+SIGN(E$41)))-1</f>
        <v>1.1923096703173801</v>
      </c>
      <c r="F49" s="13">
        <f ca="1">LOGEST(OFFSET('Income statement'!$V$84,,,1,F$41+SIGN(F$41)))-1</f>
        <v>-2.3102049550643877E-2</v>
      </c>
    </row>
    <row r="50" spans="1:6" x14ac:dyDescent="0.35">
      <c r="A50" t="s">
        <v>250</v>
      </c>
      <c r="B50" s="13" t="e">
        <f ca="1">LOGEST(OFFSET('Income statement'!$V$85,,,1,B$41+SIGN(B$41)))-1</f>
        <v>#VALUE!</v>
      </c>
      <c r="C50" s="13">
        <f ca="1">LOGEST(OFFSET('Income statement'!$V$85,,,1,C$41+SIGN(C$41)))-1</f>
        <v>0.31626714272032852</v>
      </c>
      <c r="D50" s="13">
        <f ca="1">LOGEST(OFFSET('Income statement'!$V$85,,,1,D$41+SIGN(D$41)))-1</f>
        <v>0.19628942207230726</v>
      </c>
      <c r="E50" s="13">
        <f ca="1">LOGEST(OFFSET('Income statement'!$V$85,,,1,E$41+SIGN(E$41)))-1</f>
        <v>0.26144849149703631</v>
      </c>
      <c r="F50" s="13" t="e">
        <f ca="1">LOGEST(OFFSET('Income statement'!$V$85,,,1,F$41+SIGN(F$41)))-1</f>
        <v>#NUM!</v>
      </c>
    </row>
    <row r="51" spans="1:6" x14ac:dyDescent="0.35">
      <c r="A51" t="s">
        <v>100</v>
      </c>
      <c r="B51" s="13" t="e">
        <f ca="1">LOGEST(OFFSET('Income statement'!$V$87,,,1,B$41+SIGN(B$41)))-1</f>
        <v>#VALUE!</v>
      </c>
      <c r="C51" s="13" t="e">
        <f ca="1">LOGEST(OFFSET('Income statement'!$V$87,,,1,C$41+SIGN(C$41)))-1</f>
        <v>#NUM!</v>
      </c>
      <c r="D51" s="13" t="e">
        <f ca="1">LOGEST(OFFSET('Income statement'!$V$87,,,1,D$41+SIGN(D$41)))-1</f>
        <v>#NUM!</v>
      </c>
      <c r="E51" s="13" t="e">
        <f ca="1">LOGEST(OFFSET('Income statement'!$V$87,,,1,E$41+SIGN(E$41)))-1</f>
        <v>#NUM!</v>
      </c>
      <c r="F51" s="13" t="e">
        <f ca="1">LOGEST(OFFSET('Income statement'!$V$87,,,1,F$41+SIGN(F$41)))-1</f>
        <v>#NUM!</v>
      </c>
    </row>
    <row r="52" spans="1:6" x14ac:dyDescent="0.35">
      <c r="A52" t="s">
        <v>234</v>
      </c>
      <c r="B52" s="13">
        <f ca="1">LOGEST(OFFSET('Income statement'!$V$89,,,1,B$41+SIGN(B$41)))-1</f>
        <v>0.53966531187471456</v>
      </c>
      <c r="C52" s="13">
        <f ca="1">LOGEST(OFFSET('Income statement'!$V$89,,,1,C$41+SIGN(C$41)))-1</f>
        <v>0.33885881432939469</v>
      </c>
      <c r="D52" s="13">
        <f ca="1">LOGEST(OFFSET('Income statement'!$V$89,,,1,D$41+SIGN(D$41)))-1</f>
        <v>0.22023187492353946</v>
      </c>
      <c r="E52" s="13">
        <f ca="1">LOGEST(OFFSET('Income statement'!$V$89,,,1,E$41+SIGN(E$41)))-1</f>
        <v>0.36185665517388688</v>
      </c>
      <c r="F52" s="13">
        <f ca="1">LOGEST(OFFSET('Income statement'!$V$89,,,1,F$41+SIGN(F$41)))-1</f>
        <v>8.3717017922221082E-2</v>
      </c>
    </row>
    <row r="53" spans="1:6" x14ac:dyDescent="0.35">
      <c r="A53" t="s">
        <v>236</v>
      </c>
      <c r="B53" s="13">
        <f ca="1">LOGEST(OFFSET('Income statement'!$V$90,,,1,B$41+SIGN(B$41)))-1</f>
        <v>0.41041736513940097</v>
      </c>
      <c r="C53" s="13">
        <f ca="1">LOGEST(OFFSET('Income statement'!$V$90,,,1,C$41+SIGN(C$41)))-1</f>
        <v>0.25429266781790805</v>
      </c>
      <c r="D53" s="13">
        <f ca="1">LOGEST(OFFSET('Income statement'!$V$90,,,1,D$41+SIGN(D$41)))-1</f>
        <v>0.18480606164647906</v>
      </c>
      <c r="E53" s="13">
        <f ca="1">LOGEST(OFFSET('Income statement'!$V$90,,,1,E$41+SIGN(E$41)))-1</f>
        <v>0.24588434237599577</v>
      </c>
      <c r="F53" s="13">
        <f ca="1">LOGEST(OFFSET('Income statement'!$V$90,,,1,F$41+SIGN(F$41)))-1</f>
        <v>-5.2357641727516668E-2</v>
      </c>
    </row>
    <row r="54" spans="1:6" x14ac:dyDescent="0.35">
      <c r="A54" t="s">
        <v>474</v>
      </c>
      <c r="B54" s="13">
        <f ca="1">LOGEST(OFFSET('Income statement'!$V$35,,,1,B$41+SIGN(B$41)))-1</f>
        <v>5.0408397252278636E-2</v>
      </c>
      <c r="C54" s="13">
        <f ca="1">LOGEST(OFFSET('Income statement'!$V$35,,,1,C$41+SIGN(C$41)))-1</f>
        <v>8.861065950013014E-3</v>
      </c>
      <c r="D54" s="13">
        <f ca="1">LOGEST(OFFSET('Income statement'!$V$35,,,1,D$41+SIGN(D$41)))-1</f>
        <v>2.0830270656984062E-3</v>
      </c>
      <c r="E54" s="13">
        <f ca="1">LOGEST(OFFSET('Income statement'!$V$35,,,1,E$41+SIGN(E$41)))-1</f>
        <v>3.4827322854482645E-3</v>
      </c>
      <c r="F54" s="13">
        <f ca="1">LOGEST(OFFSET('Income statement'!$V$35,,,1,F$41+SIGN(F$41)))-1</f>
        <v>0</v>
      </c>
    </row>
    <row r="56" spans="1:6" s="80" customFormat="1" x14ac:dyDescent="0.35">
      <c r="A56" s="80" t="s">
        <v>110</v>
      </c>
      <c r="B56" s="100"/>
      <c r="C56" s="100"/>
      <c r="D56" s="100"/>
      <c r="E56" s="100"/>
      <c r="F56" s="100"/>
    </row>
    <row r="57" spans="1:6" x14ac:dyDescent="0.35">
      <c r="A57" t="s">
        <v>105</v>
      </c>
      <c r="B57" s="13">
        <f ca="1">AVERAGE(OFFSET('Income statement'!$V$46,,,1,B$41))</f>
        <v>0.18709198072479621</v>
      </c>
      <c r="C57" s="13">
        <f ca="1">AVERAGE(OFFSET('Income statement'!$V$46,,,1,C$41))</f>
        <v>0.12531665610887605</v>
      </c>
      <c r="D57" s="13">
        <f ca="1">AVERAGE(OFFSET('Income statement'!$V$46,,,1,D$41))</f>
        <v>0.11659039191928267</v>
      </c>
      <c r="E57" s="13">
        <f ca="1">AVERAGE(OFFSET('Income statement'!$V$46,,,1,E$41))</f>
        <v>0.17472250638183168</v>
      </c>
      <c r="F57" s="13">
        <f ca="1">AVERAGE(OFFSET('Income statement'!$V$46,,,1,F$41))</f>
        <v>9.3337866478165291E-2</v>
      </c>
    </row>
    <row r="58" spans="1:6" x14ac:dyDescent="0.35">
      <c r="A58" t="s">
        <v>177</v>
      </c>
      <c r="B58" s="13">
        <f ca="1">AVERAGE(OFFSET('Cash flow statement'!$V$59,,,1,B$41))</f>
        <v>0.37083073322500004</v>
      </c>
      <c r="C58" s="13">
        <f ca="1">AVERAGE(OFFSET('Cash flow statement'!$V$59,,,1,C$41))</f>
        <v>0.3931014507807748</v>
      </c>
      <c r="D58" s="13">
        <f ca="1">AVERAGE(OFFSET('Cash flow statement'!$V$59,,,1,D$41))</f>
        <v>0.38762806676955325</v>
      </c>
      <c r="E58" s="13">
        <f ca="1">AVERAGE(OFFSET('Cash flow statement'!$V$59,,,1,E$41))</f>
        <v>0.38909693553460328</v>
      </c>
      <c r="F58" s="13">
        <f ca="1">AVERAGE(OFFSET('Cash flow statement'!$V$59,,,1,F$41))</f>
        <v>0.11530345298213138</v>
      </c>
    </row>
    <row r="59" spans="1:6" x14ac:dyDescent="0.35">
      <c r="A59" t="s">
        <v>253</v>
      </c>
      <c r="B59" s="13">
        <f ca="1">AVERAGE(OFFSET('Income statement'!$V$97,,,1,B$41))</f>
        <v>0.2172692513716758</v>
      </c>
      <c r="C59" s="13">
        <f ca="1">AVERAGE(OFFSET('Income statement'!$V$97,,,1,C$41))</f>
        <v>0.13602158293251385</v>
      </c>
      <c r="D59" s="13">
        <f ca="1">AVERAGE(OFFSET('Income statement'!$V$97,,,1,D$41))</f>
        <v>8.9533395322234213E-2</v>
      </c>
      <c r="E59" s="13">
        <f ca="1">AVERAGE(OFFSET('Income statement'!$V$97,,,1,E$41))</f>
        <v>0.15469823737140981</v>
      </c>
      <c r="F59" s="13">
        <f ca="1">AVERAGE(OFFSET('Income statement'!$V$97,,,1,F$41))</f>
        <v>9.773135062711065E-2</v>
      </c>
    </row>
    <row r="60" spans="1:6" x14ac:dyDescent="0.35">
      <c r="A60" t="s">
        <v>257</v>
      </c>
      <c r="B60" s="13">
        <f ca="1">AVERAGE(OFFSET('Income statement'!$V$98,,,1,B$41))</f>
        <v>0.4006085630698733</v>
      </c>
      <c r="C60" s="13">
        <f ca="1">AVERAGE(OFFSET('Income statement'!$V$98,,,1,C$41))</f>
        <v>0.3142878186724708</v>
      </c>
      <c r="D60" s="13">
        <f ca="1">AVERAGE(OFFSET('Income statement'!$V$98,,,1,D$41))</f>
        <v>0.20890117778027906</v>
      </c>
      <c r="E60" s="13">
        <f ca="1">AVERAGE(OFFSET('Income statement'!$V$98,,,1,E$41))</f>
        <v>0.36540833405850087</v>
      </c>
      <c r="F60" s="13">
        <f ca="1">AVERAGE(OFFSET('Income statement'!$V$98,,,1,F$41))</f>
        <v>0.17898194808625639</v>
      </c>
    </row>
    <row r="61" spans="1:6" x14ac:dyDescent="0.35">
      <c r="A61" t="s">
        <v>235</v>
      </c>
      <c r="B61" s="13">
        <f ca="1">AVERAGE(OFFSET('Income statement'!$V$100,,,1,B$41))</f>
        <v>6.779751369462203E-2</v>
      </c>
      <c r="C61" s="13">
        <f ca="1">AVERAGE(OFFSET('Income statement'!$V$100,,,1,C$41))</f>
        <v>5.5025772831816443E-2</v>
      </c>
      <c r="D61" s="13">
        <f ca="1">AVERAGE(OFFSET('Income statement'!$V$100,,,1,D$41))</f>
        <v>4.1163257198813828E-2</v>
      </c>
      <c r="E61" s="13">
        <f ca="1">AVERAGE(OFFSET('Income statement'!$V$100,,,1,E$41))</f>
        <v>7.1464218711678365E-2</v>
      </c>
      <c r="F61" s="13">
        <f ca="1">AVERAGE(OFFSET('Income statement'!$V$100,,,1,F$41))</f>
        <v>6.6867082881638465E-2</v>
      </c>
    </row>
    <row r="64" spans="1:6" s="1" customFormat="1" x14ac:dyDescent="0.35">
      <c r="A64" s="1" t="s">
        <v>238</v>
      </c>
      <c r="B64" s="99">
        <v>-10</v>
      </c>
      <c r="C64" s="99">
        <v>-5</v>
      </c>
      <c r="D64" s="99">
        <v>-3</v>
      </c>
      <c r="E64" s="99" t="s">
        <v>239</v>
      </c>
      <c r="F64" s="99" t="s">
        <v>244</v>
      </c>
    </row>
    <row r="65" spans="1:6" x14ac:dyDescent="0.35">
      <c r="A65" t="s">
        <v>51</v>
      </c>
      <c r="B65" s="51">
        <f ca="1">OFFSET('Income statement'!$V$6,,Summary!B$64)</f>
        <v>42004</v>
      </c>
      <c r="C65" s="51">
        <f ca="1">OFFSET('Income statement'!$V$6,,Summary!C$64)</f>
        <v>43830</v>
      </c>
      <c r="D65" s="51">
        <f ca="1">OFFSET('Income statement'!$V$6,,Summary!D$64)</f>
        <v>44561</v>
      </c>
      <c r="E65" s="108"/>
      <c r="F65" s="51">
        <f>$K$22</f>
        <v>46022</v>
      </c>
    </row>
    <row r="66" spans="1:6" x14ac:dyDescent="0.35">
      <c r="A66" t="s">
        <v>240</v>
      </c>
      <c r="B66" s="67" t="e">
        <f ca="1">AVERAGE(OFFSET(Valuation!$V$38,,,1,B$64))</f>
        <v>#N/A</v>
      </c>
      <c r="C66" s="67">
        <f ca="1">AVERAGE(OFFSET(Valuation!$V$38,,,1,C$64))</f>
        <v>119.20620980674956</v>
      </c>
      <c r="D66" s="67">
        <f ca="1">AVERAGE(OFFSET(Valuation!$V$38,,,1,D$64))</f>
        <v>74.283235640597823</v>
      </c>
      <c r="E66" s="67">
        <f>$B$7/$G$30</f>
        <v>144.40409234429833</v>
      </c>
      <c r="F66" s="67">
        <f ca="1">$B$72/$K$30</f>
        <v>8.332123924690924</v>
      </c>
    </row>
    <row r="67" spans="1:6" x14ac:dyDescent="0.35">
      <c r="A67" t="s">
        <v>241</v>
      </c>
      <c r="B67" s="67" t="e">
        <f ca="1">AVERAGE(OFFSET(Valuation!$V$39,,,1,B$64))</f>
        <v>#N/A</v>
      </c>
      <c r="C67" s="67">
        <f ca="1">AVERAGE(OFFSET(Valuation!$V$39,,,1,C$64))</f>
        <v>119.20620980674956</v>
      </c>
      <c r="D67" s="67">
        <f ca="1">AVERAGE(OFFSET(Valuation!$V$39,,,1,D$64))</f>
        <v>74.283235640597823</v>
      </c>
      <c r="E67" s="67">
        <f ca="1">$B$7/$G$31</f>
        <v>856.79860331335578</v>
      </c>
      <c r="F67" s="67">
        <f ca="1">$B$72/$K$31</f>
        <v>16</v>
      </c>
    </row>
    <row r="68" spans="1:6" x14ac:dyDescent="0.35">
      <c r="A68" t="s">
        <v>242</v>
      </c>
      <c r="B68" s="67" t="e">
        <f ca="1">AVERAGE(OFFSET(Valuation!$V$37,,,1,B$64))</f>
        <v>#N/A</v>
      </c>
      <c r="C68" s="67">
        <f ca="1">AVERAGE(OFFSET(Valuation!$V$37,,,1,C$64))</f>
        <v>23.814540482525956</v>
      </c>
      <c r="D68" s="67">
        <f ca="1">AVERAGE(OFFSET(Valuation!$V$37,,,1,D$64))</f>
        <v>16.001375040983266</v>
      </c>
      <c r="E68" s="67">
        <f ca="1">$B$7/$G$33</f>
        <v>10.708594837333823</v>
      </c>
      <c r="F68" s="67">
        <f ca="1">$B$72/$K$33</f>
        <v>0.65905942458910682</v>
      </c>
    </row>
    <row r="71" spans="1:6" s="1" customFormat="1" x14ac:dyDescent="0.35">
      <c r="A71" s="1" t="s">
        <v>243</v>
      </c>
    </row>
    <row r="72" spans="1:6" x14ac:dyDescent="0.35">
      <c r="A72" t="s">
        <v>249</v>
      </c>
      <c r="B72" s="2">
        <f ca="1">exit_price</f>
        <v>5.7761618537998745</v>
      </c>
      <c r="C72" t="s">
        <v>245</v>
      </c>
      <c r="D72" s="92">
        <f ca="1">Valuation!$C$29</f>
        <v>-0.44450186459804153</v>
      </c>
    </row>
    <row r="73" spans="1:6" x14ac:dyDescent="0.35">
      <c r="B73" s="1"/>
      <c r="C73" t="s">
        <v>246</v>
      </c>
      <c r="D73" s="62">
        <f ca="1">($K$30/$G$30)^(1/4)-1</f>
        <v>0.10167232852977381</v>
      </c>
    </row>
    <row r="74" spans="1:6" x14ac:dyDescent="0.35">
      <c r="B74" s="1"/>
      <c r="C74" t="s">
        <v>247</v>
      </c>
      <c r="D74" s="63">
        <f ca="1">($F$66/$E$66)^(1/5)-1</f>
        <v>-0.43475693338639332</v>
      </c>
    </row>
    <row r="75" spans="1:6" x14ac:dyDescent="0.35">
      <c r="C75" t="s">
        <v>248</v>
      </c>
      <c r="D75" s="63">
        <f ca="1">AVERAGE($H$32:$K$32)/$B$72</f>
        <v>0</v>
      </c>
    </row>
    <row r="76" spans="1:6" x14ac:dyDescent="0.35">
      <c r="C76" t="s">
        <v>339</v>
      </c>
      <c r="D76" s="89" cm="1">
        <f t="array" aca="1" ref="D76" ca="1">(1+$D$72)/PRODUCT(1+$D$73:$D$75)-1</f>
        <v>-0.10793824483583891</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1A78A-26CC-4EC2-9679-394E4CBD5FC1}">
  <sheetPr codeName="Sheet15">
    <tabColor theme="3" tint="0.749992370372631"/>
  </sheetPr>
  <dimension ref="A1:H9"/>
  <sheetViews>
    <sheetView showGridLines="0" workbookViewId="0">
      <selection activeCell="E12" sqref="E12"/>
    </sheetView>
  </sheetViews>
  <sheetFormatPr defaultRowHeight="14.5" x14ac:dyDescent="0.35"/>
  <cols>
    <col min="1" max="1" width="30.7265625" bestFit="1" customWidth="1"/>
    <col min="2" max="2" width="8.36328125" bestFit="1" customWidth="1"/>
    <col min="3" max="11" width="13.453125" customWidth="1"/>
  </cols>
  <sheetData>
    <row r="1" spans="1:8" ht="23.5" x14ac:dyDescent="0.55000000000000004">
      <c r="A1" s="5" t="str">
        <f>'Start Here'!$H$5</f>
        <v>Trade Desk, Inc. Class A</v>
      </c>
    </row>
    <row r="2" spans="1:8" ht="20" thickBot="1" x14ac:dyDescent="0.5">
      <c r="A2" s="12" t="str" cm="1">
        <f t="array" aca="1" ref="A2" ca="1">_xlfn.TEXTAFTER(CELL("filename"), "]")</f>
        <v>Raw daily returns</v>
      </c>
      <c r="C2" s="54"/>
      <c r="H2" s="56"/>
    </row>
    <row r="3" spans="1:8" ht="15" thickTop="1" x14ac:dyDescent="0.35"/>
    <row r="4" spans="1:8" x14ac:dyDescent="0.35">
      <c r="A4" t="str">
        <f>Valuation!$B47</f>
        <v>Value metric</v>
      </c>
      <c r="B4" s="67">
        <f ca="1">Valuation!$W47</f>
        <v>-0.28544262817925958</v>
      </c>
    </row>
    <row r="5" spans="1:8" x14ac:dyDescent="0.35">
      <c r="A5" s="58" t="str">
        <f>Valuation!$B44</f>
        <v>FCF yield score</v>
      </c>
      <c r="B5" s="152">
        <f ca="1">Valuation!$W44</f>
        <v>-0.9999999999999597</v>
      </c>
    </row>
    <row r="6" spans="1:8" x14ac:dyDescent="0.35">
      <c r="A6" s="58" t="str">
        <f>Valuation!$B45</f>
        <v>ROCE score</v>
      </c>
      <c r="B6" s="152">
        <f ca="1">Valuation!$W45</f>
        <v>-7.0164277318181423E-2</v>
      </c>
    </row>
    <row r="7" spans="1:8" x14ac:dyDescent="0.35">
      <c r="A7" s="58" t="str">
        <f>Valuation!$B46</f>
        <v>Growth score</v>
      </c>
      <c r="B7" s="152">
        <f>Valuation!$W46</f>
        <v>0.92839376460106282</v>
      </c>
    </row>
    <row r="8" spans="1:8" x14ac:dyDescent="0.35">
      <c r="B8" s="67"/>
    </row>
    <row r="9" spans="1:8" x14ac:dyDescent="0.35">
      <c r="A9" t="s">
        <v>245</v>
      </c>
      <c r="B9" s="81">
        <f ca="1">Valuation!$C$29</f>
        <v>-0.44450186459804153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F4BFA-093B-4747-BDCC-8B4E2DD05DF8}">
  <sheetPr codeName="Sheet14">
    <tabColor theme="8" tint="0.79998168889431442"/>
  </sheetPr>
  <dimension ref="A1:AB186"/>
  <sheetViews>
    <sheetView showGridLines="0" zoomScale="85" zoomScaleNormal="85" workbookViewId="0">
      <pane xSplit="2" ySplit="6" topLeftCell="C7" activePane="bottomRight" state="frozen"/>
      <selection pane="topRight" activeCell="C1" sqref="C1"/>
      <selection pane="bottomLeft" activeCell="A7" sqref="A7"/>
      <selection pane="bottomRight" activeCell="C13" sqref="C13"/>
    </sheetView>
  </sheetViews>
  <sheetFormatPr defaultRowHeight="14.5" outlineLevelCol="1" x14ac:dyDescent="0.35"/>
  <cols>
    <col min="1" max="1" width="20.6328125" style="58" customWidth="1" outlineLevel="1"/>
    <col min="2" max="2" width="35.90625" bestFit="1" customWidth="1"/>
    <col min="3" max="28" width="11" customWidth="1"/>
  </cols>
  <sheetData>
    <row r="1" spans="1:28" ht="23.5" x14ac:dyDescent="0.55000000000000004">
      <c r="B1" s="5" t="str">
        <f>'Start Here'!$H$5</f>
        <v>Trade Desk, Inc. Class A</v>
      </c>
    </row>
    <row r="2" spans="1:28" ht="20" thickBot="1" x14ac:dyDescent="0.5">
      <c r="B2" s="12" t="str" cm="1">
        <f t="array" aca="1" ref="B2" ca="1">_xlfn.TEXTAFTER(CELL("filename"), "]")</f>
        <v>Raw daily returns</v>
      </c>
    </row>
    <row r="3" spans="1:28" ht="15" thickTop="1" x14ac:dyDescent="0.35">
      <c r="B3">
        <v>0</v>
      </c>
      <c r="V3" s="17"/>
      <c r="W3" s="18"/>
    </row>
    <row r="4" spans="1:28" x14ac:dyDescent="0.35">
      <c r="B4">
        <v>0</v>
      </c>
      <c r="V4" s="17"/>
      <c r="W4" s="18"/>
    </row>
    <row r="5" spans="1:28" s="1" customFormat="1" x14ac:dyDescent="0.35">
      <c r="A5" s="58"/>
      <c r="B5" s="1" t="s">
        <v>51</v>
      </c>
      <c r="C5" s="4" t="e" cm="1">
        <f t="array" ref="C5:AB5">'Income statement'!$C$6:$AB$6</f>
        <v>#VALUE!</v>
      </c>
      <c r="D5" s="4" t="e">
        <v>#VALUE!</v>
      </c>
      <c r="E5" s="4" t="e">
        <v>#VALUE!</v>
      </c>
      <c r="F5" s="4" t="e">
        <v>#VALUE!</v>
      </c>
      <c r="G5" s="4" t="e">
        <v>#VALUE!</v>
      </c>
      <c r="H5" s="4" t="e">
        <v>#VALUE!</v>
      </c>
      <c r="I5" s="4" t="e">
        <v>#VALUE!</v>
      </c>
      <c r="J5" s="4" t="e">
        <v>#VALUE!</v>
      </c>
      <c r="K5" s="4" t="e">
        <v>#VALUE!</v>
      </c>
      <c r="L5" s="4">
        <v>42004</v>
      </c>
      <c r="M5" s="4">
        <v>42369</v>
      </c>
      <c r="N5" s="4">
        <v>42735</v>
      </c>
      <c r="O5" s="4">
        <v>43100</v>
      </c>
      <c r="P5" s="4">
        <v>43465</v>
      </c>
      <c r="Q5" s="4">
        <v>43830</v>
      </c>
      <c r="R5" s="4">
        <v>44196</v>
      </c>
      <c r="S5" s="4">
        <v>44561</v>
      </c>
      <c r="T5" s="4">
        <v>44926</v>
      </c>
      <c r="U5" s="4">
        <v>45291</v>
      </c>
      <c r="V5" s="21">
        <v>45657</v>
      </c>
      <c r="W5" s="22">
        <v>46022</v>
      </c>
      <c r="X5" s="4">
        <v>46022</v>
      </c>
      <c r="Y5" s="4">
        <v>46022</v>
      </c>
      <c r="Z5" s="4">
        <v>46022</v>
      </c>
      <c r="AA5" s="4">
        <v>46022</v>
      </c>
      <c r="AB5" s="4">
        <v>46022</v>
      </c>
    </row>
    <row r="6" spans="1:28" x14ac:dyDescent="0.35">
      <c r="B6" t="s">
        <v>434</v>
      </c>
      <c r="C6" s="3">
        <f>COLUMN()-COLUMN($V$5)</f>
        <v>-19</v>
      </c>
      <c r="D6" s="3">
        <f t="shared" ref="D6:AB6" si="0">COLUMN()-COLUMN($V$5)</f>
        <v>-18</v>
      </c>
      <c r="E6" s="3">
        <f t="shared" si="0"/>
        <v>-17</v>
      </c>
      <c r="F6" s="3">
        <f t="shared" si="0"/>
        <v>-16</v>
      </c>
      <c r="G6" s="3">
        <f t="shared" si="0"/>
        <v>-15</v>
      </c>
      <c r="H6" s="3">
        <f t="shared" si="0"/>
        <v>-14</v>
      </c>
      <c r="I6" s="3">
        <f t="shared" si="0"/>
        <v>-13</v>
      </c>
      <c r="J6" s="3">
        <f t="shared" si="0"/>
        <v>-12</v>
      </c>
      <c r="K6" s="3">
        <f t="shared" si="0"/>
        <v>-11</v>
      </c>
      <c r="L6" s="3">
        <f t="shared" si="0"/>
        <v>-10</v>
      </c>
      <c r="M6" s="3">
        <f t="shared" si="0"/>
        <v>-9</v>
      </c>
      <c r="N6" s="3">
        <f t="shared" si="0"/>
        <v>-8</v>
      </c>
      <c r="O6" s="3">
        <f t="shared" si="0"/>
        <v>-7</v>
      </c>
      <c r="P6" s="3">
        <f t="shared" si="0"/>
        <v>-6</v>
      </c>
      <c r="Q6" s="3">
        <f t="shared" si="0"/>
        <v>-5</v>
      </c>
      <c r="R6" s="3">
        <f t="shared" si="0"/>
        <v>-4</v>
      </c>
      <c r="S6" s="3">
        <f t="shared" si="0"/>
        <v>-3</v>
      </c>
      <c r="T6" s="3">
        <f t="shared" si="0"/>
        <v>-2</v>
      </c>
      <c r="U6" s="3">
        <f t="shared" si="0"/>
        <v>-1</v>
      </c>
      <c r="V6" s="29">
        <f t="shared" si="0"/>
        <v>0</v>
      </c>
      <c r="W6" s="30">
        <f t="shared" si="0"/>
        <v>1</v>
      </c>
      <c r="X6" s="3">
        <f t="shared" si="0"/>
        <v>2</v>
      </c>
      <c r="Y6" s="3">
        <f t="shared" si="0"/>
        <v>3</v>
      </c>
      <c r="Z6" s="3">
        <f t="shared" si="0"/>
        <v>4</v>
      </c>
      <c r="AA6" s="3">
        <f t="shared" si="0"/>
        <v>5</v>
      </c>
      <c r="AB6" s="3">
        <f t="shared" si="0"/>
        <v>6</v>
      </c>
    </row>
    <row r="7" spans="1:28" x14ac:dyDescent="0.35">
      <c r="V7" s="17"/>
      <c r="W7" s="18"/>
    </row>
    <row r="8" spans="1:28" ht="20" thickBot="1" x14ac:dyDescent="0.5">
      <c r="B8" s="12" t="s">
        <v>385</v>
      </c>
      <c r="V8" s="17"/>
      <c r="W8" s="18"/>
    </row>
    <row r="9" spans="1:28" ht="15" thickTop="1" x14ac:dyDescent="0.35">
      <c r="B9" t="s">
        <v>53</v>
      </c>
      <c r="C9" s="45" t="e" cm="1">
        <f t="array" ref="C9:V9">_xlfn.ANCHORARRAY('Income statement'!$C$7)</f>
        <v>#VALUE!</v>
      </c>
      <c r="D9" s="45" t="e">
        <v>#VALUE!</v>
      </c>
      <c r="E9" s="45" t="e">
        <v>#VALUE!</v>
      </c>
      <c r="F9" s="45" t="e">
        <v>#VALUE!</v>
      </c>
      <c r="G9" s="45" t="e">
        <v>#VALUE!</v>
      </c>
      <c r="H9" s="45" t="e">
        <v>#VALUE!</v>
      </c>
      <c r="I9" s="45" t="e">
        <v>#VALUE!</v>
      </c>
      <c r="J9" s="45" t="e">
        <v>#VALUE!</v>
      </c>
      <c r="K9" s="45" t="e">
        <v>#VALUE!</v>
      </c>
      <c r="L9" s="45">
        <v>44.548000000000002</v>
      </c>
      <c r="M9" s="45">
        <v>114.31399999999999</v>
      </c>
      <c r="N9" s="45">
        <v>202.92599999999999</v>
      </c>
      <c r="O9" s="45">
        <v>308.21699999999998</v>
      </c>
      <c r="P9" s="45">
        <v>477.29399999999998</v>
      </c>
      <c r="Q9" s="45">
        <v>661.05799999999999</v>
      </c>
      <c r="R9" s="45">
        <v>836.03300000000002</v>
      </c>
      <c r="S9" s="45">
        <v>1196.4670000000001</v>
      </c>
      <c r="T9" s="45">
        <v>1577.7950000000001</v>
      </c>
      <c r="U9" s="45">
        <v>1946.12</v>
      </c>
      <c r="V9" s="46">
        <v>2444.8310000000001</v>
      </c>
      <c r="W9" s="18"/>
    </row>
    <row r="10" spans="1:28" x14ac:dyDescent="0.35">
      <c r="B10" t="s">
        <v>474</v>
      </c>
      <c r="C10" s="45" t="e" cm="1">
        <f t="array" ref="C10:V10">_xlfn.ANCHORARRAY('Income statement'!$C$35)</f>
        <v>#VALUE!</v>
      </c>
      <c r="D10" s="45" t="e">
        <v>#VALUE!</v>
      </c>
      <c r="E10" s="45" t="e">
        <v>#VALUE!</v>
      </c>
      <c r="F10" s="45" t="e">
        <v>#VALUE!</v>
      </c>
      <c r="G10" s="45" t="e">
        <v>#VALUE!</v>
      </c>
      <c r="H10" s="45" t="e">
        <v>#VALUE!</v>
      </c>
      <c r="I10" s="45" t="e">
        <v>#VALUE!</v>
      </c>
      <c r="J10" s="45" t="e">
        <v>#VALUE!</v>
      </c>
      <c r="K10" s="45" t="e">
        <v>#VALUE!</v>
      </c>
      <c r="L10" s="45">
        <v>397.87992000000003</v>
      </c>
      <c r="M10" s="45">
        <v>397.87992000000003</v>
      </c>
      <c r="N10" s="45">
        <v>182.8</v>
      </c>
      <c r="O10" s="45">
        <v>440.56</v>
      </c>
      <c r="P10" s="45">
        <v>457.93</v>
      </c>
      <c r="Q10" s="45">
        <v>478.06</v>
      </c>
      <c r="R10" s="45">
        <v>489.88</v>
      </c>
      <c r="S10" s="45">
        <v>498.54</v>
      </c>
      <c r="T10" s="45">
        <v>499.92500000000001</v>
      </c>
      <c r="U10" s="45">
        <v>500.18200000000002</v>
      </c>
      <c r="V10" s="46">
        <v>501.92399999999998</v>
      </c>
      <c r="W10" s="18"/>
    </row>
    <row r="11" spans="1:28" x14ac:dyDescent="0.35">
      <c r="B11" t="s">
        <v>336</v>
      </c>
      <c r="C11" s="66">
        <f>LOGEST(_xlfn.TAKE($R$10:$V$10,,-available_years))-1</f>
        <v>5.1999436808967126E-3</v>
      </c>
      <c r="D11" s="45"/>
      <c r="E11" s="45" t="s">
        <v>479</v>
      </c>
      <c r="F11" s="66">
        <f>MAX(0,$C$11)</f>
        <v>5.1999436808967126E-3</v>
      </c>
      <c r="G11" s="45"/>
      <c r="H11" s="45"/>
      <c r="I11" s="45"/>
      <c r="J11" s="45"/>
      <c r="K11" s="45"/>
      <c r="L11" s="45"/>
      <c r="M11" s="45"/>
      <c r="N11" s="45"/>
      <c r="O11" s="45"/>
      <c r="P11" s="45"/>
      <c r="Q11" s="45"/>
      <c r="R11" s="45"/>
      <c r="S11" s="45"/>
      <c r="T11" s="45"/>
      <c r="U11" s="45"/>
      <c r="V11" s="46"/>
      <c r="W11" s="18"/>
    </row>
    <row r="12" spans="1:28" x14ac:dyDescent="0.35">
      <c r="B12" t="s">
        <v>478</v>
      </c>
      <c r="C12" s="139" t="e">
        <f>C$9/C$10*$V$10</f>
        <v>#VALUE!</v>
      </c>
      <c r="D12" s="139" t="e">
        <f t="shared" ref="D12:V13" si="1">D$9/D$10*$V$10</f>
        <v>#VALUE!</v>
      </c>
      <c r="E12" s="139" t="e">
        <f t="shared" si="1"/>
        <v>#VALUE!</v>
      </c>
      <c r="F12" s="139" t="e">
        <f t="shared" si="1"/>
        <v>#VALUE!</v>
      </c>
      <c r="G12" s="139" t="e">
        <f t="shared" si="1"/>
        <v>#VALUE!</v>
      </c>
      <c r="H12" s="139" t="e">
        <f t="shared" si="1"/>
        <v>#VALUE!</v>
      </c>
      <c r="I12" s="139" t="e">
        <f t="shared" si="1"/>
        <v>#VALUE!</v>
      </c>
      <c r="J12" s="139" t="e">
        <f t="shared" si="1"/>
        <v>#VALUE!</v>
      </c>
      <c r="K12" s="139" t="e">
        <f t="shared" si="1"/>
        <v>#VALUE!</v>
      </c>
      <c r="L12" s="139">
        <f t="shared" si="1"/>
        <v>56.197131918594927</v>
      </c>
      <c r="M12" s="139">
        <f t="shared" si="1"/>
        <v>144.20667455648424</v>
      </c>
      <c r="N12" s="139">
        <f t="shared" si="1"/>
        <v>557.18506358862135</v>
      </c>
      <c r="O12" s="139">
        <f t="shared" si="1"/>
        <v>351.14742488650808</v>
      </c>
      <c r="P12" s="139">
        <f t="shared" si="1"/>
        <v>523.1483275959207</v>
      </c>
      <c r="Q12" s="139">
        <f t="shared" si="1"/>
        <v>694.05697107476044</v>
      </c>
      <c r="R12" s="139">
        <f t="shared" si="1"/>
        <v>856.58738362864369</v>
      </c>
      <c r="S12" s="139">
        <f t="shared" si="1"/>
        <v>1204.5884031532073</v>
      </c>
      <c r="T12" s="139">
        <f t="shared" si="1"/>
        <v>1584.1039707556133</v>
      </c>
      <c r="U12" s="139">
        <f t="shared" si="1"/>
        <v>1952.8978149553561</v>
      </c>
      <c r="V12" s="138">
        <f t="shared" si="1"/>
        <v>2444.8310000000001</v>
      </c>
      <c r="W12" s="18"/>
    </row>
    <row r="13" spans="1:28" x14ac:dyDescent="0.35">
      <c r="B13" t="s">
        <v>478</v>
      </c>
      <c r="C13" s="139" t="e" cm="1">
        <f t="array" ref="C13:V13">IF($F$11&lt;=0,_xlfn.ANCHORARRAY($C$9),$C$12:$V$12)</f>
        <v>#VALUE!</v>
      </c>
      <c r="D13" s="139" t="e">
        <v>#VALUE!</v>
      </c>
      <c r="E13" s="139" t="e">
        <v>#VALUE!</v>
      </c>
      <c r="F13" s="139" t="e">
        <v>#VALUE!</v>
      </c>
      <c r="G13" s="139" t="e">
        <v>#VALUE!</v>
      </c>
      <c r="H13" s="139" t="e">
        <v>#VALUE!</v>
      </c>
      <c r="I13" s="139" t="e">
        <v>#VALUE!</v>
      </c>
      <c r="J13" s="139" t="e">
        <v>#VALUE!</v>
      </c>
      <c r="K13" s="139" t="e">
        <v>#VALUE!</v>
      </c>
      <c r="L13" s="139">
        <v>56.197131918594927</v>
      </c>
      <c r="M13" s="139">
        <v>144.20667455648424</v>
      </c>
      <c r="N13" s="139">
        <v>557.18506358862135</v>
      </c>
      <c r="O13" s="139">
        <v>351.14742488650808</v>
      </c>
      <c r="P13" s="139">
        <v>523.1483275959207</v>
      </c>
      <c r="Q13" s="139">
        <v>694.05697107476044</v>
      </c>
      <c r="R13" s="139">
        <v>856.58738362864369</v>
      </c>
      <c r="S13" s="139">
        <v>1204.5884031532073</v>
      </c>
      <c r="T13" s="139">
        <v>1584.1039707556133</v>
      </c>
      <c r="U13" s="139">
        <v>1952.8978149553561</v>
      </c>
      <c r="V13" s="138">
        <v>2444.8310000000001</v>
      </c>
      <c r="W13" s="18"/>
    </row>
    <row r="14" spans="1:28" x14ac:dyDescent="0.35">
      <c r="V14" s="23"/>
      <c r="W14" s="45"/>
      <c r="X14" s="45"/>
      <c r="Y14" s="45"/>
      <c r="Z14" s="45"/>
      <c r="AA14" s="45"/>
      <c r="AB14" s="45"/>
    </row>
    <row r="15" spans="1:28" x14ac:dyDescent="0.35">
      <c r="V15" s="23"/>
      <c r="W15" s="45"/>
      <c r="X15" s="45"/>
      <c r="Y15" s="45"/>
      <c r="Z15" s="45"/>
      <c r="AA15" s="45"/>
      <c r="AB15" s="45"/>
    </row>
    <row r="16" spans="1:28" ht="17.5" thickBot="1" x14ac:dyDescent="0.45">
      <c r="B16" s="129" t="s">
        <v>506</v>
      </c>
      <c r="H16" s="81"/>
      <c r="I16" s="81"/>
      <c r="J16" s="81"/>
      <c r="K16" s="81"/>
      <c r="L16" s="81"/>
      <c r="M16" s="81"/>
      <c r="N16" s="81"/>
      <c r="O16" s="81"/>
      <c r="P16" s="81"/>
      <c r="Q16" s="81"/>
      <c r="R16" s="81"/>
      <c r="S16" s="81"/>
      <c r="T16" s="81"/>
      <c r="U16" s="81"/>
      <c r="V16" s="83"/>
      <c r="W16" s="18"/>
    </row>
    <row r="17" spans="2:28" ht="15" thickTop="1" x14ac:dyDescent="0.35">
      <c r="B17" t="s">
        <v>507</v>
      </c>
      <c r="C17" s="2" t="e" cm="1">
        <f t="array" ref="C17:V17">LN($C$13:$V$13)</f>
        <v>#VALUE!</v>
      </c>
      <c r="D17" s="2" t="e">
        <v>#VALUE!</v>
      </c>
      <c r="E17" s="2" t="e">
        <v>#VALUE!</v>
      </c>
      <c r="F17" s="2" t="e">
        <v>#VALUE!</v>
      </c>
      <c r="G17" s="2" t="e">
        <v>#VALUE!</v>
      </c>
      <c r="H17" s="2" t="e">
        <v>#VALUE!</v>
      </c>
      <c r="I17" s="2" t="e">
        <v>#VALUE!</v>
      </c>
      <c r="J17" s="2" t="e">
        <v>#VALUE!</v>
      </c>
      <c r="K17" s="2" t="e">
        <v>#VALUE!</v>
      </c>
      <c r="L17" s="2">
        <v>4.0288657221204343</v>
      </c>
      <c r="M17" s="2">
        <v>4.9712475105791221</v>
      </c>
      <c r="N17" s="2">
        <v>6.3228974353522114</v>
      </c>
      <c r="O17" s="2">
        <v>5.8612061492063852</v>
      </c>
      <c r="P17" s="2">
        <v>6.2598650330254655</v>
      </c>
      <c r="Q17" s="2">
        <v>6.5425540480233542</v>
      </c>
      <c r="R17" s="2">
        <v>6.7529563366448864</v>
      </c>
      <c r="S17" s="2">
        <v>7.093893213428303</v>
      </c>
      <c r="T17" s="2">
        <v>7.367774208323576</v>
      </c>
      <c r="U17" s="2">
        <v>7.5770696074163588</v>
      </c>
      <c r="V17" s="31">
        <v>7.801731278865633</v>
      </c>
      <c r="W17" s="149"/>
      <c r="X17" s="149"/>
      <c r="Y17" s="45"/>
      <c r="Z17" s="45"/>
      <c r="AA17" s="45"/>
      <c r="AB17" s="45"/>
    </row>
    <row r="18" spans="2:28" x14ac:dyDescent="0.35">
      <c r="B18" t="s">
        <v>513</v>
      </c>
      <c r="C18" s="2"/>
      <c r="D18" s="130" t="e">
        <f>D$17-C$17</f>
        <v>#VALUE!</v>
      </c>
      <c r="E18" s="130" t="e">
        <f t="shared" ref="E18:V18" si="2">E$17-D$17</f>
        <v>#VALUE!</v>
      </c>
      <c r="F18" s="130" t="e">
        <f t="shared" si="2"/>
        <v>#VALUE!</v>
      </c>
      <c r="G18" s="130" t="e">
        <f t="shared" si="2"/>
        <v>#VALUE!</v>
      </c>
      <c r="H18" s="130" t="e">
        <f t="shared" si="2"/>
        <v>#VALUE!</v>
      </c>
      <c r="I18" s="130" t="e">
        <f t="shared" si="2"/>
        <v>#VALUE!</v>
      </c>
      <c r="J18" s="130" t="e">
        <f t="shared" si="2"/>
        <v>#VALUE!</v>
      </c>
      <c r="K18" s="130" t="e">
        <f t="shared" si="2"/>
        <v>#VALUE!</v>
      </c>
      <c r="L18" s="130" t="e">
        <f t="shared" si="2"/>
        <v>#VALUE!</v>
      </c>
      <c r="M18" s="130">
        <f t="shared" si="2"/>
        <v>0.94238178845868781</v>
      </c>
      <c r="N18" s="130">
        <f t="shared" si="2"/>
        <v>1.3516499247730893</v>
      </c>
      <c r="O18" s="130">
        <f t="shared" si="2"/>
        <v>-0.46169128614582622</v>
      </c>
      <c r="P18" s="130">
        <f t="shared" si="2"/>
        <v>0.39865888381908032</v>
      </c>
      <c r="Q18" s="130">
        <f t="shared" si="2"/>
        <v>0.28268901499788868</v>
      </c>
      <c r="R18" s="130">
        <f t="shared" si="2"/>
        <v>0.21040228862153221</v>
      </c>
      <c r="S18" s="130">
        <f t="shared" si="2"/>
        <v>0.34093687678341666</v>
      </c>
      <c r="T18" s="130">
        <f t="shared" si="2"/>
        <v>0.27388099489527296</v>
      </c>
      <c r="U18" s="130">
        <f t="shared" si="2"/>
        <v>0.20929539909278283</v>
      </c>
      <c r="V18" s="148">
        <f t="shared" si="2"/>
        <v>0.22466167144927418</v>
      </c>
      <c r="W18" s="149"/>
      <c r="X18" s="149"/>
      <c r="Y18" s="45"/>
      <c r="Z18" s="45"/>
      <c r="AA18" s="45"/>
      <c r="AB18" s="45"/>
    </row>
    <row r="19" spans="2:28" x14ac:dyDescent="0.35">
      <c r="C19" s="2" t="s">
        <v>509</v>
      </c>
      <c r="D19" s="2">
        <f>_xlfn.AGGREGATE(1,2,$D18:$V18)</f>
        <v>0.37728655567451985</v>
      </c>
      <c r="E19" t="s">
        <v>508</v>
      </c>
      <c r="F19" s="2">
        <f>_xlfn.AGGREGATE(7,2,$D18:$V18)</f>
        <v>0.47997518906411868</v>
      </c>
      <c r="G19" s="2" t="s">
        <v>521</v>
      </c>
      <c r="H19" s="97">
        <v>1</v>
      </c>
      <c r="I19" s="2" t="s">
        <v>511</v>
      </c>
      <c r="J19" s="2">
        <f>$D19-$H19*$F19</f>
        <v>-0.10268863338959883</v>
      </c>
      <c r="K19" s="2" t="s">
        <v>512</v>
      </c>
      <c r="L19" s="2">
        <f>$D19+$H19*$F19</f>
        <v>0.85726174473863859</v>
      </c>
      <c r="M19" s="2"/>
      <c r="N19" s="2"/>
      <c r="O19" s="2"/>
      <c r="P19" s="2"/>
      <c r="Q19" s="2"/>
      <c r="R19" s="2"/>
      <c r="S19" s="2"/>
      <c r="T19" s="2"/>
      <c r="U19" s="2"/>
      <c r="V19" s="31"/>
      <c r="W19" s="149"/>
      <c r="X19" s="149"/>
      <c r="Y19" s="45"/>
      <c r="Z19" s="45"/>
      <c r="AA19" s="45"/>
      <c r="AB19" s="45"/>
    </row>
    <row r="20" spans="2:28" x14ac:dyDescent="0.35">
      <c r="B20" t="s">
        <v>514</v>
      </c>
      <c r="C20" s="2"/>
      <c r="D20" s="130" t="e" cm="1">
        <f t="array" ref="D20">CLIP(D18,$J19,$L19)</f>
        <v>#VALUE!</v>
      </c>
      <c r="E20" s="130" t="e" cm="1">
        <f t="array" ref="E20">CLIP(E18,$J19,$L19)</f>
        <v>#VALUE!</v>
      </c>
      <c r="F20" s="130" t="e" cm="1">
        <f t="array" ref="F20">CLIP(F18,$J19,$L19)</f>
        <v>#VALUE!</v>
      </c>
      <c r="G20" s="130" t="e" cm="1">
        <f t="array" ref="G20">CLIP(G18,$J19,$L19)</f>
        <v>#VALUE!</v>
      </c>
      <c r="H20" s="130" t="e" cm="1">
        <f t="array" ref="H20">CLIP(H18,$J19,$L19)</f>
        <v>#VALUE!</v>
      </c>
      <c r="I20" s="130" t="e" cm="1">
        <f t="array" ref="I20">CLIP(I18,$J19,$L19)</f>
        <v>#VALUE!</v>
      </c>
      <c r="J20" s="130" t="e" cm="1">
        <f t="array" ref="J20">CLIP(J18,$J19,$L19)</f>
        <v>#VALUE!</v>
      </c>
      <c r="K20" s="130" t="e" cm="1">
        <f t="array" ref="K20">CLIP(K18,$J19,$L19)</f>
        <v>#VALUE!</v>
      </c>
      <c r="L20" s="130" t="e" cm="1">
        <f t="array" ref="L20">CLIP(L18,$J19,$L19)</f>
        <v>#VALUE!</v>
      </c>
      <c r="M20" s="130" cm="1">
        <f t="array" ref="M20">CLIP(M18,$J19,$L19)</f>
        <v>0.85726174473863859</v>
      </c>
      <c r="N20" s="130" cm="1">
        <f t="array" ref="N20">CLIP(N18,$J19,$L19)</f>
        <v>0.85726174473863859</v>
      </c>
      <c r="O20" s="130" cm="1">
        <f t="array" ref="O20">CLIP(O18,$J19,$L19)</f>
        <v>-0.10268863338959883</v>
      </c>
      <c r="P20" s="130" cm="1">
        <f t="array" ref="P20">CLIP(P18,$J19,$L19)</f>
        <v>0.39865888381908032</v>
      </c>
      <c r="Q20" s="130" cm="1">
        <f t="array" ref="Q20">CLIP(Q18,$J19,$L19)</f>
        <v>0.28268901499788868</v>
      </c>
      <c r="R20" s="130" cm="1">
        <f t="array" ref="R20">CLIP(R18,$J19,$L19)</f>
        <v>0.21040228862153221</v>
      </c>
      <c r="S20" s="130" cm="1">
        <f t="array" ref="S20">CLIP(S18,$J19,$L19)</f>
        <v>0.34093687678341666</v>
      </c>
      <c r="T20" s="130" cm="1">
        <f t="array" ref="T20">CLIP(T18,$J19,$L19)</f>
        <v>0.27388099489527296</v>
      </c>
      <c r="U20" s="130" cm="1">
        <f t="array" ref="U20">CLIP(U18,$J19,$L19)</f>
        <v>0.20929539909278283</v>
      </c>
      <c r="V20" s="148" cm="1">
        <f t="array" ref="V20">CLIP(V18,$J19,$L19)</f>
        <v>0.22466167144927418</v>
      </c>
      <c r="W20" s="149"/>
      <c r="X20" s="149"/>
      <c r="Y20" s="45"/>
      <c r="Z20" s="45"/>
      <c r="AA20" s="45"/>
      <c r="AB20" s="45"/>
    </row>
    <row r="21" spans="2:28" x14ac:dyDescent="0.35">
      <c r="B21" t="s">
        <v>519</v>
      </c>
      <c r="C21" s="97">
        <v>0.9</v>
      </c>
      <c r="D21" s="130"/>
      <c r="E21" s="130"/>
      <c r="F21" s="130"/>
      <c r="G21" s="130"/>
      <c r="H21" s="130"/>
      <c r="I21" s="130"/>
      <c r="J21" s="130"/>
      <c r="K21" s="130"/>
      <c r="L21" s="130"/>
      <c r="M21" s="130"/>
      <c r="N21" s="130"/>
      <c r="O21" s="130"/>
      <c r="P21" s="130"/>
      <c r="Q21" s="130"/>
      <c r="R21" s="130"/>
      <c r="S21" s="130"/>
      <c r="T21" s="130"/>
      <c r="U21" s="130"/>
      <c r="V21" s="148"/>
      <c r="W21" s="149"/>
      <c r="X21" s="149"/>
      <c r="Y21" s="45"/>
      <c r="Z21" s="45"/>
      <c r="AA21" s="45"/>
      <c r="AB21" s="45"/>
    </row>
    <row r="22" spans="2:28" x14ac:dyDescent="0.35">
      <c r="B22" t="s">
        <v>518</v>
      </c>
      <c r="C22" s="2"/>
      <c r="D22" s="130">
        <f>$C$21^(COLUMN($V$5)-COLUMN()+1)</f>
        <v>0.13508517176729934</v>
      </c>
      <c r="E22" s="130">
        <f>$C$21^(COLUMN($V$5)-COLUMN()+1)</f>
        <v>0.15009463529699923</v>
      </c>
      <c r="F22" s="130">
        <f>$C$21^(COLUMN($V$5)-COLUMN()+1)</f>
        <v>0.16677181699666582</v>
      </c>
      <c r="G22" s="130">
        <f>$C$21^(COLUMN($V$5)-COLUMN()+1)</f>
        <v>0.18530201888518424</v>
      </c>
      <c r="H22" s="130">
        <f>$C$21^(COLUMN($V$5)-COLUMN()+1)</f>
        <v>0.20589113209464913</v>
      </c>
      <c r="I22" s="130">
        <f>$C$21^(COLUMN($V$5)-COLUMN()+1)</f>
        <v>0.22876792454961015</v>
      </c>
      <c r="J22" s="130">
        <f>$C$21^(COLUMN($V$5)-COLUMN()+1)</f>
        <v>0.25418658283290019</v>
      </c>
      <c r="K22" s="130">
        <f>$C$21^(COLUMN($V$5)-COLUMN()+1)</f>
        <v>0.28242953648100017</v>
      </c>
      <c r="L22" s="130">
        <f>$C$21^(COLUMN($V$5)-COLUMN()+1)</f>
        <v>0.31381059609000017</v>
      </c>
      <c r="M22" s="130">
        <f>$C$21^(COLUMN($V$5)-COLUMN()+1)</f>
        <v>0.34867844010000015</v>
      </c>
      <c r="N22" s="130">
        <f>$C$21^(COLUMN($V$5)-COLUMN()+1)</f>
        <v>0.38742048900000015</v>
      </c>
      <c r="O22" s="130">
        <f>$C$21^(COLUMN($V$5)-COLUMN()+1)</f>
        <v>0.43046721000000016</v>
      </c>
      <c r="P22" s="130">
        <f>$C$21^(COLUMN($V$5)-COLUMN()+1)</f>
        <v>0.47829690000000014</v>
      </c>
      <c r="Q22" s="130">
        <f>$C$21^(COLUMN($V$5)-COLUMN()+1)</f>
        <v>0.53144100000000016</v>
      </c>
      <c r="R22" s="130">
        <f>$C$21^(COLUMN($V$5)-COLUMN()+1)</f>
        <v>0.59049000000000018</v>
      </c>
      <c r="S22" s="130">
        <f>$C$21^(COLUMN($V$5)-COLUMN()+1)</f>
        <v>0.65610000000000013</v>
      </c>
      <c r="T22" s="130">
        <f>$C$21^(COLUMN($V$5)-COLUMN()+1)</f>
        <v>0.72900000000000009</v>
      </c>
      <c r="U22" s="130">
        <f>$C$21^(COLUMN($V$5)-COLUMN()+1)</f>
        <v>0.81</v>
      </c>
      <c r="V22" s="148">
        <f>$C$21^(COLUMN($V$5)-COLUMN()+1)</f>
        <v>0.9</v>
      </c>
      <c r="W22" s="149"/>
      <c r="X22" s="149"/>
      <c r="Y22" s="45"/>
      <c r="Z22" s="45"/>
      <c r="AA22" s="45"/>
      <c r="AB22" s="45"/>
    </row>
    <row r="23" spans="2:28" x14ac:dyDescent="0.35">
      <c r="B23" t="s">
        <v>520</v>
      </c>
      <c r="C23" s="2"/>
      <c r="D23" s="130" t="e">
        <f>D$18*D$22</f>
        <v>#VALUE!</v>
      </c>
      <c r="E23" s="130" t="e">
        <f t="shared" ref="E23:V23" si="3">E$18*E$22</f>
        <v>#VALUE!</v>
      </c>
      <c r="F23" s="130" t="e">
        <f t="shared" si="3"/>
        <v>#VALUE!</v>
      </c>
      <c r="G23" s="130" t="e">
        <f t="shared" si="3"/>
        <v>#VALUE!</v>
      </c>
      <c r="H23" s="130" t="e">
        <f t="shared" si="3"/>
        <v>#VALUE!</v>
      </c>
      <c r="I23" s="130" t="e">
        <f t="shared" si="3"/>
        <v>#VALUE!</v>
      </c>
      <c r="J23" s="130" t="e">
        <f t="shared" si="3"/>
        <v>#VALUE!</v>
      </c>
      <c r="K23" s="130" t="e">
        <f t="shared" si="3"/>
        <v>#VALUE!</v>
      </c>
      <c r="L23" s="130" t="e">
        <f t="shared" si="3"/>
        <v>#VALUE!</v>
      </c>
      <c r="M23" s="130">
        <f t="shared" si="3"/>
        <v>0.32858821197842358</v>
      </c>
      <c r="N23" s="130">
        <f t="shared" si="3"/>
        <v>0.52365687481240364</v>
      </c>
      <c r="O23" s="130">
        <f t="shared" si="3"/>
        <v>-0.19874295982850554</v>
      </c>
      <c r="P23" s="130">
        <f t="shared" si="3"/>
        <v>0.19067730828812635</v>
      </c>
      <c r="Q23" s="130">
        <f t="shared" si="3"/>
        <v>0.150232532819493</v>
      </c>
      <c r="R23" s="130">
        <f t="shared" si="3"/>
        <v>0.12424044740812859</v>
      </c>
      <c r="S23" s="130">
        <f t="shared" si="3"/>
        <v>0.22368868485759971</v>
      </c>
      <c r="T23" s="130">
        <f t="shared" si="3"/>
        <v>0.199659245278654</v>
      </c>
      <c r="U23" s="130">
        <f t="shared" si="3"/>
        <v>0.1695292732651541</v>
      </c>
      <c r="V23" s="148">
        <f t="shared" si="3"/>
        <v>0.20219550430434677</v>
      </c>
      <c r="W23" s="149"/>
      <c r="X23" s="149"/>
      <c r="Y23" s="45"/>
      <c r="Z23" s="45"/>
      <c r="AA23" s="45"/>
      <c r="AB23" s="45"/>
    </row>
    <row r="24" spans="2:28" x14ac:dyDescent="0.35">
      <c r="C24" s="2" t="s">
        <v>509</v>
      </c>
      <c r="D24" s="130">
        <f>_xlfn.AGGREGATE(1,2,$D23:$V23)</f>
        <v>0.19137251231838243</v>
      </c>
      <c r="E24" s="130" t="s">
        <v>508</v>
      </c>
      <c r="F24" s="130">
        <f>_xlfn.AGGREGATE(7,2,$D23:$V23)</f>
        <v>0.17930052114913825</v>
      </c>
      <c r="G24" s="130" t="s">
        <v>521</v>
      </c>
      <c r="H24" s="97">
        <v>1</v>
      </c>
      <c r="I24" t="s">
        <v>511</v>
      </c>
      <c r="J24" s="130">
        <f>$D24-$H24*$F24</f>
        <v>1.2071991169244178E-2</v>
      </c>
      <c r="K24" s="130" t="s">
        <v>512</v>
      </c>
      <c r="L24" s="130">
        <f>$D24+$H24*$F24</f>
        <v>0.37067303346752067</v>
      </c>
      <c r="M24" s="130"/>
      <c r="N24" s="130"/>
      <c r="O24" s="130"/>
      <c r="P24" s="130"/>
      <c r="Q24" s="130"/>
      <c r="R24" s="130"/>
      <c r="S24" s="130"/>
      <c r="T24" s="130"/>
      <c r="U24" s="130"/>
      <c r="V24" s="148"/>
      <c r="W24" s="149"/>
      <c r="X24" s="149"/>
      <c r="Y24" s="45"/>
      <c r="Z24" s="45"/>
      <c r="AA24" s="45"/>
      <c r="AB24" s="45"/>
    </row>
    <row r="25" spans="2:28" x14ac:dyDescent="0.35">
      <c r="B25" t="s">
        <v>522</v>
      </c>
      <c r="C25" s="2"/>
      <c r="D25" s="130" t="e" cm="1">
        <f t="array" ref="D25">CLIP(D$23,$I$24,$L$24)</f>
        <v>#VALUE!</v>
      </c>
      <c r="E25" s="130" t="e" cm="1">
        <f t="array" ref="E25">CLIP(E$23,$I$24,$L$24)</f>
        <v>#VALUE!</v>
      </c>
      <c r="F25" s="130" t="e" cm="1">
        <f t="array" ref="F25">CLIP(F$23,$I$24,$L$24)</f>
        <v>#VALUE!</v>
      </c>
      <c r="G25" s="130" t="e" cm="1">
        <f t="array" ref="G25">CLIP(G$23,$I$24,$L$24)</f>
        <v>#VALUE!</v>
      </c>
      <c r="H25" s="130" t="e" cm="1">
        <f t="array" ref="H25">CLIP(H$23,$I$24,$L$24)</f>
        <v>#VALUE!</v>
      </c>
      <c r="I25" s="130" t="e" cm="1">
        <f t="array" ref="I25">CLIP(I$23,$I$24,$L$24)</f>
        <v>#VALUE!</v>
      </c>
      <c r="J25" s="130" t="e" cm="1">
        <f t="array" ref="J25">CLIP(J$23,$I$24,$L$24)</f>
        <v>#VALUE!</v>
      </c>
      <c r="K25" s="130" t="e" cm="1">
        <f t="array" ref="K25">CLIP(K$23,$I$24,$L$24)</f>
        <v>#VALUE!</v>
      </c>
      <c r="L25" s="130" t="e" cm="1">
        <f t="array" ref="L25">CLIP(L$23,$I$24,$L$24)</f>
        <v>#VALUE!</v>
      </c>
      <c r="M25" s="130" cm="1">
        <f t="array" ref="M25">CLIP(M$23,$I$24,$L$24)</f>
        <v>0.32858821197842358</v>
      </c>
      <c r="N25" s="130" cm="1">
        <f t="array" ref="N25">CLIP(N$23,$I$24,$L$24)</f>
        <v>0.37067303346752067</v>
      </c>
      <c r="O25" s="130" cm="1">
        <f t="array" ref="O25">CLIP(O$23,$I$24,$L$24)</f>
        <v>-0.19874295982850554</v>
      </c>
      <c r="P25" s="130" cm="1">
        <f t="array" ref="P25">CLIP(P$23,$I$24,$L$24)</f>
        <v>0.19067730828812635</v>
      </c>
      <c r="Q25" s="130" cm="1">
        <f t="array" ref="Q25">CLIP(Q$23,$I$24,$L$24)</f>
        <v>0.150232532819493</v>
      </c>
      <c r="R25" s="130" cm="1">
        <f t="array" ref="R25">CLIP(R$23,$I$24,$L$24)</f>
        <v>0.12424044740812859</v>
      </c>
      <c r="S25" s="130" cm="1">
        <f t="array" ref="S25">CLIP(S$23,$I$24,$L$24)</f>
        <v>0.22368868485759971</v>
      </c>
      <c r="T25" s="130" cm="1">
        <f t="array" ref="T25">CLIP(T$23,$I$24,$L$24)</f>
        <v>0.199659245278654</v>
      </c>
      <c r="U25" s="130" cm="1">
        <f t="array" ref="U25">CLIP(U$23,$I$24,$L$24)</f>
        <v>0.1695292732651541</v>
      </c>
      <c r="V25" s="148" cm="1">
        <f t="array" ref="V25">CLIP(V$23,$I$24,$L$24)</f>
        <v>0.20219550430434677</v>
      </c>
      <c r="W25" s="149"/>
      <c r="X25" s="149"/>
      <c r="Y25" s="45"/>
      <c r="Z25" s="45"/>
      <c r="AA25" s="45"/>
      <c r="AB25" s="45"/>
    </row>
    <row r="26" spans="2:28" x14ac:dyDescent="0.35">
      <c r="C26" s="2" t="s">
        <v>509</v>
      </c>
      <c r="D26" s="130">
        <f>_xlfn.AGGREGATE(1,2,$D25:$V25)</f>
        <v>0.17607412818389415</v>
      </c>
      <c r="E26" s="130" t="s">
        <v>508</v>
      </c>
      <c r="F26" s="130">
        <f>_xlfn.AGGREGATE(7,2,$D25:$V25)</f>
        <v>0.15229119246226366</v>
      </c>
      <c r="G26" s="130" t="s">
        <v>521</v>
      </c>
      <c r="H26" s="97">
        <v>1</v>
      </c>
      <c r="I26" t="s">
        <v>511</v>
      </c>
      <c r="J26" s="130">
        <f>$D26-$H26*$F26</f>
        <v>2.3782935721630483E-2</v>
      </c>
      <c r="K26" s="130" t="s">
        <v>512</v>
      </c>
      <c r="L26" s="130">
        <f>$D26+$H26*$F26</f>
        <v>0.32836532064615781</v>
      </c>
      <c r="M26" s="130"/>
      <c r="N26" s="130"/>
      <c r="O26" s="130"/>
      <c r="P26" s="130"/>
      <c r="Q26" s="130"/>
      <c r="R26" s="130"/>
      <c r="S26" s="130"/>
      <c r="T26" s="130"/>
      <c r="U26" s="130"/>
      <c r="V26" s="148"/>
      <c r="W26" s="149"/>
      <c r="X26" s="149"/>
      <c r="Y26" s="45"/>
      <c r="Z26" s="45"/>
      <c r="AA26" s="45"/>
      <c r="AB26" s="45"/>
    </row>
    <row r="27" spans="2:28" x14ac:dyDescent="0.35">
      <c r="B27">
        <v>20</v>
      </c>
      <c r="C27" s="130">
        <f>_xlfn.AGGREGATE(1,2,_xlfn.TAKE($D$25:$V$25,,-$B$27))</f>
        <v>0.17607412818389415</v>
      </c>
      <c r="D27" s="130"/>
      <c r="E27" s="130"/>
      <c r="F27" s="130"/>
      <c r="G27" s="130"/>
      <c r="H27" s="130"/>
      <c r="I27" s="130"/>
      <c r="J27" s="130"/>
      <c r="K27" s="130"/>
      <c r="L27" s="130"/>
      <c r="M27" s="130"/>
      <c r="N27" s="130"/>
      <c r="O27" s="130"/>
      <c r="P27" s="130"/>
      <c r="Q27" s="130"/>
      <c r="R27" s="130"/>
      <c r="S27" s="130"/>
      <c r="T27" s="130"/>
      <c r="U27" s="130"/>
      <c r="V27" s="148"/>
      <c r="W27" s="149"/>
      <c r="X27" s="149"/>
      <c r="Y27" s="45"/>
      <c r="Z27" s="45"/>
      <c r="AA27" s="45"/>
      <c r="AB27" s="45"/>
    </row>
    <row r="28" spans="2:28" x14ac:dyDescent="0.35">
      <c r="C28" s="2"/>
      <c r="D28" s="2"/>
      <c r="E28" s="2"/>
      <c r="F28" s="2"/>
      <c r="G28" s="2"/>
      <c r="H28" s="2"/>
      <c r="I28" s="2"/>
      <c r="J28" s="2"/>
      <c r="K28" s="2"/>
      <c r="L28" s="2"/>
      <c r="M28" s="2"/>
      <c r="N28" s="2"/>
      <c r="O28" s="2"/>
      <c r="P28" s="2"/>
      <c r="Q28" s="2"/>
      <c r="R28" s="2"/>
      <c r="S28" s="2"/>
      <c r="T28" s="2"/>
      <c r="U28" s="2"/>
      <c r="V28" s="31"/>
      <c r="W28" s="149"/>
      <c r="X28" s="149"/>
      <c r="Y28" s="45"/>
      <c r="Z28" s="45"/>
      <c r="AA28" s="45"/>
      <c r="AB28" s="45"/>
    </row>
    <row r="29" spans="2:28" x14ac:dyDescent="0.35">
      <c r="C29">
        <v>5</v>
      </c>
      <c r="F29">
        <v>10</v>
      </c>
      <c r="H29" s="2"/>
      <c r="I29">
        <v>10</v>
      </c>
      <c r="K29" s="2"/>
      <c r="L29" s="2" t="s">
        <v>524</v>
      </c>
      <c r="M29" s="2">
        <f>SUM($M$6:$V$6)</f>
        <v>-45</v>
      </c>
      <c r="N29" s="2"/>
      <c r="O29" s="2"/>
      <c r="P29" s="2"/>
      <c r="Q29" s="2"/>
      <c r="R29" s="2"/>
      <c r="S29" s="2"/>
      <c r="T29" s="2"/>
      <c r="U29" s="2"/>
      <c r="V29" s="31"/>
      <c r="W29" s="149"/>
      <c r="X29" s="149"/>
      <c r="Y29" s="45"/>
      <c r="Z29" s="45"/>
      <c r="AA29" s="45"/>
      <c r="AB29" s="45"/>
    </row>
    <row r="30" spans="2:28" x14ac:dyDescent="0.35">
      <c r="B30" t="s">
        <v>481</v>
      </c>
      <c r="C30" s="140" cm="1">
        <f t="array" ref="C30:D34">LINEST(_xlfn.TAKE($D$25:$V$25,,-C29),,TRUE,TRUE)</f>
        <v>1.0175070219999074E-2</v>
      </c>
      <c r="D30" s="141">
        <v>0.15333742036277939</v>
      </c>
      <c r="F30" s="140" cm="1">
        <f t="array" ref="F30:G34">LINEST(_xlfn.TAKE($D$25:$V$25,,-F29),,TRUE,TRUE)</f>
        <v>-2.9120461857600273E-3</v>
      </c>
      <c r="G30" s="141">
        <v>0.19209038220557428</v>
      </c>
      <c r="H30" s="2"/>
      <c r="I30" s="140" cm="1">
        <f t="array" ref="I30:J34">LINEST(_xlfn.TAKE($D$17:$V$17,,-I29),,TRUE,TRUE)</f>
        <v>0.26969021966329476</v>
      </c>
      <c r="J30" s="141">
        <v>5.1718232739384078</v>
      </c>
      <c r="K30" s="2"/>
      <c r="L30" s="2" t="s">
        <v>526</v>
      </c>
      <c r="M30" s="2">
        <f>SUM($M$25:$V$25)</f>
        <v>1.7607412818389414</v>
      </c>
      <c r="N30" s="2"/>
      <c r="O30" s="2"/>
      <c r="P30" s="2"/>
      <c r="Q30" s="2"/>
      <c r="R30" s="2"/>
      <c r="S30" s="2"/>
      <c r="T30" s="2"/>
      <c r="U30" s="2"/>
      <c r="V30" s="31"/>
      <c r="W30" s="65"/>
      <c r="X30" s="65"/>
      <c r="Y30" s="65"/>
      <c r="Z30" s="65"/>
      <c r="AA30" s="65"/>
      <c r="AB30" s="65"/>
    </row>
    <row r="31" spans="2:28" x14ac:dyDescent="0.35">
      <c r="B31" t="s">
        <v>482</v>
      </c>
      <c r="C31" s="142">
        <v>1.2775851194772378E-2</v>
      </c>
      <c r="D31" s="143">
        <v>4.2372704790473718E-2</v>
      </c>
      <c r="F31" s="142">
        <v>1.7753952382954151E-2</v>
      </c>
      <c r="G31" s="143">
        <v>0.11016037749946135</v>
      </c>
      <c r="H31" s="2"/>
      <c r="I31" s="142">
        <v>3.0630158951545999E-2</v>
      </c>
      <c r="J31" s="143">
        <v>0.19005513815675565</v>
      </c>
      <c r="K31" s="2"/>
      <c r="L31" s="2" t="s">
        <v>525</v>
      </c>
      <c r="M31" s="2">
        <f>SUMPRODUCT($M$25:$V$25,$M$6:$V$6)</f>
        <v>-8.1635795786004373</v>
      </c>
      <c r="N31" s="2"/>
      <c r="O31" s="2"/>
      <c r="P31" s="2"/>
      <c r="Q31" s="2"/>
      <c r="R31" s="2"/>
      <c r="S31" s="2"/>
      <c r="T31" s="2"/>
      <c r="U31" s="2"/>
      <c r="V31" s="31"/>
      <c r="W31" s="149"/>
      <c r="X31" s="149"/>
      <c r="Y31" s="45"/>
      <c r="Z31" s="45"/>
      <c r="AA31" s="45"/>
      <c r="AB31" s="45"/>
    </row>
    <row r="32" spans="2:28" x14ac:dyDescent="0.35">
      <c r="B32" t="s">
        <v>483</v>
      </c>
      <c r="C32" s="142">
        <v>0.17453168902490468</v>
      </c>
      <c r="D32" s="143">
        <v>4.0400788822864193E-2</v>
      </c>
      <c r="F32" s="142">
        <v>3.3516478496448581E-3</v>
      </c>
      <c r="G32" s="143">
        <v>0.16125828065664341</v>
      </c>
      <c r="H32" s="2"/>
      <c r="I32" s="142">
        <v>0.90645817005135487</v>
      </c>
      <c r="J32" s="143">
        <v>0.27821223478713208</v>
      </c>
      <c r="K32" s="2"/>
      <c r="L32" s="2" t="s">
        <v>527</v>
      </c>
      <c r="M32" s="2">
        <f>SUMSQ($M$6:$V$6)</f>
        <v>285</v>
      </c>
      <c r="N32" s="2"/>
      <c r="O32" s="2"/>
      <c r="P32" s="2"/>
      <c r="Q32" s="2"/>
      <c r="R32" s="2"/>
      <c r="S32" s="2"/>
      <c r="T32" s="2"/>
      <c r="U32" s="2"/>
      <c r="V32" s="31"/>
      <c r="W32" s="149"/>
      <c r="X32" s="149"/>
      <c r="Y32" s="45"/>
      <c r="Z32" s="45"/>
      <c r="AA32" s="45"/>
      <c r="AB32" s="45"/>
    </row>
    <row r="33" spans="2:28" x14ac:dyDescent="0.35">
      <c r="B33" t="s">
        <v>484</v>
      </c>
      <c r="C33" s="142">
        <v>0.63430062682383337</v>
      </c>
      <c r="D33" s="144">
        <v>3</v>
      </c>
      <c r="F33" s="142">
        <v>2.6903353363608235E-2</v>
      </c>
      <c r="G33" s="144">
        <v>8</v>
      </c>
      <c r="H33" s="2"/>
      <c r="I33" s="142">
        <v>77.52323601528893</v>
      </c>
      <c r="J33" s="144">
        <v>8</v>
      </c>
      <c r="K33" s="2"/>
      <c r="L33" s="2" t="s">
        <v>529</v>
      </c>
      <c r="M33" s="2">
        <f>COUNT($M$6:$V$6)</f>
        <v>10</v>
      </c>
      <c r="N33" s="2"/>
      <c r="O33" s="2"/>
      <c r="P33" s="2"/>
      <c r="Q33" s="2"/>
      <c r="R33" s="2"/>
      <c r="S33" s="2"/>
      <c r="T33" s="2"/>
      <c r="U33" s="2"/>
      <c r="V33" s="31"/>
      <c r="W33" s="149"/>
      <c r="X33" s="149"/>
      <c r="Y33" s="45"/>
      <c r="Z33" s="45"/>
      <c r="AA33" s="45"/>
      <c r="AB33" s="45"/>
    </row>
    <row r="34" spans="2:28" x14ac:dyDescent="0.35">
      <c r="B34" t="s">
        <v>485</v>
      </c>
      <c r="C34" s="145">
        <v>1.0353205398191227E-3</v>
      </c>
      <c r="D34" s="146">
        <v>4.8966712125290048E-3</v>
      </c>
      <c r="F34" s="145">
        <v>6.9960107150993101E-4</v>
      </c>
      <c r="G34" s="146">
        <v>0.20803386464269422</v>
      </c>
      <c r="H34" s="2"/>
      <c r="I34" s="145">
        <v>6.0004572030179837</v>
      </c>
      <c r="J34" s="146">
        <v>0.61921638068200235</v>
      </c>
      <c r="K34" s="2"/>
      <c r="L34" s="2" t="s">
        <v>528</v>
      </c>
      <c r="M34" s="130">
        <f>($M$33*$M$31-$M$29*$M$30)/($M$33*$M$32-$M$29^2)</f>
        <v>-2.9120461857599944E-3</v>
      </c>
      <c r="N34" s="2"/>
      <c r="O34" s="2"/>
      <c r="P34" s="2"/>
      <c r="Q34" s="2"/>
      <c r="R34" s="2"/>
      <c r="S34" s="2"/>
      <c r="T34" s="2"/>
      <c r="U34" s="2"/>
      <c r="V34" s="31"/>
      <c r="W34" s="149"/>
      <c r="X34" s="149"/>
      <c r="Y34" s="45"/>
      <c r="Z34" s="45"/>
      <c r="AA34" s="45"/>
      <c r="AB34" s="45"/>
    </row>
    <row r="35" spans="2:28" x14ac:dyDescent="0.35">
      <c r="B35" t="s">
        <v>488</v>
      </c>
      <c r="C35" s="67">
        <f>ABS(C30/C31)</f>
        <v>0.79642992587159345</v>
      </c>
      <c r="D35" s="67">
        <f>ABS(D30/D31)</f>
        <v>3.6187781998106692</v>
      </c>
      <c r="F35" s="67">
        <f t="shared" ref="F35:G35" si="4">ABS(F30/F31)</f>
        <v>0.16402241725937761</v>
      </c>
      <c r="G35" s="67">
        <f t="shared" si="4"/>
        <v>1.7437338775142954</v>
      </c>
      <c r="H35" s="2"/>
      <c r="I35" s="67">
        <f t="shared" ref="I35:J35" si="5">ABS(I30/I31)</f>
        <v>8.8047280489115014</v>
      </c>
      <c r="J35" s="67">
        <f t="shared" si="5"/>
        <v>27.212225484126286</v>
      </c>
      <c r="K35" s="2"/>
      <c r="L35" s="2" t="s">
        <v>530</v>
      </c>
      <c r="M35" s="130">
        <f>($M$30-$M$34*$M$29)/$M$33</f>
        <v>0.16296992034797417</v>
      </c>
      <c r="N35" s="2"/>
      <c r="O35" s="2"/>
      <c r="P35" s="2"/>
      <c r="Q35" s="2"/>
      <c r="R35" s="2"/>
      <c r="S35" s="2"/>
      <c r="T35" s="2"/>
      <c r="U35" s="2"/>
      <c r="V35" s="31"/>
      <c r="W35" s="149"/>
      <c r="X35" s="149"/>
      <c r="Y35" s="45"/>
      <c r="Z35" s="45"/>
      <c r="AA35" s="45"/>
      <c r="AB35" s="45"/>
    </row>
    <row r="36" spans="2:28" x14ac:dyDescent="0.35">
      <c r="B36" t="s">
        <v>489</v>
      </c>
      <c r="C36" s="130">
        <f>_xlfn.T.DIST.2T(C35,$D33)</f>
        <v>0.48398440099679751</v>
      </c>
      <c r="D36" s="130">
        <f>_xlfn.T.DIST.2T(D35,$D33)</f>
        <v>3.6278580891848662E-2</v>
      </c>
      <c r="F36" s="130">
        <f>_xlfn.T.DIST.2T(F35,$G33)</f>
        <v>0.87378175407844838</v>
      </c>
      <c r="G36" s="130">
        <f>_xlfn.T.DIST.2T(G35,$G33)</f>
        <v>0.11936493689145559</v>
      </c>
      <c r="H36" s="2"/>
      <c r="I36" s="130">
        <f>_xlfn.T.DIST.2T(I35,$G33)</f>
        <v>2.1767840623392188E-5</v>
      </c>
      <c r="J36" s="130">
        <f>_xlfn.T.DIST.2T(J35,$G33)</f>
        <v>3.5834708513171094E-9</v>
      </c>
      <c r="K36" s="2"/>
      <c r="L36" s="2"/>
      <c r="M36" s="2"/>
      <c r="N36" s="2"/>
      <c r="O36" s="2"/>
      <c r="P36" s="2"/>
      <c r="Q36" s="2"/>
      <c r="R36" s="2"/>
      <c r="S36" s="2"/>
      <c r="T36" s="2"/>
      <c r="U36" s="2"/>
      <c r="V36" s="31"/>
      <c r="W36" s="149"/>
      <c r="X36" s="149"/>
      <c r="Y36" s="45"/>
      <c r="Z36" s="45"/>
      <c r="AA36" s="45"/>
      <c r="AB36" s="45"/>
    </row>
    <row r="37" spans="2:28" x14ac:dyDescent="0.35">
      <c r="B37" t="s">
        <v>490</v>
      </c>
      <c r="C37" t="b">
        <f>C36&lt;p</f>
        <v>0</v>
      </c>
      <c r="D37" t="b">
        <f>D36&lt;p</f>
        <v>1</v>
      </c>
      <c r="F37" t="b">
        <f>F36&lt;p</f>
        <v>0</v>
      </c>
      <c r="G37" t="b">
        <f>G36&lt;p</f>
        <v>0</v>
      </c>
      <c r="H37" s="2"/>
      <c r="I37" t="b">
        <f>I36&lt;p</f>
        <v>1</v>
      </c>
      <c r="J37" t="b">
        <f>J36&lt;p</f>
        <v>1</v>
      </c>
      <c r="K37" s="2"/>
      <c r="L37" s="2"/>
      <c r="M37" s="2"/>
      <c r="N37" s="2"/>
      <c r="O37" s="2"/>
      <c r="P37" s="2"/>
      <c r="Q37" s="2"/>
      <c r="R37" s="2"/>
      <c r="S37" s="2"/>
      <c r="T37" s="2"/>
      <c r="U37" s="2"/>
      <c r="V37" s="31"/>
      <c r="W37" s="149"/>
      <c r="X37" s="149"/>
      <c r="Y37" s="45"/>
      <c r="Z37" s="45"/>
      <c r="AA37" s="45"/>
      <c r="AB37" s="45"/>
    </row>
    <row r="38" spans="2:28" x14ac:dyDescent="0.35">
      <c r="B38" t="s">
        <v>486</v>
      </c>
      <c r="C38" t="b">
        <f>IFERROR(AND(C37:D37),FALSE)</f>
        <v>0</v>
      </c>
      <c r="F38" t="b">
        <f>IFERROR(AND(F37:G37),FALSE)</f>
        <v>0</v>
      </c>
      <c r="H38" s="2"/>
      <c r="I38" t="b">
        <f>IFERROR(AND(I37:J37),FALSE)</f>
        <v>1</v>
      </c>
      <c r="K38" s="2"/>
      <c r="L38" s="2"/>
      <c r="M38" s="2"/>
      <c r="N38" s="2"/>
      <c r="O38" s="2"/>
      <c r="P38" s="2"/>
      <c r="Q38" s="2"/>
      <c r="R38" s="2"/>
      <c r="S38" s="2"/>
      <c r="T38" s="2"/>
      <c r="U38" s="2"/>
      <c r="V38" s="31"/>
      <c r="W38" s="149"/>
      <c r="X38" s="149"/>
      <c r="Y38" s="45"/>
      <c r="Z38" s="45"/>
      <c r="AA38" s="45"/>
      <c r="AB38" s="45"/>
    </row>
    <row r="39" spans="2:28" x14ac:dyDescent="0.35">
      <c r="H39" s="2"/>
      <c r="I39" s="2"/>
      <c r="J39" s="2"/>
      <c r="K39" s="2"/>
      <c r="L39" s="2"/>
      <c r="M39" s="2"/>
      <c r="N39" s="2"/>
      <c r="O39" s="2"/>
      <c r="P39" s="2"/>
      <c r="Q39" s="2"/>
      <c r="R39" s="2"/>
      <c r="S39" s="2"/>
      <c r="T39" s="2"/>
      <c r="U39" s="2"/>
      <c r="V39" s="31"/>
      <c r="W39" s="149"/>
      <c r="X39" s="149"/>
      <c r="Y39" s="45"/>
      <c r="Z39" s="45"/>
      <c r="AA39" s="45"/>
      <c r="AB39" s="45"/>
    </row>
    <row r="40" spans="2:28" x14ac:dyDescent="0.35">
      <c r="H40" s="2"/>
      <c r="I40" s="2"/>
      <c r="J40" s="2"/>
      <c r="K40" s="2"/>
      <c r="L40" s="2"/>
      <c r="M40" s="2"/>
      <c r="N40" s="2"/>
      <c r="O40" s="2"/>
      <c r="P40" s="2"/>
      <c r="Q40" s="2"/>
      <c r="R40" s="2"/>
      <c r="S40" s="2"/>
      <c r="T40" s="2"/>
      <c r="U40" s="2"/>
      <c r="V40" s="31">
        <f>$J$30+$I$30*$I$29</f>
        <v>7.8687254705713556</v>
      </c>
      <c r="W40" s="65">
        <f>V$40+$F$30</f>
        <v>7.8658134243855953</v>
      </c>
      <c r="X40" s="65">
        <f t="shared" ref="X40:AB40" si="6">W$40+$F$30</f>
        <v>7.8629013781998349</v>
      </c>
      <c r="Y40" s="65">
        <f t="shared" si="6"/>
        <v>7.8599893320140746</v>
      </c>
      <c r="Z40" s="65">
        <f t="shared" si="6"/>
        <v>7.8570772858283142</v>
      </c>
      <c r="AA40" s="65">
        <f t="shared" si="6"/>
        <v>7.8541652396425539</v>
      </c>
      <c r="AB40" s="65">
        <f t="shared" si="6"/>
        <v>7.8512531934567935</v>
      </c>
    </row>
    <row r="41" spans="2:28" x14ac:dyDescent="0.35">
      <c r="H41" s="2"/>
      <c r="I41" s="2"/>
      <c r="J41" s="2"/>
      <c r="K41" s="2"/>
      <c r="L41" s="2"/>
      <c r="M41" s="2"/>
      <c r="N41" s="2"/>
      <c r="O41" s="2"/>
      <c r="P41" s="2"/>
      <c r="Q41" s="2"/>
      <c r="R41" s="2"/>
      <c r="S41" s="2"/>
      <c r="T41" s="2"/>
      <c r="U41" s="2"/>
      <c r="V41" s="31" cm="1">
        <f t="array" ref="V41:AB41">EXP($V$40:$AB$40)</f>
        <v>2614.231548930843</v>
      </c>
      <c r="W41" s="65">
        <v>2606.6298595272688</v>
      </c>
      <c r="X41" s="65">
        <v>2599.0502743943789</v>
      </c>
      <c r="Y41" s="65">
        <v>2591.4927292571474</v>
      </c>
      <c r="Z41" s="65">
        <v>2583.957160027448</v>
      </c>
      <c r="AA41" s="65">
        <v>2576.4435028035105</v>
      </c>
      <c r="AB41" s="65">
        <v>2568.9516938693787</v>
      </c>
    </row>
    <row r="42" spans="2:28" x14ac:dyDescent="0.35">
      <c r="C42" s="2"/>
      <c r="D42" s="2"/>
      <c r="E42" s="2"/>
      <c r="F42" s="2"/>
      <c r="G42" s="2"/>
      <c r="H42" s="2"/>
      <c r="I42" s="2"/>
      <c r="J42" s="2"/>
      <c r="K42" s="2"/>
      <c r="L42" s="2"/>
      <c r="M42" s="2"/>
      <c r="N42" s="2"/>
      <c r="O42" s="2"/>
      <c r="P42" s="2"/>
      <c r="Q42" s="2"/>
      <c r="R42" s="2"/>
      <c r="S42" s="2"/>
      <c r="T42" s="2"/>
      <c r="U42" s="2"/>
      <c r="V42" s="31"/>
      <c r="W42" s="149"/>
      <c r="X42" s="149"/>
      <c r="Y42" s="45"/>
      <c r="Z42" s="45"/>
      <c r="AA42" s="45"/>
      <c r="AB42" s="45"/>
    </row>
    <row r="43" spans="2:28" x14ac:dyDescent="0.35">
      <c r="B43" t="s">
        <v>523</v>
      </c>
      <c r="C43" s="57"/>
      <c r="D43" s="57"/>
      <c r="E43" s="57"/>
      <c r="F43" s="57"/>
      <c r="G43" s="57"/>
      <c r="H43" s="57"/>
      <c r="I43" s="2"/>
      <c r="J43" s="2"/>
      <c r="K43" s="2"/>
      <c r="L43" s="2"/>
      <c r="M43" s="2"/>
      <c r="N43" s="2"/>
      <c r="O43" s="2"/>
      <c r="P43" s="2"/>
      <c r="Q43" s="2"/>
      <c r="R43" s="2"/>
      <c r="S43" s="2"/>
      <c r="T43" s="2"/>
      <c r="U43" s="2"/>
      <c r="V43" s="31"/>
      <c r="W43" s="149" t="e" cm="1">
        <f t="array" ref="W43:AB43">_xlfn.FORECAST.ETS($W$6:$AB$6,$D$25:$V$25,$D$6:$V$6,0)</f>
        <v>#VALUE!</v>
      </c>
      <c r="X43" s="149" t="e">
        <v>#VALUE!</v>
      </c>
      <c r="Y43" s="149" t="e">
        <v>#VALUE!</v>
      </c>
      <c r="Z43" s="149" t="e">
        <v>#VALUE!</v>
      </c>
      <c r="AA43" s="149" t="e">
        <v>#VALUE!</v>
      </c>
      <c r="AB43" s="149" t="e">
        <v>#VALUE!</v>
      </c>
    </row>
    <row r="44" spans="2:28" x14ac:dyDescent="0.35">
      <c r="B44" t="s">
        <v>507</v>
      </c>
      <c r="C44" s="2"/>
      <c r="D44" s="2"/>
      <c r="E44" s="2"/>
      <c r="F44" s="2"/>
      <c r="G44" s="2"/>
      <c r="H44" s="2"/>
      <c r="I44" s="2"/>
      <c r="J44" s="2"/>
      <c r="K44" s="2"/>
      <c r="L44" s="2"/>
      <c r="M44" s="2"/>
      <c r="N44" s="2"/>
      <c r="O44" s="2"/>
      <c r="P44" s="2"/>
      <c r="Q44" s="2"/>
      <c r="R44" s="2"/>
      <c r="S44" s="2"/>
      <c r="T44" s="2"/>
      <c r="U44" s="2"/>
      <c r="V44" s="31"/>
      <c r="W44" s="149" t="e">
        <f>SUM($V$17,$W$43:W$43)</f>
        <v>#VALUE!</v>
      </c>
      <c r="X44" s="149" t="e">
        <f>SUM($V$17,$W$43:X$43)</f>
        <v>#VALUE!</v>
      </c>
      <c r="Y44" s="149" t="e">
        <f>SUM($V$17,$W$43:Y$43)</f>
        <v>#VALUE!</v>
      </c>
      <c r="Z44" s="149" t="e">
        <f>SUM($V$17,$W$43:Z$43)</f>
        <v>#VALUE!</v>
      </c>
      <c r="AA44" s="149" t="e">
        <f>SUM($V$17,$W$43:AA$43)</f>
        <v>#VALUE!</v>
      </c>
      <c r="AB44" s="149" t="e">
        <f>SUM($V$17,$W$43:AB$43)</f>
        <v>#VALUE!</v>
      </c>
    </row>
    <row r="45" spans="2:28" x14ac:dyDescent="0.35">
      <c r="B45" t="s">
        <v>53</v>
      </c>
      <c r="C45" s="2"/>
      <c r="D45" s="2"/>
      <c r="E45" s="2"/>
      <c r="F45" s="2"/>
      <c r="G45" s="2"/>
      <c r="H45" s="2"/>
      <c r="I45" s="2"/>
      <c r="J45" s="2"/>
      <c r="K45" s="2"/>
      <c r="L45" s="2"/>
      <c r="M45" s="2"/>
      <c r="N45" s="2"/>
      <c r="O45" s="2"/>
      <c r="P45" s="2"/>
      <c r="Q45" s="2"/>
      <c r="R45" s="2"/>
      <c r="S45" s="2"/>
      <c r="T45" s="2"/>
      <c r="U45" s="2"/>
      <c r="V45" s="31"/>
      <c r="W45" s="139" t="e" cm="1">
        <f t="array" ref="W45:AB45">EXP($W$44:$AB$44)</f>
        <v>#VALUE!</v>
      </c>
      <c r="X45" s="139" t="e">
        <v>#VALUE!</v>
      </c>
      <c r="Y45" s="139" t="e">
        <v>#VALUE!</v>
      </c>
      <c r="Z45" s="139" t="e">
        <v>#VALUE!</v>
      </c>
      <c r="AA45" s="139" t="e">
        <v>#VALUE!</v>
      </c>
      <c r="AB45" s="139" t="e">
        <v>#VALUE!</v>
      </c>
    </row>
    <row r="46" spans="2:28" x14ac:dyDescent="0.35">
      <c r="C46" s="2"/>
      <c r="D46" s="2"/>
      <c r="E46" s="2"/>
      <c r="F46" s="2"/>
      <c r="G46" s="2"/>
      <c r="H46" s="2"/>
      <c r="I46" s="2"/>
      <c r="J46" s="2"/>
      <c r="K46" s="2"/>
      <c r="L46" s="2"/>
      <c r="M46" s="2"/>
      <c r="N46" s="2"/>
      <c r="O46" s="2"/>
      <c r="P46" s="2"/>
      <c r="Q46" s="2"/>
      <c r="R46" s="2"/>
      <c r="S46" s="2"/>
      <c r="T46" s="2"/>
      <c r="U46" s="2"/>
      <c r="V46" s="31"/>
      <c r="W46" s="149"/>
      <c r="X46" s="149"/>
      <c r="Y46" s="45"/>
      <c r="Z46" s="45"/>
      <c r="AA46" s="45"/>
      <c r="AB46" s="45"/>
    </row>
    <row r="47" spans="2:28" x14ac:dyDescent="0.35">
      <c r="C47" s="2"/>
      <c r="D47" s="2"/>
      <c r="E47" s="2"/>
      <c r="F47" s="2"/>
      <c r="G47" s="2"/>
      <c r="H47" s="2"/>
      <c r="I47" s="2"/>
      <c r="J47" s="2"/>
      <c r="K47" s="2"/>
      <c r="L47" s="2"/>
      <c r="M47" s="2"/>
      <c r="N47" s="2"/>
      <c r="O47" s="2"/>
      <c r="P47" s="2"/>
      <c r="Q47" s="2"/>
      <c r="R47" s="2"/>
      <c r="S47" s="2"/>
      <c r="T47" s="2"/>
      <c r="U47" s="2"/>
      <c r="V47" s="31"/>
      <c r="W47" s="149"/>
      <c r="X47" s="149"/>
      <c r="Y47" s="45"/>
      <c r="Z47" s="45"/>
      <c r="AA47" s="45"/>
      <c r="AB47" s="45"/>
    </row>
    <row r="48" spans="2:28" x14ac:dyDescent="0.35">
      <c r="B48" t="s">
        <v>303</v>
      </c>
      <c r="D48" s="13" t="e" cm="1">
        <f t="array" ref="D48:V48">$D$13:$V$13/C13:U13-1</f>
        <v>#VALUE!</v>
      </c>
      <c r="E48" s="13" t="e">
        <v>#VALUE!</v>
      </c>
      <c r="F48" s="13" t="e">
        <v>#VALUE!</v>
      </c>
      <c r="G48" s="13" t="e">
        <v>#VALUE!</v>
      </c>
      <c r="H48" s="13" t="e">
        <v>#VALUE!</v>
      </c>
      <c r="I48" s="13" t="e">
        <v>#VALUE!</v>
      </c>
      <c r="J48" s="13" t="e">
        <v>#VALUE!</v>
      </c>
      <c r="K48" s="13" t="e">
        <v>#VALUE!</v>
      </c>
      <c r="L48" s="13" t="e">
        <v>#VALUE!</v>
      </c>
      <c r="M48" s="13">
        <v>1.5660860195743918</v>
      </c>
      <c r="N48" s="13">
        <v>2.863795245970933</v>
      </c>
      <c r="O48" s="13">
        <v>-0.36978313340831792</v>
      </c>
      <c r="P48" s="13">
        <v>0.48982532839306403</v>
      </c>
      <c r="Q48" s="13">
        <v>0.32669251618223538</v>
      </c>
      <c r="R48" s="13">
        <v>0.2341744544431299</v>
      </c>
      <c r="S48" s="13">
        <v>0.40626447012373057</v>
      </c>
      <c r="T48" s="13">
        <v>0.31505829427625387</v>
      </c>
      <c r="U48" s="13">
        <v>0.23280911544198024</v>
      </c>
      <c r="V48" s="33">
        <v>0.25189909132848798</v>
      </c>
      <c r="W48" s="149"/>
      <c r="X48" s="149"/>
      <c r="Y48" s="45"/>
      <c r="Z48" s="45"/>
      <c r="AA48" s="45"/>
      <c r="AB48" s="45"/>
    </row>
    <row r="49" spans="2:28" x14ac:dyDescent="0.35">
      <c r="B49" t="s">
        <v>508</v>
      </c>
      <c r="C49" s="2">
        <f>_xlfn.AGGREGATE(7,2,_xlfn.ANCHORARRAY($D48))</f>
        <v>0.91796424808848254</v>
      </c>
      <c r="D49" s="2" t="s">
        <v>509</v>
      </c>
      <c r="E49" s="2">
        <f>_xlfn.AGGREGATE(1,2,_xlfn.ANCHORARRAY($D48))</f>
        <v>0.63168214023258873</v>
      </c>
      <c r="F49" s="2" t="s">
        <v>510</v>
      </c>
      <c r="G49" s="97">
        <v>2</v>
      </c>
      <c r="H49" s="2" t="s">
        <v>511</v>
      </c>
      <c r="I49" s="2">
        <f>$E49-$G49*$C49</f>
        <v>-1.2042463559443763</v>
      </c>
      <c r="J49" s="2" t="s">
        <v>512</v>
      </c>
      <c r="K49" s="2">
        <f>$E49+$G49*$C49</f>
        <v>2.467610636409554</v>
      </c>
      <c r="L49" s="2"/>
      <c r="M49" s="2"/>
      <c r="N49" s="2"/>
      <c r="O49" s="2"/>
      <c r="P49" s="2"/>
      <c r="Q49" s="2"/>
      <c r="R49" s="2"/>
      <c r="S49" s="2"/>
      <c r="T49" s="2"/>
      <c r="U49" s="2"/>
      <c r="V49" s="31"/>
      <c r="W49" s="149"/>
      <c r="X49" s="149"/>
      <c r="Y49" s="45"/>
      <c r="Z49" s="45"/>
      <c r="AA49" s="45"/>
      <c r="AB49" s="45"/>
    </row>
    <row r="50" spans="2:28" x14ac:dyDescent="0.35">
      <c r="B50" t="s">
        <v>514</v>
      </c>
      <c r="C50" s="2"/>
      <c r="D50" s="130" t="e" cm="1">
        <f t="array" ref="D50">CLIP(D48,$I49,$K49)</f>
        <v>#VALUE!</v>
      </c>
      <c r="E50" s="130" t="e" cm="1">
        <f t="array" ref="E50">CLIP(E48,$I49,$K49)</f>
        <v>#VALUE!</v>
      </c>
      <c r="F50" s="130" t="e" cm="1">
        <f t="array" ref="F50">CLIP(F48,$I49,$K49)</f>
        <v>#VALUE!</v>
      </c>
      <c r="G50" s="130" t="e" cm="1">
        <f t="array" ref="G50">CLIP(G48,$I49,$K49)</f>
        <v>#VALUE!</v>
      </c>
      <c r="H50" s="130" t="e" cm="1">
        <f t="array" ref="H50">CLIP(H48,$I49,$K49)</f>
        <v>#VALUE!</v>
      </c>
      <c r="I50" s="130" t="e" cm="1">
        <f t="array" ref="I50">CLIP(I48,$I49,$K49)</f>
        <v>#VALUE!</v>
      </c>
      <c r="J50" s="130" t="e" cm="1">
        <f t="array" ref="J50">CLIP(J48,$I49,$K49)</f>
        <v>#VALUE!</v>
      </c>
      <c r="K50" s="130" t="e" cm="1">
        <f t="array" ref="K50">CLIP(K48,$I49,$K49)</f>
        <v>#VALUE!</v>
      </c>
      <c r="L50" s="130" t="e" cm="1">
        <f t="array" ref="L50">CLIP(L48,$I49,$K49)</f>
        <v>#VALUE!</v>
      </c>
      <c r="M50" s="130" cm="1">
        <f t="array" ref="M50">CLIP(M48,$I49,$K49)</f>
        <v>1.5660860195743918</v>
      </c>
      <c r="N50" s="130" cm="1">
        <f t="array" ref="N50">CLIP(N48,$I49,$K49)</f>
        <v>2.467610636409554</v>
      </c>
      <c r="O50" s="130" cm="1">
        <f t="array" ref="O50">CLIP(O48,$I49,$K49)</f>
        <v>-0.36978313340831792</v>
      </c>
      <c r="P50" s="130" cm="1">
        <f t="array" ref="P50">CLIP(P48,$I49,$K49)</f>
        <v>0.48982532839306403</v>
      </c>
      <c r="Q50" s="130" cm="1">
        <f t="array" ref="Q50">CLIP(Q48,$I49,$K49)</f>
        <v>0.32669251618223538</v>
      </c>
      <c r="R50" s="130" cm="1">
        <f t="array" ref="R50">CLIP(R48,$I49,$K49)</f>
        <v>0.2341744544431299</v>
      </c>
      <c r="S50" s="130" cm="1">
        <f t="array" ref="S50">CLIP(S48,$I49,$K49)</f>
        <v>0.40626447012373057</v>
      </c>
      <c r="T50" s="130" cm="1">
        <f t="array" ref="T50">CLIP(T48,$I49,$K49)</f>
        <v>0.31505829427625387</v>
      </c>
      <c r="U50" s="130" cm="1">
        <f t="array" ref="U50">CLIP(U48,$I49,$K49)</f>
        <v>0.23280911544198024</v>
      </c>
      <c r="V50" s="148" cm="1">
        <f t="array" ref="V50">CLIP(V48,$I49,$K49)</f>
        <v>0.25189909132848798</v>
      </c>
      <c r="W50" s="149"/>
      <c r="X50" s="149"/>
      <c r="Y50" s="45"/>
      <c r="Z50" s="45"/>
      <c r="AA50" s="45"/>
      <c r="AB50" s="45"/>
    </row>
    <row r="51" spans="2:28" x14ac:dyDescent="0.35">
      <c r="C51" s="2"/>
      <c r="D51" s="130"/>
      <c r="E51" s="130"/>
      <c r="F51" s="130"/>
      <c r="G51" s="130"/>
      <c r="H51" s="130"/>
      <c r="I51" s="130"/>
      <c r="J51" s="130"/>
      <c r="K51" s="130"/>
      <c r="L51" s="130"/>
      <c r="M51" s="130"/>
      <c r="N51" s="130"/>
      <c r="O51" s="130"/>
      <c r="P51" s="130"/>
      <c r="Q51" s="130"/>
      <c r="R51" s="130"/>
      <c r="S51" s="130"/>
      <c r="T51" s="130"/>
      <c r="U51" s="130"/>
      <c r="V51" s="148"/>
      <c r="W51" s="45"/>
      <c r="X51" s="45"/>
      <c r="Y51" s="45"/>
      <c r="Z51" s="45"/>
      <c r="AA51" s="45"/>
      <c r="AB51" s="45"/>
    </row>
    <row r="52" spans="2:28" x14ac:dyDescent="0.35">
      <c r="C52" s="2"/>
      <c r="D52" s="130"/>
      <c r="E52" s="130"/>
      <c r="F52" s="130"/>
      <c r="G52" s="130"/>
      <c r="H52" s="130"/>
      <c r="I52" s="130"/>
      <c r="J52" s="130"/>
      <c r="K52" s="130"/>
      <c r="L52" s="130"/>
      <c r="M52" s="130"/>
      <c r="N52" s="130"/>
      <c r="O52" s="130"/>
      <c r="P52" s="130"/>
      <c r="Q52" s="130"/>
      <c r="R52" s="130"/>
      <c r="S52" s="130"/>
      <c r="T52" s="130"/>
      <c r="U52" s="130"/>
      <c r="V52" s="148"/>
      <c r="W52" s="45"/>
      <c r="X52" s="45"/>
      <c r="Y52" s="45"/>
      <c r="Z52" s="45"/>
      <c r="AA52" s="45"/>
      <c r="AB52" s="45"/>
    </row>
    <row r="53" spans="2:28" x14ac:dyDescent="0.35">
      <c r="C53" s="2"/>
      <c r="D53" s="130"/>
      <c r="E53" s="130"/>
      <c r="F53" s="130"/>
      <c r="G53" s="130"/>
      <c r="H53" s="130"/>
      <c r="I53" s="130"/>
      <c r="J53" s="130"/>
      <c r="K53" s="130"/>
      <c r="L53" s="130"/>
      <c r="M53" s="130"/>
      <c r="N53" s="130"/>
      <c r="O53" s="130"/>
      <c r="P53" s="130"/>
      <c r="Q53" s="130"/>
      <c r="R53" s="130"/>
      <c r="S53" s="130"/>
      <c r="T53" s="130"/>
      <c r="U53" s="130"/>
      <c r="V53" s="148"/>
      <c r="W53" s="45"/>
      <c r="X53" s="45"/>
      <c r="Y53" s="45"/>
      <c r="Z53" s="45"/>
      <c r="AA53" s="45"/>
      <c r="AB53" s="45"/>
    </row>
    <row r="54" spans="2:28" x14ac:dyDescent="0.35">
      <c r="C54" s="2"/>
      <c r="D54" s="130"/>
      <c r="E54" s="130"/>
      <c r="F54" s="130"/>
      <c r="G54" s="130"/>
      <c r="H54" s="130"/>
      <c r="I54" s="130"/>
      <c r="J54" s="130"/>
      <c r="K54" s="130"/>
      <c r="L54" s="130"/>
      <c r="M54" s="130"/>
      <c r="N54" s="130"/>
      <c r="O54" s="130"/>
      <c r="P54" s="130"/>
      <c r="Q54" s="130"/>
      <c r="R54" s="130"/>
      <c r="S54" s="130"/>
      <c r="T54" s="130"/>
      <c r="U54" s="130"/>
      <c r="V54" s="148"/>
      <c r="W54" s="45"/>
      <c r="X54" s="45"/>
      <c r="Y54" s="45"/>
      <c r="Z54" s="45"/>
      <c r="AA54" s="45"/>
      <c r="AB54" s="45"/>
    </row>
    <row r="55" spans="2:28" x14ac:dyDescent="0.35">
      <c r="C55" s="2"/>
      <c r="D55" s="130"/>
      <c r="E55" s="130"/>
      <c r="F55" s="130"/>
      <c r="G55" s="130"/>
      <c r="H55" s="130"/>
      <c r="I55" s="130"/>
      <c r="J55" s="130"/>
      <c r="K55" s="130"/>
      <c r="L55" s="130"/>
      <c r="M55" s="130"/>
      <c r="N55" s="130"/>
      <c r="O55" s="130"/>
      <c r="P55" s="130"/>
      <c r="Q55" s="130"/>
      <c r="R55" s="130"/>
      <c r="S55" s="130"/>
      <c r="T55" s="130"/>
      <c r="U55" s="130"/>
      <c r="V55" s="148"/>
      <c r="W55" s="45"/>
      <c r="X55" s="45"/>
      <c r="Y55" s="45"/>
      <c r="Z55" s="45"/>
      <c r="AA55" s="45"/>
      <c r="AB55" s="45"/>
    </row>
    <row r="56" spans="2:28" x14ac:dyDescent="0.35">
      <c r="B56" t="s">
        <v>505</v>
      </c>
      <c r="C56">
        <v>0.9</v>
      </c>
      <c r="V56" s="23"/>
      <c r="W56" s="45"/>
      <c r="X56" s="45"/>
      <c r="Y56" s="45"/>
      <c r="Z56" s="45"/>
      <c r="AA56" s="45"/>
      <c r="AB56" s="45"/>
    </row>
    <row r="57" spans="2:28" x14ac:dyDescent="0.35">
      <c r="B57" t="s">
        <v>515</v>
      </c>
      <c r="C57" s="2">
        <f>$C$56^(COLUMN($V$5)-COLUMN())</f>
        <v>0.13508517176729934</v>
      </c>
      <c r="D57" s="2">
        <f>$C$56^(COLUMN($V$5)-COLUMN())</f>
        <v>0.15009463529699923</v>
      </c>
      <c r="E57" s="2">
        <f>$C$56^(COLUMN($V$5)-COLUMN())</f>
        <v>0.16677181699666582</v>
      </c>
      <c r="F57" s="2">
        <f>$C$56^(COLUMN($V$5)-COLUMN())</f>
        <v>0.18530201888518424</v>
      </c>
      <c r="G57" s="2">
        <f>$C$56^(COLUMN($V$5)-COLUMN())</f>
        <v>0.20589113209464913</v>
      </c>
      <c r="H57" s="2">
        <f>$C$56^(COLUMN($V$5)-COLUMN())</f>
        <v>0.22876792454961015</v>
      </c>
      <c r="I57" s="2">
        <f>$C$56^(COLUMN($V$5)-COLUMN())</f>
        <v>0.25418658283290019</v>
      </c>
      <c r="J57" s="2">
        <f>$C$56^(COLUMN($V$5)-COLUMN())</f>
        <v>0.28242953648100017</v>
      </c>
      <c r="K57" s="2">
        <f>$C$56^(COLUMN($V$5)-COLUMN())</f>
        <v>0.31381059609000017</v>
      </c>
      <c r="L57" s="2">
        <f>$C$56^(COLUMN($V$5)-COLUMN())</f>
        <v>0.34867844010000015</v>
      </c>
      <c r="M57" s="2">
        <f>$C$56^(COLUMN($V$5)-COLUMN())</f>
        <v>0.38742048900000015</v>
      </c>
      <c r="N57" s="2">
        <f>$C$56^(COLUMN($V$5)-COLUMN())</f>
        <v>0.43046721000000016</v>
      </c>
      <c r="O57" s="2">
        <f>$C$56^(COLUMN($V$5)-COLUMN())</f>
        <v>0.47829690000000014</v>
      </c>
      <c r="P57" s="2">
        <f>$C$56^(COLUMN($V$5)-COLUMN())</f>
        <v>0.53144100000000016</v>
      </c>
      <c r="Q57" s="2">
        <f>$C$56^(COLUMN($V$5)-COLUMN())</f>
        <v>0.59049000000000018</v>
      </c>
      <c r="R57" s="2">
        <f>$C$56^(COLUMN($V$5)-COLUMN())</f>
        <v>0.65610000000000013</v>
      </c>
      <c r="S57" s="2">
        <f>$C$56^(COLUMN($V$5)-COLUMN())</f>
        <v>0.72900000000000009</v>
      </c>
      <c r="T57" s="2">
        <f>$C$56^(COLUMN($V$5)-COLUMN())</f>
        <v>0.81</v>
      </c>
      <c r="U57" s="2">
        <f>$C$56^(COLUMN($V$5)-COLUMN())</f>
        <v>0.9</v>
      </c>
      <c r="V57" s="31">
        <f>$C$56^(COLUMN($V$5)-COLUMN())</f>
        <v>1</v>
      </c>
      <c r="W57" s="45"/>
      <c r="Y57" s="45"/>
      <c r="AA57" s="45"/>
      <c r="AB57" s="45"/>
    </row>
    <row r="58" spans="2:28" x14ac:dyDescent="0.35">
      <c r="C58" t="s">
        <v>517</v>
      </c>
      <c r="D58" s="2" t="s">
        <v>516</v>
      </c>
      <c r="E58" s="2"/>
      <c r="F58" s="2"/>
      <c r="G58" s="2"/>
      <c r="H58" s="2"/>
      <c r="I58" s="2"/>
      <c r="J58" s="2"/>
      <c r="K58" s="2"/>
      <c r="L58" s="2"/>
      <c r="M58" s="2"/>
      <c r="N58" s="2"/>
      <c r="O58" s="2"/>
      <c r="P58" s="2"/>
      <c r="Q58" s="2"/>
      <c r="R58" s="2"/>
      <c r="S58" s="2"/>
      <c r="T58" s="2"/>
      <c r="U58" s="2"/>
      <c r="V58" s="31"/>
      <c r="W58" s="45"/>
      <c r="X58" s="65"/>
      <c r="Y58" s="45"/>
      <c r="Z58" s="65"/>
      <c r="AA58" s="45"/>
      <c r="AB58" s="45"/>
    </row>
    <row r="59" spans="2:28" x14ac:dyDescent="0.35">
      <c r="B59">
        <v>5</v>
      </c>
      <c r="C59" s="65">
        <f>SUM($R$57:$V$57)</f>
        <v>4.0951000000000004</v>
      </c>
      <c r="D59" s="130">
        <f>SUMPRODUCT($R$50:$V$50,$R$57:$V$57)/$C59</f>
        <v>0.28483630970437179</v>
      </c>
      <c r="E59" s="2"/>
      <c r="F59" s="2"/>
      <c r="G59" s="2"/>
      <c r="H59" s="2"/>
      <c r="I59" s="2"/>
      <c r="J59" s="2"/>
      <c r="K59" s="2"/>
      <c r="L59" s="2"/>
      <c r="M59" s="2"/>
      <c r="N59" s="2"/>
      <c r="O59" s="2"/>
      <c r="P59" s="2"/>
      <c r="Q59" s="2"/>
      <c r="R59" s="2"/>
      <c r="S59" s="2"/>
      <c r="T59" s="2"/>
      <c r="U59" s="2"/>
      <c r="V59" s="31"/>
      <c r="W59" s="45"/>
      <c r="X59" s="65"/>
      <c r="Y59" s="45"/>
      <c r="Z59" s="65"/>
      <c r="AA59" s="45"/>
      <c r="AB59" s="45"/>
    </row>
    <row r="60" spans="2:28" x14ac:dyDescent="0.35">
      <c r="B60">
        <v>10</v>
      </c>
      <c r="C60" s="65">
        <f>SUM($M$57:$V$57)</f>
        <v>6.5132155990000022</v>
      </c>
      <c r="D60" s="130">
        <f>SUMPRODUCT($R$50:$V$50,$R$57:$V$57)/$C60</f>
        <v>0.17908714277007196</v>
      </c>
      <c r="V60" s="23"/>
      <c r="W60" s="45"/>
      <c r="X60" s="45"/>
      <c r="Y60" s="45"/>
      <c r="Z60" s="45"/>
      <c r="AA60" s="45"/>
      <c r="AB60" s="45"/>
    </row>
    <row r="61" spans="2:28" x14ac:dyDescent="0.35">
      <c r="V61" s="23"/>
      <c r="W61" s="45"/>
      <c r="X61" s="45"/>
      <c r="Y61" s="45"/>
      <c r="Z61" s="45"/>
      <c r="AA61" s="45"/>
      <c r="AB61" s="45"/>
    </row>
    <row r="62" spans="2:28" ht="17.5" thickBot="1" x14ac:dyDescent="0.45">
      <c r="B62" s="129" t="s">
        <v>480</v>
      </c>
      <c r="H62" s="81"/>
      <c r="I62" s="81"/>
      <c r="J62" s="81"/>
      <c r="K62" s="81"/>
      <c r="L62" s="81"/>
      <c r="M62" s="81"/>
      <c r="N62" s="81"/>
      <c r="O62" s="81"/>
      <c r="P62" s="81"/>
      <c r="Q62" s="81"/>
      <c r="R62" s="81"/>
      <c r="S62" s="81"/>
      <c r="T62" s="81"/>
      <c r="U62" s="81"/>
      <c r="V62" s="83"/>
      <c r="W62" s="18"/>
    </row>
    <row r="63" spans="2:28" ht="15" thickTop="1" x14ac:dyDescent="0.35">
      <c r="C63">
        <v>5</v>
      </c>
      <c r="F63">
        <v>10</v>
      </c>
      <c r="V63" s="23"/>
      <c r="W63" s="45"/>
      <c r="X63" s="45"/>
      <c r="Y63" s="45"/>
      <c r="Z63" s="45"/>
      <c r="AA63" s="45"/>
      <c r="AB63" s="45"/>
    </row>
    <row r="64" spans="2:28" x14ac:dyDescent="0.35">
      <c r="B64" t="s">
        <v>481</v>
      </c>
      <c r="C64" s="140" cm="1">
        <f t="array" ref="C64:D68">LOGEST(_xlfn.TAKE($C$13:$V$13,,-C$63-1),,TRUE,TRUE)</f>
        <v>1.2947866249320508</v>
      </c>
      <c r="D64" s="141">
        <v>536.52817981463045</v>
      </c>
      <c r="F64" s="140" cm="1">
        <f t="array" ref="F64:G68">LOGEST(_xlfn.TAKE($C$13:$V$13,,-F$63-1),,TRUE,TRUE)</f>
        <v>1.3793920183180628</v>
      </c>
      <c r="G64" s="141">
        <v>88.811142998351059</v>
      </c>
      <c r="V64" s="23"/>
      <c r="W64" s="45"/>
      <c r="X64" s="45"/>
      <c r="Y64" s="45"/>
      <c r="Z64" s="45"/>
      <c r="AA64" s="45"/>
      <c r="AB64" s="45"/>
    </row>
    <row r="65" spans="2:28" x14ac:dyDescent="0.35">
      <c r="B65" t="s">
        <v>482</v>
      </c>
      <c r="C65" s="142">
        <v>1.0052193314726749E-2</v>
      </c>
      <c r="D65" s="143">
        <v>3.9147668576246825E-2</v>
      </c>
      <c r="F65" s="142">
        <v>3.9053329278384202E-2</v>
      </c>
      <c r="G65" s="143">
        <v>0.26487256610564908</v>
      </c>
      <c r="V65" s="23"/>
      <c r="W65" s="45"/>
      <c r="X65" s="45"/>
      <c r="Y65" s="45"/>
      <c r="Z65" s="45"/>
      <c r="AA65" s="45"/>
      <c r="AB65" s="45"/>
    </row>
    <row r="66" spans="2:28" x14ac:dyDescent="0.35">
      <c r="B66" t="s">
        <v>483</v>
      </c>
      <c r="C66" s="142">
        <v>0.99398055635594629</v>
      </c>
      <c r="D66" s="143">
        <v>4.2051341627124691E-2</v>
      </c>
      <c r="F66" s="142">
        <v>0.88286059719000343</v>
      </c>
      <c r="G66" s="143">
        <v>0.40959477297671787</v>
      </c>
      <c r="V66" s="23"/>
      <c r="W66" s="45"/>
      <c r="X66" s="45"/>
      <c r="Y66" s="45"/>
      <c r="Z66" s="45"/>
      <c r="AA66" s="45"/>
      <c r="AB66" s="45"/>
    </row>
    <row r="67" spans="2:28" x14ac:dyDescent="0.35">
      <c r="B67" t="s">
        <v>484</v>
      </c>
      <c r="C67" s="142">
        <v>660.51324018149467</v>
      </c>
      <c r="D67" s="144">
        <v>4</v>
      </c>
      <c r="F67" s="142">
        <v>67.831533916885817</v>
      </c>
      <c r="G67" s="144">
        <v>9</v>
      </c>
      <c r="V67" s="23"/>
      <c r="W67" s="45"/>
      <c r="X67" s="45"/>
      <c r="Y67" s="45"/>
      <c r="Z67" s="45"/>
      <c r="AA67" s="45"/>
      <c r="AB67" s="45"/>
    </row>
    <row r="68" spans="2:28" x14ac:dyDescent="0.35">
      <c r="B68" t="s">
        <v>485</v>
      </c>
      <c r="C68" s="145">
        <v>1.1679956900254234</v>
      </c>
      <c r="D68" s="146">
        <v>7.0732613305645991E-3</v>
      </c>
      <c r="F68" s="145">
        <v>11.379952510102299</v>
      </c>
      <c r="G68" s="146">
        <v>1.5099109024486415</v>
      </c>
      <c r="V68" s="23"/>
      <c r="W68" s="45"/>
      <c r="X68" s="45"/>
      <c r="Y68" s="45"/>
      <c r="Z68" s="45"/>
      <c r="AA68" s="45"/>
      <c r="AB68" s="45"/>
    </row>
    <row r="69" spans="2:28" x14ac:dyDescent="0.35">
      <c r="B69" t="s">
        <v>488</v>
      </c>
      <c r="C69" s="67">
        <f>ABS(LN(C$64)/C$65)</f>
        <v>25.70045213963159</v>
      </c>
      <c r="D69" s="67">
        <f t="shared" ref="D69:G69" si="7">ABS(LN(D$64)/D$65)</f>
        <v>160.54900111697734</v>
      </c>
      <c r="F69" s="67">
        <f t="shared" si="7"/>
        <v>8.2359901600770371</v>
      </c>
      <c r="G69" s="67">
        <f t="shared" si="7"/>
        <v>16.938379811489348</v>
      </c>
      <c r="V69" s="23"/>
      <c r="W69" s="45"/>
      <c r="X69" s="45"/>
      <c r="Y69" s="45"/>
      <c r="Z69" s="45"/>
      <c r="AA69" s="45"/>
      <c r="AB69" s="45"/>
    </row>
    <row r="70" spans="2:28" x14ac:dyDescent="0.35">
      <c r="B70" t="s">
        <v>489</v>
      </c>
      <c r="C70" s="130">
        <f>_xlfn.T.DIST.2T(C69,$D67)</f>
        <v>1.3614994193748208E-5</v>
      </c>
      <c r="D70" s="130">
        <f>_xlfn.T.DIST.2T(D69,$D67)</f>
        <v>9.028352389604806E-9</v>
      </c>
      <c r="F70" s="130">
        <f>_xlfn.T.DIST.2T(F69,$G67)</f>
        <v>1.753404899149961E-5</v>
      </c>
      <c r="G70" s="130">
        <f>_xlfn.T.DIST.2T(G69,$G67)</f>
        <v>3.909638571553704E-8</v>
      </c>
      <c r="V70" s="23"/>
      <c r="W70" s="45"/>
      <c r="X70" s="45"/>
      <c r="Y70" s="45"/>
      <c r="Z70" s="45"/>
      <c r="AA70" s="45"/>
      <c r="AB70" s="45"/>
    </row>
    <row r="71" spans="2:28" x14ac:dyDescent="0.35">
      <c r="B71" t="s">
        <v>490</v>
      </c>
      <c r="C71" t="b">
        <f>C70&lt;p</f>
        <v>1</v>
      </c>
      <c r="D71" t="b">
        <f>D70&lt;p</f>
        <v>1</v>
      </c>
      <c r="F71" t="b">
        <f>F70&lt;p</f>
        <v>1</v>
      </c>
      <c r="G71" t="b">
        <f>G70&lt;p</f>
        <v>1</v>
      </c>
      <c r="V71" s="23"/>
      <c r="W71" s="45"/>
      <c r="X71" s="45"/>
      <c r="Y71" s="45"/>
      <c r="Z71" s="45"/>
      <c r="AA71" s="45"/>
      <c r="AB71" s="45"/>
    </row>
    <row r="72" spans="2:28" x14ac:dyDescent="0.35">
      <c r="B72" t="s">
        <v>486</v>
      </c>
      <c r="C72" t="b">
        <f>IFERROR(AND(C71:D71),FALSE)</f>
        <v>1</v>
      </c>
      <c r="F72" t="b">
        <f>IFERROR(AND(F71:G71),FALSE)</f>
        <v>1</v>
      </c>
      <c r="V72" s="23"/>
      <c r="W72" s="45"/>
      <c r="X72" s="45"/>
      <c r="Y72" s="45"/>
      <c r="Z72" s="45"/>
      <c r="AA72" s="45"/>
      <c r="AB72" s="45"/>
    </row>
    <row r="73" spans="2:28" x14ac:dyDescent="0.35">
      <c r="V73" s="23"/>
      <c r="W73" s="45"/>
      <c r="X73" s="45"/>
      <c r="Y73" s="45"/>
      <c r="Z73" s="45"/>
      <c r="AA73" s="45"/>
      <c r="AB73" s="45"/>
    </row>
    <row r="74" spans="2:28" ht="17.5" thickBot="1" x14ac:dyDescent="0.45">
      <c r="B74" s="129" t="s">
        <v>491</v>
      </c>
      <c r="H74" s="81"/>
      <c r="I74" s="81"/>
      <c r="J74" s="81"/>
      <c r="K74" s="81"/>
      <c r="L74" s="81"/>
      <c r="M74" s="81"/>
      <c r="N74" s="81"/>
      <c r="O74" s="81"/>
      <c r="P74" s="81"/>
      <c r="Q74" s="81"/>
      <c r="R74" s="81"/>
      <c r="S74" s="81"/>
      <c r="T74" s="81"/>
      <c r="U74" s="81"/>
      <c r="V74" s="83"/>
      <c r="W74" s="18"/>
    </row>
    <row r="75" spans="2:28" ht="15" thickTop="1" x14ac:dyDescent="0.35">
      <c r="B75" t="s">
        <v>390</v>
      </c>
      <c r="C75" s="81">
        <f>max_terminal_growth</f>
        <v>0.12</v>
      </c>
      <c r="V75" s="17"/>
      <c r="W75" s="18"/>
    </row>
    <row r="76" spans="2:28" x14ac:dyDescent="0.35">
      <c r="B76" t="s">
        <v>391</v>
      </c>
      <c r="C76" s="81">
        <f>max_growth</f>
        <v>0.25</v>
      </c>
      <c r="V76" s="17"/>
      <c r="W76" s="18"/>
    </row>
    <row r="77" spans="2:28" x14ac:dyDescent="0.35">
      <c r="B77" t="s">
        <v>392</v>
      </c>
      <c r="C77" s="81">
        <f>min_terminal_growth</f>
        <v>-0.05</v>
      </c>
      <c r="V77" s="17"/>
      <c r="W77" s="18"/>
    </row>
    <row r="78" spans="2:28" x14ac:dyDescent="0.35">
      <c r="B78" t="s">
        <v>393</v>
      </c>
      <c r="C78" s="81">
        <f>min_growth</f>
        <v>-0.05</v>
      </c>
      <c r="V78" s="17"/>
      <c r="W78" s="18"/>
    </row>
    <row r="79" spans="2:28" x14ac:dyDescent="0.35">
      <c r="B79" t="s">
        <v>394</v>
      </c>
      <c r="C79">
        <f>investment_horizon</f>
        <v>4</v>
      </c>
      <c r="V79" s="17"/>
      <c r="W79" s="18"/>
    </row>
    <row r="80" spans="2:28" x14ac:dyDescent="0.35">
      <c r="B80" t="s">
        <v>487</v>
      </c>
      <c r="C80" cm="1">
        <f t="array" ref="C80">_xlfn.SWITCH(2*$F$72+$C$72,3,INDEX(_xlfn.HSTACK($C$63,$F$63),,ARGMIN(_xlfn.HSTACK($C$64,$F$64))),2,$F$63,1,$C$63,FALSE)</f>
        <v>5</v>
      </c>
      <c r="V80" s="23"/>
      <c r="W80" s="45"/>
      <c r="X80" s="45"/>
      <c r="Y80" s="45"/>
      <c r="Z80" s="45"/>
      <c r="AA80" s="45"/>
      <c r="AB80" s="45"/>
    </row>
    <row r="81" spans="2:28" x14ac:dyDescent="0.35">
      <c r="B81" t="s">
        <v>481</v>
      </c>
      <c r="C81" s="2">
        <f>_xlfn.XLOOKUP($C$80,$C$63:$F$63,C$64:F$64)</f>
        <v>1.2947866249320508</v>
      </c>
      <c r="D81" s="2">
        <f>_xlfn.XLOOKUP($C$80,$C$63:$F$63,D$64:G$64)</f>
        <v>536.52817981463045</v>
      </c>
      <c r="V81" s="23"/>
      <c r="W81" s="45"/>
      <c r="X81" s="45"/>
      <c r="Y81" s="45"/>
      <c r="Z81" s="45"/>
      <c r="AA81" s="45"/>
      <c r="AB81" s="45"/>
    </row>
    <row r="82" spans="2:28" x14ac:dyDescent="0.35">
      <c r="B82" t="s">
        <v>414</v>
      </c>
      <c r="C82" s="81">
        <f>$C$81-1</f>
        <v>0.29478662493205077</v>
      </c>
      <c r="D82" s="2"/>
      <c r="V82" s="23"/>
      <c r="W82" s="45"/>
      <c r="X82" s="45"/>
      <c r="Y82" s="45"/>
      <c r="Z82" s="45"/>
      <c r="AA82" s="45"/>
      <c r="AB82" s="45"/>
    </row>
    <row r="83" spans="2:28" x14ac:dyDescent="0.35">
      <c r="B83" t="s">
        <v>395</v>
      </c>
      <c r="C83" s="81" cm="1">
        <f t="array" ref="C83">CLIP($C$82,$C$77,$C$75)</f>
        <v>0.12</v>
      </c>
      <c r="H83" s="81"/>
      <c r="I83" s="81"/>
      <c r="J83" s="81"/>
      <c r="K83" s="81"/>
      <c r="L83" s="81"/>
      <c r="M83" s="81"/>
      <c r="N83" s="81"/>
      <c r="O83" s="81"/>
      <c r="P83" s="81"/>
      <c r="Q83" s="81"/>
      <c r="R83" s="81"/>
      <c r="S83" s="81"/>
      <c r="T83" s="81"/>
      <c r="U83" s="81"/>
      <c r="V83" s="83"/>
      <c r="W83" s="18"/>
    </row>
    <row r="84" spans="2:28" x14ac:dyDescent="0.35">
      <c r="B84" t="s">
        <v>396</v>
      </c>
      <c r="C84" s="81">
        <f>($C$82-$C$83)/$C$79</f>
        <v>4.3696656233012693E-2</v>
      </c>
      <c r="H84" s="81"/>
      <c r="I84" s="81"/>
      <c r="J84" s="81"/>
      <c r="K84" s="81"/>
      <c r="L84" s="81"/>
      <c r="M84" s="81"/>
      <c r="N84" s="81"/>
      <c r="O84" s="81"/>
      <c r="P84" s="81"/>
      <c r="Q84" s="81"/>
      <c r="R84" s="81"/>
      <c r="S84" s="81"/>
      <c r="T84" s="81"/>
      <c r="U84" s="81"/>
      <c r="V84" s="83"/>
      <c r="W84" s="18"/>
    </row>
    <row r="85" spans="2:28" x14ac:dyDescent="0.35">
      <c r="B85" t="s">
        <v>401</v>
      </c>
      <c r="C85" s="45">
        <f>$D$81*$C$81^($C$80+1)</f>
        <v>2528.0273273446473</v>
      </c>
      <c r="H85" s="81"/>
      <c r="I85" s="81"/>
      <c r="J85" s="81"/>
      <c r="K85" s="81"/>
      <c r="L85" s="81"/>
      <c r="M85" s="81"/>
      <c r="N85" s="81"/>
      <c r="O85" s="81"/>
      <c r="P85" s="81"/>
      <c r="Q85" s="81"/>
      <c r="R85" s="81"/>
      <c r="S85" s="81"/>
      <c r="T85" s="81"/>
      <c r="U85" s="81"/>
      <c r="V85" s="83"/>
      <c r="W85" s="18"/>
    </row>
    <row r="86" spans="2:28" x14ac:dyDescent="0.35">
      <c r="B86" t="s">
        <v>402</v>
      </c>
      <c r="V86" s="83"/>
      <c r="W86" s="104">
        <f>$C$82-$C$84*MIN(COLUMNS($W$5:W$5),$C$79)</f>
        <v>0.2510899686990381</v>
      </c>
      <c r="X86" s="81">
        <f>$C$82-$C$84*MIN(COLUMNS($W$5:X$5),$C$79)</f>
        <v>0.20739331246602538</v>
      </c>
      <c r="Y86" s="81">
        <f>$C$82-$C$84*MIN(COLUMNS($W$5:Y$5),$C$79)</f>
        <v>0.16369665623301269</v>
      </c>
      <c r="Z86" s="81">
        <f>$C$82-$C$84*MIN(COLUMNS($W$5:Z$5),$C$79)</f>
        <v>0.12</v>
      </c>
      <c r="AA86" s="81">
        <f>$C$82-$C$84*MIN(COLUMNS($W$5:AA$5),$C$79)</f>
        <v>0.12</v>
      </c>
      <c r="AB86" s="81">
        <f>$C$82-$C$84*MIN(COLUMNS($W$5:AB$5),$C$79)</f>
        <v>0.12</v>
      </c>
    </row>
    <row r="87" spans="2:28" ht="15" thickBot="1" x14ac:dyDescent="0.4">
      <c r="B87" t="s">
        <v>403</v>
      </c>
      <c r="V87" s="83"/>
      <c r="W87" s="104" cm="1">
        <f t="array" ref="W87">CLIP(W$86,$C$78,$C$76)</f>
        <v>0.25</v>
      </c>
      <c r="X87" s="81" cm="1">
        <f t="array" ref="X87">CLIP(X$86,$C$78,$C$76)</f>
        <v>0.20739331246602538</v>
      </c>
      <c r="Y87" s="81" cm="1">
        <f t="array" ref="Y87">CLIP(Y$86,$C$78,$C$76)</f>
        <v>0.16369665623301269</v>
      </c>
      <c r="Z87" s="81" cm="1">
        <f t="array" ref="Z87">CLIP(Z$86,$C$78,$C$76)</f>
        <v>0.12</v>
      </c>
      <c r="AA87" s="81" cm="1">
        <f t="array" ref="AA87">CLIP(AA$86,$C$78,$C$76)</f>
        <v>0.12</v>
      </c>
      <c r="AB87" s="81" cm="1">
        <f t="array" ref="AB87">CLIP(AB$86,$C$78,$C$76)</f>
        <v>0.12</v>
      </c>
    </row>
    <row r="88" spans="2:28" ht="15.5" thickTop="1" thickBot="1" x14ac:dyDescent="0.4">
      <c r="B88" t="s">
        <v>477</v>
      </c>
      <c r="V88" s="83"/>
      <c r="W88" s="125">
        <f>$C$85*(1+$W$87)/$V$13-1</f>
        <v>0.29253684986030071</v>
      </c>
      <c r="X88" s="81">
        <f>X$87</f>
        <v>0.20739331246602538</v>
      </c>
      <c r="Y88" s="81">
        <f>Y$87</f>
        <v>0.16369665623301269</v>
      </c>
      <c r="Z88" s="81">
        <f>Z$87</f>
        <v>0.12</v>
      </c>
      <c r="AA88" s="81">
        <f>AA$87</f>
        <v>0.12</v>
      </c>
      <c r="AB88" s="81">
        <f>AB$87</f>
        <v>0.12</v>
      </c>
    </row>
    <row r="89" spans="2:28" ht="15" thickTop="1" x14ac:dyDescent="0.35">
      <c r="C89" s="2"/>
      <c r="D89" s="2"/>
      <c r="V89" s="23"/>
      <c r="W89" s="45"/>
      <c r="X89" s="45"/>
      <c r="Y89" s="45"/>
      <c r="Z89" s="45"/>
      <c r="AA89" s="45"/>
      <c r="AB89" s="45"/>
    </row>
    <row r="90" spans="2:28" x14ac:dyDescent="0.35">
      <c r="C90" s="2"/>
      <c r="D90" s="2"/>
      <c r="V90" s="23"/>
      <c r="W90" s="45"/>
      <c r="X90" s="45"/>
      <c r="Y90" s="45"/>
      <c r="Z90" s="45"/>
      <c r="AA90" s="45"/>
      <c r="AB90" s="45"/>
    </row>
    <row r="91" spans="2:28" ht="17.5" thickBot="1" x14ac:dyDescent="0.45">
      <c r="B91" s="129" t="s">
        <v>492</v>
      </c>
      <c r="H91" s="81"/>
      <c r="I91" s="81"/>
      <c r="J91" s="81"/>
      <c r="K91" s="81"/>
      <c r="L91" s="81"/>
      <c r="M91" s="81"/>
      <c r="N91" s="81"/>
      <c r="O91" s="81"/>
      <c r="P91" s="81"/>
      <c r="Q91" s="81"/>
      <c r="R91" s="81"/>
      <c r="S91" s="81"/>
      <c r="T91" s="81"/>
      <c r="U91" s="81"/>
      <c r="V91" s="83"/>
      <c r="W91" s="18"/>
    </row>
    <row r="92" spans="2:28" ht="15" thickTop="1" x14ac:dyDescent="0.35">
      <c r="B92">
        <v>5</v>
      </c>
      <c r="C92" s="2" t="s">
        <v>493</v>
      </c>
      <c r="D92" s="2"/>
      <c r="E92" s="13" cm="1">
        <f t="array" ref="E92">EXP(_xlfn.FORECAST.ETS.CONFINT($AA$6,LN(_xlfn.TAKE($C$13:$V$13,,-$B92-1)),_xlfn.TAKE($C$6:$V$6,,-$B92-1),50%,0))/$AA92</f>
        <v>1.1145504091159091E-4</v>
      </c>
      <c r="F92" t="s">
        <v>505</v>
      </c>
      <c r="G92" s="147" cm="1">
        <f t="array" ref="G92">EXP(_xlfn.FORECAST.ETS.STAT(LN(_xlfn.TAKE($C$13:$V$13,,-$B92-1)),_xlfn.TAKE($C$6:$V$6,,-$B92-1),1,0))</f>
        <v>1.0020020013340003</v>
      </c>
      <c r="V92" s="23"/>
      <c r="W92" s="45" cm="1">
        <f t="array" ref="W92:AB92">EXP(_xlfn.FORECAST.ETS($W$6:$AB$6,LN(_xlfn.TAKE($C$13:$V$13,,-$B92-1)),_xlfn.TAKE($C$6:$V$6,,-$B92-1),0))</f>
        <v>3268.4826062919055</v>
      </c>
      <c r="X92" s="45">
        <v>4231.6042077942348</v>
      </c>
      <c r="Y92" s="45">
        <v>5478.5282127405217</v>
      </c>
      <c r="Z92" s="45">
        <v>7092.8824870979806</v>
      </c>
      <c r="AA92" s="45">
        <v>9182.937464625229</v>
      </c>
      <c r="AB92" s="45">
        <v>11888.867555977142</v>
      </c>
    </row>
    <row r="93" spans="2:28" ht="15" thickBot="1" x14ac:dyDescent="0.4">
      <c r="B93">
        <v>10</v>
      </c>
      <c r="C93" s="2" t="s">
        <v>493</v>
      </c>
      <c r="D93" s="2"/>
      <c r="E93" s="13" cm="1">
        <f t="array" ref="E93">EXP(_xlfn.FORECAST.ETS.CONFINT($AA$6,LN(_xlfn.TAKE($C$13:$V$13,,-$B93-1)),_xlfn.TAKE($C$6:$V$6,,-$B93-1),50%,0))/$AA93</f>
        <v>1.4786031356600474E-4</v>
      </c>
      <c r="F93" t="s">
        <v>505</v>
      </c>
      <c r="G93" s="147" cm="1">
        <f t="array" ref="G93">EXP(_xlfn.FORECAST.ETS.STAT(LN(_xlfn.TAKE($C$13:$V$13,,-$B93-1)),_xlfn.TAKE($C$6:$V$6,,-$B93-1),1,0))</f>
        <v>2.4596031111569499</v>
      </c>
      <c r="V93" s="23"/>
      <c r="W93" s="45" cm="1">
        <f t="array" ref="W93:AB93">EXP(_xlfn.FORECAST.ETS($W$6:$AB$6,LN(_xlfn.TAKE($C$13:$V$13,,-$B93-1)),_xlfn.TAKE($C$6:$V$6,,-$B93-1),0))</f>
        <v>3411.6313466348602</v>
      </c>
      <c r="X93" s="45">
        <v>4708.8988245159962</v>
      </c>
      <c r="Y93" s="45">
        <v>6499.450229697195</v>
      </c>
      <c r="Z93" s="45">
        <v>8970.8560031873112</v>
      </c>
      <c r="AA93" s="45">
        <v>12382.009952505035</v>
      </c>
      <c r="AB93" s="45">
        <v>17090.249850121527</v>
      </c>
    </row>
    <row r="94" spans="2:28" ht="15.5" thickTop="1" thickBot="1" x14ac:dyDescent="0.4">
      <c r="B94" t="s">
        <v>494</v>
      </c>
      <c r="C94" s="3">
        <v>10</v>
      </c>
      <c r="D94" s="2"/>
      <c r="V94" s="117">
        <f>$V$13</f>
        <v>2444.8310000000001</v>
      </c>
      <c r="W94" s="45" cm="1">
        <f t="array" ref="W94:AB94">_xlfn.XLOOKUP($C$94,$B$92:$B$93,$W$92:$AB$93)</f>
        <v>3411.6313466348602</v>
      </c>
      <c r="X94" s="45">
        <v>4708.8988245159962</v>
      </c>
      <c r="Y94" s="45">
        <v>6499.450229697195</v>
      </c>
      <c r="Z94" s="45">
        <v>8970.8560031873112</v>
      </c>
      <c r="AA94" s="45">
        <v>12382.009952505035</v>
      </c>
      <c r="AB94" s="45">
        <v>17090.249850121527</v>
      </c>
    </row>
    <row r="95" spans="2:28" ht="15" thickTop="1" x14ac:dyDescent="0.35">
      <c r="B95" t="s">
        <v>495</v>
      </c>
      <c r="C95" s="2"/>
      <c r="D95" s="2"/>
      <c r="V95" s="23"/>
      <c r="W95" s="66">
        <f t="shared" ref="W95:AB95" si="8">W$94/V$94-1</f>
        <v>0.39544669821139378</v>
      </c>
      <c r="X95" s="66">
        <f t="shared" si="8"/>
        <v>0.38024843427491817</v>
      </c>
      <c r="Y95" s="66">
        <f t="shared" si="8"/>
        <v>0.38024843427491573</v>
      </c>
      <c r="Z95" s="66">
        <f t="shared" si="8"/>
        <v>0.38024843427491817</v>
      </c>
      <c r="AA95" s="66">
        <f t="shared" si="8"/>
        <v>0.38024843427491795</v>
      </c>
      <c r="AB95" s="66">
        <f t="shared" si="8"/>
        <v>0.38024843427491795</v>
      </c>
    </row>
    <row r="96" spans="2:28" x14ac:dyDescent="0.35">
      <c r="B96" t="s">
        <v>496</v>
      </c>
      <c r="C96" s="81" cm="1">
        <f t="array" ref="C96">INDEX($W$95:$AB$95,$C$79)</f>
        <v>0.38024843427491817</v>
      </c>
      <c r="D96" s="2"/>
      <c r="V96" s="23"/>
      <c r="W96" s="66"/>
      <c r="X96" s="66"/>
      <c r="Y96" s="66"/>
      <c r="Z96" s="66"/>
      <c r="AA96" s="66"/>
      <c r="AB96" s="66"/>
    </row>
    <row r="97" spans="2:28" x14ac:dyDescent="0.35">
      <c r="B97" t="s">
        <v>395</v>
      </c>
      <c r="C97" s="81" cm="1">
        <f t="array" ref="C97">CLIP($C$96,$C$77,$C$75)</f>
        <v>0.12</v>
      </c>
      <c r="H97" s="81"/>
      <c r="I97" s="81"/>
      <c r="J97" s="81"/>
      <c r="K97" s="81"/>
      <c r="L97" s="81"/>
      <c r="M97" s="81"/>
      <c r="N97" s="81"/>
      <c r="O97" s="81"/>
      <c r="P97" s="81"/>
      <c r="Q97" s="81"/>
      <c r="R97" s="81"/>
      <c r="S97" s="81"/>
      <c r="T97" s="81"/>
      <c r="U97" s="81"/>
      <c r="V97" s="83"/>
      <c r="W97" s="18"/>
    </row>
    <row r="98" spans="2:28" x14ac:dyDescent="0.35">
      <c r="B98" t="s">
        <v>396</v>
      </c>
      <c r="C98" s="81">
        <f>($C$96-$C$97)/$C$79</f>
        <v>6.5062108568729543E-2</v>
      </c>
      <c r="H98" s="81"/>
      <c r="I98" s="81"/>
      <c r="J98" s="81"/>
      <c r="K98" s="81"/>
      <c r="L98" s="81"/>
      <c r="M98" s="81"/>
      <c r="N98" s="81"/>
      <c r="O98" s="81"/>
      <c r="P98" s="81"/>
      <c r="Q98" s="81"/>
      <c r="R98" s="81"/>
      <c r="S98" s="81"/>
      <c r="T98" s="81"/>
      <c r="U98" s="81"/>
      <c r="V98" s="83"/>
      <c r="W98" s="18"/>
    </row>
    <row r="99" spans="2:28" x14ac:dyDescent="0.35">
      <c r="B99" t="s">
        <v>497</v>
      </c>
      <c r="C99" s="81"/>
      <c r="H99" s="81"/>
      <c r="I99" s="81"/>
      <c r="J99" s="81"/>
      <c r="K99" s="81"/>
      <c r="L99" s="81"/>
      <c r="M99" s="81"/>
      <c r="N99" s="81"/>
      <c r="O99" s="81"/>
      <c r="P99" s="81"/>
      <c r="Q99" s="81"/>
      <c r="R99" s="81"/>
      <c r="S99" s="81"/>
      <c r="T99" s="81"/>
      <c r="U99" s="81"/>
      <c r="V99" s="83"/>
      <c r="W99" s="104">
        <f>W$95-$C$98*MIN(COLUMNS($W$5:W$5),$C$79)</f>
        <v>0.33038458964266426</v>
      </c>
      <c r="X99" s="81">
        <f>X$95-$C$98*MIN(COLUMNS($W$5:X$5),$C$79)</f>
        <v>0.25012421713745908</v>
      </c>
      <c r="Y99" s="81">
        <f>Y$95-$C$98*MIN(COLUMNS($W$5:Y$5),$C$79)</f>
        <v>0.1850621085687271</v>
      </c>
      <c r="Z99" s="81">
        <f>Z$95-$C$98*MIN(COLUMNS($W$5:Z$5),$C$79)</f>
        <v>0.12</v>
      </c>
      <c r="AA99" s="81">
        <f>AA$95-$C$98*MIN(COLUMNS($W$5:AA$5),$C$79)</f>
        <v>0.11999999999999977</v>
      </c>
      <c r="AB99" s="81">
        <f>AB$95-$C$98*MIN(COLUMNS($W$5:AB$5),$C$79)</f>
        <v>0.11999999999999977</v>
      </c>
    </row>
    <row r="100" spans="2:28" x14ac:dyDescent="0.35">
      <c r="B100" t="s">
        <v>498</v>
      </c>
      <c r="C100" s="81"/>
      <c r="H100" s="81"/>
      <c r="I100" s="81"/>
      <c r="J100" s="81"/>
      <c r="K100" s="81"/>
      <c r="L100" s="81"/>
      <c r="M100" s="81"/>
      <c r="N100" s="81"/>
      <c r="O100" s="81"/>
      <c r="P100" s="81"/>
      <c r="Q100" s="81"/>
      <c r="R100" s="81"/>
      <c r="S100" s="81"/>
      <c r="T100" s="81"/>
      <c r="U100" s="81"/>
      <c r="V100" s="83"/>
      <c r="W100" s="104" cm="1">
        <f t="array" ref="W100">CLIP(W$99,$C$78,$C$76)</f>
        <v>0.25</v>
      </c>
      <c r="X100" s="81" cm="1">
        <f t="array" ref="X100">CLIP(X$99,$C$78,$C$76)</f>
        <v>0.25</v>
      </c>
      <c r="Y100" s="81" cm="1">
        <f t="array" ref="Y100">CLIP(Y$99,$C$78,$C$76)</f>
        <v>0.1850621085687271</v>
      </c>
      <c r="Z100" s="81" cm="1">
        <f t="array" ref="Z100">CLIP(Z$99,$C$78,$C$76)</f>
        <v>0.12</v>
      </c>
      <c r="AA100" s="81" cm="1">
        <f t="array" ref="AA100">CLIP(AA$99,$C$78,$C$76)</f>
        <v>0.11999999999999977</v>
      </c>
      <c r="AB100" s="81" cm="1">
        <f t="array" ref="AB100">CLIP(AB$99,$C$78,$C$76)</f>
        <v>0.11999999999999977</v>
      </c>
    </row>
    <row r="101" spans="2:28" x14ac:dyDescent="0.35">
      <c r="C101" s="81"/>
      <c r="H101" s="81"/>
      <c r="I101" s="81"/>
      <c r="J101" s="81"/>
      <c r="K101" s="81"/>
      <c r="L101" s="81"/>
      <c r="M101" s="81"/>
      <c r="N101" s="81"/>
      <c r="O101" s="81"/>
      <c r="P101" s="81"/>
      <c r="Q101" s="81"/>
      <c r="R101" s="81"/>
      <c r="S101" s="81"/>
      <c r="T101" s="81"/>
      <c r="U101" s="81"/>
      <c r="V101" s="83"/>
    </row>
    <row r="102" spans="2:28" x14ac:dyDescent="0.35">
      <c r="C102" s="81"/>
      <c r="H102" s="81"/>
      <c r="I102" s="81"/>
      <c r="J102" s="81"/>
      <c r="K102" s="81"/>
      <c r="L102" s="81"/>
      <c r="M102" s="81"/>
      <c r="N102" s="81"/>
      <c r="O102" s="81"/>
      <c r="P102" s="81"/>
      <c r="Q102" s="81"/>
      <c r="R102" s="81"/>
      <c r="S102" s="81"/>
      <c r="T102" s="81"/>
      <c r="U102" s="81"/>
      <c r="V102" s="83"/>
    </row>
    <row r="103" spans="2:28" ht="17.5" thickBot="1" x14ac:dyDescent="0.45">
      <c r="B103" s="129" t="s">
        <v>499</v>
      </c>
      <c r="H103" s="81"/>
      <c r="I103" s="81"/>
      <c r="J103" s="81"/>
      <c r="K103" s="81"/>
      <c r="L103" s="81"/>
      <c r="M103" s="81"/>
      <c r="N103" s="81"/>
      <c r="O103" s="81"/>
      <c r="P103" s="81"/>
      <c r="Q103" s="81"/>
      <c r="R103" s="81"/>
      <c r="S103" s="81"/>
      <c r="T103" s="81"/>
      <c r="U103" s="81"/>
      <c r="V103" s="83"/>
      <c r="W103" s="18"/>
    </row>
    <row r="104" spans="2:28" ht="15" thickTop="1" x14ac:dyDescent="0.35">
      <c r="B104" t="s">
        <v>503</v>
      </c>
      <c r="C104" s="81"/>
      <c r="H104" s="81"/>
      <c r="I104" s="81"/>
      <c r="J104" s="81"/>
      <c r="K104" s="81"/>
      <c r="L104" s="81"/>
      <c r="M104" s="81"/>
      <c r="N104" s="81"/>
      <c r="O104" s="81"/>
      <c r="P104" s="81"/>
      <c r="Q104" s="81"/>
      <c r="R104" s="81"/>
      <c r="S104" s="81"/>
      <c r="T104" s="81"/>
      <c r="U104" s="81"/>
      <c r="V104" s="83"/>
      <c r="W104" s="104" cm="1">
        <f t="array" ref="W104:AB104">$W$88:$AB$88</f>
        <v>0.29253684986030071</v>
      </c>
      <c r="X104" s="81">
        <v>0.20739331246602538</v>
      </c>
      <c r="Y104" s="81">
        <v>0.16369665623301269</v>
      </c>
      <c r="Z104" s="81">
        <v>0.12</v>
      </c>
      <c r="AA104" s="81">
        <v>0.12</v>
      </c>
      <c r="AB104" s="81">
        <v>0.12</v>
      </c>
    </row>
    <row r="105" spans="2:28" x14ac:dyDescent="0.35">
      <c r="B105" t="s">
        <v>504</v>
      </c>
      <c r="C105" s="81"/>
      <c r="H105" s="81"/>
      <c r="I105" s="81"/>
      <c r="J105" s="81"/>
      <c r="K105" s="81"/>
      <c r="L105" s="81"/>
      <c r="M105" s="81"/>
      <c r="N105" s="81"/>
      <c r="O105" s="81"/>
      <c r="P105" s="81"/>
      <c r="Q105" s="81"/>
      <c r="R105" s="81"/>
      <c r="S105" s="81"/>
      <c r="T105" s="81"/>
      <c r="U105" s="81"/>
      <c r="V105" s="83"/>
      <c r="W105" s="104" cm="1">
        <f t="array" ref="W105:AB105">$W$100:$AB$100</f>
        <v>0.25</v>
      </c>
      <c r="X105" s="81">
        <v>0.25</v>
      </c>
      <c r="Y105" s="81">
        <v>0.1850621085687271</v>
      </c>
      <c r="Z105" s="81">
        <v>0.12</v>
      </c>
      <c r="AA105" s="81">
        <v>0.11999999999999977</v>
      </c>
      <c r="AB105" s="81">
        <v>0.11999999999999977</v>
      </c>
    </row>
    <row r="106" spans="2:28" x14ac:dyDescent="0.35">
      <c r="B106" t="s">
        <v>500</v>
      </c>
      <c r="C106" s="2"/>
      <c r="D106" s="2"/>
      <c r="V106" s="23"/>
      <c r="W106" s="66" cm="1">
        <f t="array" ref="W106">PRODUCT(1+$W104:$AA104)-1</f>
        <v>1.2780724470741944</v>
      </c>
      <c r="X106" s="45"/>
      <c r="Y106" s="45"/>
      <c r="Z106" s="45"/>
      <c r="AA106" s="45"/>
      <c r="AB106" s="45"/>
    </row>
    <row r="107" spans="2:28" x14ac:dyDescent="0.35">
      <c r="B107" t="s">
        <v>501</v>
      </c>
      <c r="C107" s="2"/>
      <c r="D107" s="2"/>
      <c r="V107" s="23"/>
      <c r="W107" s="66" cm="1">
        <f t="array" ref="W107">PRODUCT(1+$W105:$AA105)-1</f>
        <v>1.3227217327947045</v>
      </c>
      <c r="X107" s="45"/>
      <c r="Y107" s="45"/>
      <c r="Z107" s="45"/>
      <c r="AA107" s="45"/>
      <c r="AB107" s="45"/>
    </row>
    <row r="108" spans="2:28" x14ac:dyDescent="0.35">
      <c r="B108" t="s">
        <v>502</v>
      </c>
      <c r="C108" t="s">
        <v>289</v>
      </c>
      <c r="D108" s="81" cm="1">
        <f t="array" ref="D108">MIN(_xlfn._xlws.FILTER($W$106:$W$107,NOT(ISERROR($W$106:$W$107))))</f>
        <v>1.2780724470741944</v>
      </c>
      <c r="E108" t="str">
        <f>_xlfn.XLOOKUP($D$108,$W$106:$W$107,$B$104:$B$105)</f>
        <v>Forecast rev. growth - Log regression</v>
      </c>
      <c r="V108" s="23"/>
      <c r="W108" s="66" cm="1">
        <f t="array" ref="W108:AB108">_xlfn.XLOOKUP($E$108,$B$104:$B$105,$W$104:$AB$105)</f>
        <v>0.29253684986030071</v>
      </c>
      <c r="X108" s="66">
        <v>0.20739331246602538</v>
      </c>
      <c r="Y108" s="66">
        <v>0.16369665623301269</v>
      </c>
      <c r="Z108" s="66">
        <v>0.12</v>
      </c>
      <c r="AA108" s="66">
        <v>0.12</v>
      </c>
      <c r="AB108" s="66">
        <v>0.12</v>
      </c>
    </row>
    <row r="109" spans="2:28" x14ac:dyDescent="0.35">
      <c r="D109" s="81"/>
      <c r="V109" s="23"/>
      <c r="W109" s="66"/>
      <c r="X109" s="66"/>
      <c r="Y109" s="66"/>
      <c r="Z109" s="66"/>
      <c r="AA109" s="66"/>
      <c r="AB109" s="66"/>
    </row>
    <row r="110" spans="2:28" x14ac:dyDescent="0.35">
      <c r="D110" s="81"/>
      <c r="V110" s="23"/>
      <c r="W110" s="66"/>
      <c r="X110" s="66"/>
      <c r="Y110" s="66"/>
      <c r="Z110" s="66"/>
      <c r="AA110" s="66"/>
      <c r="AB110" s="66"/>
    </row>
    <row r="111" spans="2:28" x14ac:dyDescent="0.35">
      <c r="C111" s="2"/>
      <c r="D111" s="2"/>
      <c r="V111" s="23"/>
      <c r="W111" s="45"/>
      <c r="X111" s="45"/>
      <c r="Y111" s="45"/>
      <c r="Z111" s="45"/>
      <c r="AA111" s="45"/>
      <c r="AB111" s="45"/>
    </row>
    <row r="112" spans="2:28" x14ac:dyDescent="0.35">
      <c r="V112" s="17"/>
      <c r="W112" s="104"/>
      <c r="X112" s="81"/>
      <c r="Y112" s="81"/>
      <c r="Z112" s="81"/>
      <c r="AA112" s="81"/>
      <c r="AB112" s="81"/>
    </row>
    <row r="113" spans="1:28" ht="20" thickBot="1" x14ac:dyDescent="0.5">
      <c r="B113" s="12" t="s">
        <v>386</v>
      </c>
      <c r="V113" s="17"/>
      <c r="W113" s="104"/>
      <c r="X113" s="81"/>
      <c r="Y113" s="81"/>
      <c r="Z113" s="81"/>
      <c r="AA113" s="81"/>
      <c r="AB113" s="81"/>
    </row>
    <row r="114" spans="1:28" ht="15" thickTop="1" x14ac:dyDescent="0.35">
      <c r="B114" t="s">
        <v>112</v>
      </c>
      <c r="C114" s="45" t="e" cm="1">
        <f t="array" ref="C114:V114">_xlfn.ANCHORARRAY('Income statement'!$C$15)</f>
        <v>#VALUE!</v>
      </c>
      <c r="D114" s="45" t="e">
        <v>#VALUE!</v>
      </c>
      <c r="E114" s="45" t="e">
        <v>#VALUE!</v>
      </c>
      <c r="F114" s="45" t="e">
        <v>#VALUE!</v>
      </c>
      <c r="G114" s="45" t="e">
        <v>#VALUE!</v>
      </c>
      <c r="H114" s="45" t="e">
        <v>#VALUE!</v>
      </c>
      <c r="I114" s="45" t="e">
        <v>#VALUE!</v>
      </c>
      <c r="J114" s="45" t="e">
        <v>#VALUE!</v>
      </c>
      <c r="K114" s="45" t="e">
        <v>#VALUE!</v>
      </c>
      <c r="L114" s="45">
        <v>0.76400000000000001</v>
      </c>
      <c r="M114" s="45">
        <v>38.457999999999998</v>
      </c>
      <c r="N114" s="45">
        <v>57.518000000000001</v>
      </c>
      <c r="O114" s="45">
        <v>70.855999999999995</v>
      </c>
      <c r="P114" s="45">
        <v>107.32299999999999</v>
      </c>
      <c r="Q114" s="45">
        <v>112.196</v>
      </c>
      <c r="R114" s="45">
        <v>144.208</v>
      </c>
      <c r="S114" s="45">
        <v>124.81699999999999</v>
      </c>
      <c r="T114" s="45">
        <v>113.654</v>
      </c>
      <c r="U114" s="45">
        <v>200.48</v>
      </c>
      <c r="V114" s="46">
        <v>427.16699999999997</v>
      </c>
      <c r="W114" s="18"/>
    </row>
    <row r="115" spans="1:28" x14ac:dyDescent="0.35">
      <c r="B115" t="s">
        <v>105</v>
      </c>
      <c r="C115" s="81" t="e" cm="1">
        <f t="array" ref="C115:V115">'Income statement'!$C$46:$V$46</f>
        <v>#VALUE!</v>
      </c>
      <c r="D115" s="81" t="e">
        <v>#VALUE!</v>
      </c>
      <c r="E115" s="81" t="e">
        <v>#VALUE!</v>
      </c>
      <c r="F115" s="81" t="e">
        <v>#VALUE!</v>
      </c>
      <c r="G115" s="81" t="e">
        <v>#VALUE!</v>
      </c>
      <c r="H115" s="81" t="e">
        <v>#VALUE!</v>
      </c>
      <c r="I115" s="81" t="e">
        <v>#VALUE!</v>
      </c>
      <c r="J115" s="81" t="e">
        <v>#VALUE!</v>
      </c>
      <c r="K115" s="81" t="e">
        <v>#VALUE!</v>
      </c>
      <c r="L115" s="81">
        <v>1.7150040405854359E-2</v>
      </c>
      <c r="M115" s="81">
        <v>0.33642423500183705</v>
      </c>
      <c r="N115" s="81">
        <v>0.28344322560933544</v>
      </c>
      <c r="O115" s="81">
        <v>0.22988998011141501</v>
      </c>
      <c r="P115" s="81">
        <v>0.22485721588790136</v>
      </c>
      <c r="Q115" s="81">
        <v>0.1697218700930932</v>
      </c>
      <c r="R115" s="81">
        <v>0.17249079880818102</v>
      </c>
      <c r="S115" s="81">
        <v>0.10432130597835125</v>
      </c>
      <c r="T115" s="81">
        <v>7.203343907161576E-2</v>
      </c>
      <c r="U115" s="81">
        <v>0.10301523030440055</v>
      </c>
      <c r="V115" s="83">
        <v>0.17472250638183168</v>
      </c>
      <c r="W115" s="18"/>
    </row>
    <row r="116" spans="1:28" x14ac:dyDescent="0.35">
      <c r="B116" s="123">
        <v>5</v>
      </c>
      <c r="H116" s="81" t="e">
        <f>_xlfn.AGGREGATE(1,4,_xlfn.TAKE($C$115:H$115,,-$B116-1))</f>
        <v>#VALUE!</v>
      </c>
      <c r="I116" s="81" t="e">
        <f>_xlfn.AGGREGATE(1,4,_xlfn.TAKE($C$115:I$115,,-$B116-1))</f>
        <v>#VALUE!</v>
      </c>
      <c r="J116" s="81" t="e">
        <f>_xlfn.AGGREGATE(1,4,_xlfn.TAKE($C$115:J$115,,-$B116-1))</f>
        <v>#VALUE!</v>
      </c>
      <c r="K116" s="81" t="e">
        <f>_xlfn.AGGREGATE(1,4,_xlfn.TAKE($C$115:K$115,,-$B116-1))</f>
        <v>#VALUE!</v>
      </c>
      <c r="L116" s="81" t="e">
        <f>_xlfn.AGGREGATE(1,4,_xlfn.TAKE($C$115:L$115,,-$B116-1))</f>
        <v>#VALUE!</v>
      </c>
      <c r="M116" s="81" t="e">
        <f>_xlfn.AGGREGATE(1,4,_xlfn.TAKE($C$115:M$115,,-$B116-1))</f>
        <v>#VALUE!</v>
      </c>
      <c r="N116" s="81" t="e">
        <f>_xlfn.AGGREGATE(1,4,_xlfn.TAKE($C$115:N$115,,-$B116-1))</f>
        <v>#VALUE!</v>
      </c>
      <c r="O116" s="81" t="e">
        <f>_xlfn.AGGREGATE(1,4,_xlfn.TAKE($C$115:O$115,,-$B116-1))</f>
        <v>#VALUE!</v>
      </c>
      <c r="P116" s="81" t="e">
        <f>_xlfn.AGGREGATE(1,4,_xlfn.TAKE($C$115:P$115,,-$B116-1))</f>
        <v>#VALUE!</v>
      </c>
      <c r="Q116" s="81">
        <f>_xlfn.AGGREGATE(1,4,_xlfn.TAKE($C$115:Q$115,,-$B116-1))</f>
        <v>0.21024776118490607</v>
      </c>
      <c r="R116" s="81">
        <f>_xlfn.AGGREGATE(1,4,_xlfn.TAKE($C$115:R$115,,-$B116-1))</f>
        <v>0.23613788758529383</v>
      </c>
      <c r="S116" s="81">
        <f>_xlfn.AGGREGATE(1,4,_xlfn.TAKE($C$115:S$115,,-$B116-1))</f>
        <v>0.19745406608137953</v>
      </c>
      <c r="T116" s="81">
        <f>_xlfn.AGGREGATE(1,4,_xlfn.TAKE($C$115:T$115,,-$B116-1))</f>
        <v>0.16221910165842623</v>
      </c>
      <c r="U116" s="81">
        <f>_xlfn.AGGREGATE(1,4,_xlfn.TAKE($C$115:U$115,,-$B116-1))</f>
        <v>0.14107331002392384</v>
      </c>
      <c r="V116" s="83">
        <f>_xlfn.AGGREGATE(1,4,_xlfn.TAKE($C$115:V$115,,-$B116-1))</f>
        <v>0.13271752510624557</v>
      </c>
      <c r="W116" s="18"/>
    </row>
    <row r="117" spans="1:28" x14ac:dyDescent="0.35">
      <c r="B117" s="123">
        <v>10</v>
      </c>
      <c r="H117" s="81"/>
      <c r="I117" s="81"/>
      <c r="J117" s="81"/>
      <c r="K117" s="81"/>
      <c r="L117" s="81"/>
      <c r="M117" s="81" t="e">
        <f>_xlfn.AGGREGATE(1,4,_xlfn.TAKE($C$115:M$115,,-$B117-1))</f>
        <v>#VALUE!</v>
      </c>
      <c r="N117" s="81" t="e">
        <f>_xlfn.AGGREGATE(1,4,_xlfn.TAKE($C$115:N$115,,-$B117-1))</f>
        <v>#VALUE!</v>
      </c>
      <c r="O117" s="81" t="e">
        <f>_xlfn.AGGREGATE(1,4,_xlfn.TAKE($C$115:O$115,,-$B117-1))</f>
        <v>#VALUE!</v>
      </c>
      <c r="P117" s="81" t="e">
        <f>_xlfn.AGGREGATE(1,4,_xlfn.TAKE($C$115:P$115,,-$B117-1))</f>
        <v>#VALUE!</v>
      </c>
      <c r="Q117" s="81" t="e">
        <f>_xlfn.AGGREGATE(1,4,_xlfn.TAKE($C$115:Q$115,,-$B117-1))</f>
        <v>#VALUE!</v>
      </c>
      <c r="R117" s="81" t="e">
        <f>_xlfn.AGGREGATE(1,4,_xlfn.TAKE($C$115:R$115,,-$B117-1))</f>
        <v>#VALUE!</v>
      </c>
      <c r="S117" s="81" t="e">
        <f>_xlfn.AGGREGATE(1,4,_xlfn.TAKE($C$115:S$115,,-$B117-1))</f>
        <v>#VALUE!</v>
      </c>
      <c r="T117" s="81" t="e">
        <f>_xlfn.AGGREGATE(1,4,_xlfn.TAKE($C$115:T$115,,-$B117-1))</f>
        <v>#VALUE!</v>
      </c>
      <c r="U117" s="81" t="e">
        <f>_xlfn.AGGREGATE(1,4,_xlfn.TAKE($C$115:U$115,,-$B117-1))</f>
        <v>#VALUE!</v>
      </c>
      <c r="V117" s="83">
        <f>_xlfn.AGGREGATE(1,4,_xlfn.TAKE($C$115:V$115,,-$B117-1))</f>
        <v>0.17164271342307422</v>
      </c>
      <c r="W117" s="18"/>
    </row>
    <row r="118" spans="1:28" x14ac:dyDescent="0.35">
      <c r="B118" t="s">
        <v>461</v>
      </c>
      <c r="C118">
        <f>COUNT(_xlfn.ANCHORARRAY($C$115))</f>
        <v>11</v>
      </c>
    </row>
    <row r="119" spans="1:28" x14ac:dyDescent="0.35">
      <c r="B119" s="123"/>
      <c r="H119" s="81"/>
      <c r="I119" s="81"/>
      <c r="J119" s="81"/>
      <c r="K119" s="81"/>
      <c r="L119" s="81"/>
      <c r="M119" s="81"/>
      <c r="N119" s="81"/>
      <c r="O119" s="81"/>
      <c r="P119" s="81"/>
      <c r="Q119" s="81"/>
      <c r="R119" s="81"/>
      <c r="S119" s="81"/>
      <c r="T119" s="81"/>
      <c r="U119" s="81"/>
      <c r="V119" s="83"/>
      <c r="W119" s="18"/>
    </row>
    <row r="120" spans="1:28" x14ac:dyDescent="0.35">
      <c r="B120" s="123"/>
      <c r="H120" s="81"/>
      <c r="I120" s="81"/>
      <c r="J120" s="81"/>
      <c r="K120" s="81"/>
      <c r="L120" s="81"/>
      <c r="M120" s="81"/>
      <c r="N120" s="81"/>
      <c r="O120" s="81"/>
      <c r="P120" s="81"/>
      <c r="Q120" s="81"/>
      <c r="R120" s="81"/>
      <c r="S120" s="81"/>
      <c r="T120" s="81"/>
      <c r="U120" s="81"/>
      <c r="V120" s="83"/>
      <c r="W120" s="18"/>
    </row>
    <row r="121" spans="1:28" ht="17.5" thickBot="1" x14ac:dyDescent="0.45">
      <c r="B121" s="129" t="s">
        <v>452</v>
      </c>
      <c r="H121" s="81"/>
      <c r="I121" s="81"/>
      <c r="J121" s="81"/>
      <c r="K121" s="81"/>
      <c r="L121" s="81"/>
      <c r="M121" s="81"/>
      <c r="N121" s="81"/>
      <c r="O121" s="81"/>
      <c r="P121" s="81"/>
      <c r="Q121" s="81"/>
      <c r="R121" s="81"/>
      <c r="S121" s="81"/>
      <c r="T121" s="81"/>
      <c r="U121" s="81"/>
      <c r="V121" s="83"/>
      <c r="W121" s="18"/>
    </row>
    <row r="122" spans="1:28" ht="15" thickTop="1" x14ac:dyDescent="0.35">
      <c r="B122" s="123" t="s">
        <v>435</v>
      </c>
      <c r="C122" s="97">
        <v>0.9</v>
      </c>
      <c r="H122" s="81"/>
      <c r="I122" s="81"/>
      <c r="J122" s="81"/>
      <c r="K122" s="81"/>
      <c r="L122" s="81"/>
      <c r="M122" s="81"/>
      <c r="N122" s="81"/>
      <c r="O122" s="81"/>
      <c r="P122" s="81"/>
      <c r="Q122" s="81"/>
      <c r="R122" s="81"/>
      <c r="S122" s="81"/>
      <c r="T122" s="81"/>
      <c r="U122" s="81"/>
      <c r="V122" s="83"/>
      <c r="W122" s="18"/>
    </row>
    <row r="123" spans="1:28" x14ac:dyDescent="0.35">
      <c r="B123" s="123" t="s">
        <v>304</v>
      </c>
      <c r="C123" s="2">
        <f>$C$122^(1-C$6)</f>
        <v>0.12157665459056941</v>
      </c>
      <c r="D123" s="2">
        <f>$C$122^(1-D$6)</f>
        <v>0.13508517176729934</v>
      </c>
      <c r="E123" s="2">
        <f>$C$122^(1-E$6)</f>
        <v>0.15009463529699923</v>
      </c>
      <c r="F123" s="2">
        <f>$C$122^(1-F$6)</f>
        <v>0.16677181699666582</v>
      </c>
      <c r="G123" s="2">
        <f>$C$122^(1-G$6)</f>
        <v>0.18530201888518424</v>
      </c>
      <c r="H123" s="2">
        <f>$C$122^(1-H$6)</f>
        <v>0.20589113209464913</v>
      </c>
      <c r="I123" s="2">
        <f>$C$122^(1-I$6)</f>
        <v>0.22876792454961015</v>
      </c>
      <c r="J123" s="2">
        <f>$C$122^(1-J$6)</f>
        <v>0.25418658283290019</v>
      </c>
      <c r="K123" s="2">
        <f>$C$122^(1-K$6)</f>
        <v>0.28242953648100017</v>
      </c>
      <c r="L123" s="2">
        <f>$C$122^(1-L$6)</f>
        <v>0.31381059609000017</v>
      </c>
      <c r="M123" s="2">
        <f>$C$122^(1-M$6)</f>
        <v>0.34867844010000015</v>
      </c>
      <c r="N123" s="2">
        <f>$C$122^(1-N$6)</f>
        <v>0.38742048900000015</v>
      </c>
      <c r="O123" s="2">
        <f>$C$122^(1-O$6)</f>
        <v>0.43046721000000016</v>
      </c>
      <c r="P123" s="2">
        <f>$C$122^(1-P$6)</f>
        <v>0.47829690000000014</v>
      </c>
      <c r="Q123" s="2">
        <f>$C$122^(1-Q$6)</f>
        <v>0.53144100000000016</v>
      </c>
      <c r="R123" s="2">
        <f>$C$122^(1-R$6)</f>
        <v>0.59049000000000018</v>
      </c>
      <c r="S123" s="2">
        <f>$C$122^(1-S$6)</f>
        <v>0.65610000000000013</v>
      </c>
      <c r="T123" s="2">
        <f>$C$122^(1-T$6)</f>
        <v>0.72900000000000009</v>
      </c>
      <c r="U123" s="2">
        <f>$C$122^(1-U$6)</f>
        <v>0.81</v>
      </c>
      <c r="V123" s="31">
        <f>$C$122^(1-V$6)</f>
        <v>0.9</v>
      </c>
      <c r="W123" s="18"/>
    </row>
    <row r="124" spans="1:28" x14ac:dyDescent="0.35">
      <c r="B124" s="123" t="s">
        <v>436</v>
      </c>
      <c r="C124" s="13">
        <f>SUMPRODUCT(_xlfn.TAKE(_xlfn.ANCHORARRAY($C$115),,-$C$118),_xlfn.TAKE($C$123:$V$123,,-$C$118))/SUM(_xlfn.TAKE($C$123:$V$123,,-$C$118))</f>
        <v>0.16074400438668376</v>
      </c>
      <c r="D124" s="2"/>
      <c r="E124" s="2"/>
      <c r="F124" s="2"/>
      <c r="G124" s="2"/>
      <c r="H124" s="2"/>
      <c r="I124" s="2"/>
      <c r="J124" s="2"/>
      <c r="K124" s="2"/>
      <c r="L124" s="2"/>
      <c r="M124" s="2"/>
      <c r="N124" s="2"/>
      <c r="O124" s="2"/>
      <c r="P124" s="2"/>
      <c r="Q124" s="2"/>
      <c r="R124" s="2"/>
      <c r="S124" s="2"/>
      <c r="T124" s="2"/>
      <c r="U124" s="2"/>
      <c r="V124" s="2"/>
    </row>
    <row r="125" spans="1:28" x14ac:dyDescent="0.35">
      <c r="B125" s="123" t="s">
        <v>420</v>
      </c>
      <c r="C125" s="2" cm="1">
        <f t="array" ref="C125">SUMSQ(_xlfn.TAKE(_xlfn.ANCHORARRAY($C$115),,-$C$118)-$C$124)</f>
        <v>9.0229223078382867E-2</v>
      </c>
      <c r="D125" s="2"/>
      <c r="E125" s="2"/>
      <c r="F125" s="2"/>
      <c r="G125" s="2"/>
      <c r="H125" s="2"/>
      <c r="I125" s="2"/>
      <c r="J125" s="2"/>
      <c r="K125" s="2"/>
      <c r="L125" s="2"/>
      <c r="M125" s="2"/>
      <c r="N125" s="2"/>
      <c r="O125" s="2"/>
      <c r="P125" s="2"/>
      <c r="Q125" s="2"/>
      <c r="R125" s="2"/>
      <c r="S125" s="2"/>
      <c r="T125" s="2"/>
      <c r="U125" s="2"/>
      <c r="V125" s="2"/>
    </row>
    <row r="126" spans="1:28" x14ac:dyDescent="0.35">
      <c r="B126" s="123"/>
      <c r="C126" s="13"/>
      <c r="D126" s="2"/>
      <c r="E126" s="2"/>
      <c r="F126" s="2"/>
      <c r="G126" s="2"/>
      <c r="H126" s="2"/>
      <c r="I126" s="2"/>
      <c r="J126" s="2"/>
      <c r="K126" s="2"/>
      <c r="L126" s="2"/>
      <c r="M126" s="2"/>
      <c r="N126" s="2"/>
      <c r="O126" s="2"/>
      <c r="P126" s="2"/>
      <c r="Q126" s="2"/>
      <c r="R126" s="2"/>
      <c r="S126" s="2"/>
      <c r="T126" s="2"/>
      <c r="U126" s="2"/>
      <c r="V126" s="2"/>
    </row>
    <row r="127" spans="1:28" s="1" customFormat="1" x14ac:dyDescent="0.35">
      <c r="A127" s="131"/>
      <c r="C127" s="132" t="s">
        <v>450</v>
      </c>
      <c r="D127" s="132" t="s">
        <v>451</v>
      </c>
      <c r="E127" s="1" t="s">
        <v>454</v>
      </c>
      <c r="F127" s="1" t="s">
        <v>455</v>
      </c>
      <c r="H127" s="133"/>
      <c r="I127" s="133"/>
      <c r="J127" s="133"/>
      <c r="K127" s="133"/>
      <c r="L127" s="133"/>
      <c r="M127" s="133"/>
      <c r="N127" s="133"/>
      <c r="O127" s="133"/>
      <c r="P127" s="133"/>
      <c r="Q127" s="133"/>
      <c r="R127" s="133"/>
      <c r="S127" s="133"/>
      <c r="T127" s="133"/>
      <c r="U127" s="133"/>
      <c r="V127" s="134"/>
      <c r="W127" s="135"/>
    </row>
    <row r="128" spans="1:28" x14ac:dyDescent="0.35">
      <c r="C128" s="13">
        <f>$P$148</f>
        <v>9.4989064148660221E-2</v>
      </c>
      <c r="D128" s="67">
        <v>1</v>
      </c>
      <c r="E128" s="81">
        <f>$C$124-$D$128*$C$128</f>
        <v>6.5754940238023543E-2</v>
      </c>
      <c r="F128" s="81">
        <f>$C$124+$D$128*$C$128</f>
        <v>0.255733068535344</v>
      </c>
      <c r="H128" s="81"/>
      <c r="I128" s="81"/>
      <c r="J128" s="81"/>
      <c r="K128" s="81"/>
      <c r="L128" s="81"/>
      <c r="M128" s="81"/>
      <c r="N128" s="81"/>
      <c r="O128" s="81"/>
      <c r="P128" s="81"/>
      <c r="Q128" s="81"/>
      <c r="R128" s="81"/>
      <c r="S128" s="81"/>
      <c r="T128" s="81"/>
      <c r="U128" s="81"/>
      <c r="V128" s="83"/>
      <c r="W128" s="18"/>
    </row>
    <row r="129" spans="1:23" x14ac:dyDescent="0.35">
      <c r="B129" s="123" t="s">
        <v>453</v>
      </c>
      <c r="C129" s="81" t="e" cm="1">
        <f t="array" ref="C129">CLIP(C$115,$E$128,$F$128)</f>
        <v>#VALUE!</v>
      </c>
      <c r="D129" s="81" t="e" cm="1">
        <f t="array" ref="D129">CLIP(D$115,$E$128,$F$128)</f>
        <v>#VALUE!</v>
      </c>
      <c r="E129" s="81" t="e" cm="1">
        <f t="array" ref="E129">CLIP(E$115,$E$128,$F$128)</f>
        <v>#VALUE!</v>
      </c>
      <c r="F129" s="81" t="e" cm="1">
        <f t="array" ref="F129">CLIP(F$115,$E$128,$F$128)</f>
        <v>#VALUE!</v>
      </c>
      <c r="G129" s="81" t="e" cm="1">
        <f t="array" ref="G129">CLIP(G$115,$E$128,$F$128)</f>
        <v>#VALUE!</v>
      </c>
      <c r="H129" s="81" t="e" cm="1">
        <f t="array" ref="H129">CLIP(H$115,$E$128,$F$128)</f>
        <v>#VALUE!</v>
      </c>
      <c r="I129" s="81" t="e" cm="1">
        <f t="array" ref="I129">CLIP(I$115,$E$128,$F$128)</f>
        <v>#VALUE!</v>
      </c>
      <c r="J129" s="81" t="e" cm="1">
        <f t="array" ref="J129">CLIP(J$115,$E$128,$F$128)</f>
        <v>#VALUE!</v>
      </c>
      <c r="K129" s="81" t="e" cm="1">
        <f t="array" ref="K129">CLIP(K$115,$E$128,$F$128)</f>
        <v>#VALUE!</v>
      </c>
      <c r="L129" s="81" cm="1">
        <f t="array" ref="L129">CLIP(L$115,$E$128,$F$128)</f>
        <v>6.5754940238023543E-2</v>
      </c>
      <c r="M129" s="81" cm="1">
        <f t="array" ref="M129">CLIP(M$115,$E$128,$F$128)</f>
        <v>0.255733068535344</v>
      </c>
      <c r="N129" s="81" cm="1">
        <f t="array" ref="N129">CLIP(N$115,$E$128,$F$128)</f>
        <v>0.255733068535344</v>
      </c>
      <c r="O129" s="81" cm="1">
        <f t="array" ref="O129">CLIP(O$115,$E$128,$F$128)</f>
        <v>0.22988998011141501</v>
      </c>
      <c r="P129" s="81" cm="1">
        <f t="array" ref="P129">CLIP(P$115,$E$128,$F$128)</f>
        <v>0.22485721588790136</v>
      </c>
      <c r="Q129" s="81" cm="1">
        <f t="array" ref="Q129">CLIP(Q$115,$E$128,$F$128)</f>
        <v>0.1697218700930932</v>
      </c>
      <c r="R129" s="81" cm="1">
        <f t="array" ref="R129">CLIP(R$115,$E$128,$F$128)</f>
        <v>0.17249079880818102</v>
      </c>
      <c r="S129" s="81" cm="1">
        <f t="array" ref="S129">CLIP(S$115,$E$128,$F$128)</f>
        <v>0.10432130597835125</v>
      </c>
      <c r="T129" s="81" cm="1">
        <f t="array" ref="T129">CLIP(T$115,$E$128,$F$128)</f>
        <v>7.203343907161576E-2</v>
      </c>
      <c r="U129" s="81" cm="1">
        <f t="array" ref="U129">CLIP(U$115,$E$128,$F$128)</f>
        <v>0.10301523030440055</v>
      </c>
      <c r="V129" s="83" cm="1">
        <f t="array" ref="V129">CLIP(V$115,$E$128,$F$128)</f>
        <v>0.17472250638183168</v>
      </c>
      <c r="W129" s="18"/>
    </row>
    <row r="130" spans="1:23" x14ac:dyDescent="0.35">
      <c r="B130" s="123"/>
      <c r="H130" s="81"/>
      <c r="I130" s="81"/>
      <c r="J130" s="81"/>
      <c r="K130" s="81"/>
      <c r="L130" s="81"/>
      <c r="M130" s="81"/>
      <c r="N130" s="81"/>
      <c r="O130" s="81"/>
      <c r="P130" s="81"/>
      <c r="Q130" s="81"/>
      <c r="R130" s="81"/>
      <c r="S130" s="81"/>
      <c r="T130" s="81"/>
      <c r="U130" s="81"/>
      <c r="V130" s="81"/>
    </row>
    <row r="131" spans="1:23" x14ac:dyDescent="0.35">
      <c r="A131" s="127"/>
      <c r="B131" s="123"/>
      <c r="H131" s="81"/>
      <c r="I131" s="81"/>
      <c r="J131" s="81"/>
      <c r="K131" s="81"/>
      <c r="L131" s="81"/>
      <c r="M131" s="81"/>
      <c r="N131" s="81"/>
      <c r="O131" s="81"/>
      <c r="P131" s="81"/>
      <c r="Q131" s="81"/>
      <c r="R131" s="81"/>
      <c r="S131" s="81"/>
      <c r="T131" s="81"/>
      <c r="U131" s="81"/>
      <c r="V131" s="81"/>
    </row>
    <row r="132" spans="1:23" ht="17.5" thickBot="1" x14ac:dyDescent="0.45">
      <c r="B132" s="129" t="s">
        <v>437</v>
      </c>
      <c r="H132" s="81"/>
      <c r="I132" s="81"/>
      <c r="J132" s="81"/>
      <c r="K132" s="81"/>
      <c r="L132" s="81"/>
      <c r="M132" s="81"/>
      <c r="N132" s="81"/>
      <c r="O132" s="81"/>
      <c r="P132" s="81"/>
      <c r="Q132" s="81"/>
      <c r="R132" s="81"/>
      <c r="S132" s="81"/>
      <c r="T132" s="81"/>
      <c r="U132" s="81"/>
      <c r="V132" s="83"/>
      <c r="W132" s="18"/>
    </row>
    <row r="133" spans="1:23" ht="15" thickTop="1" x14ac:dyDescent="0.35">
      <c r="B133" s="123" t="s">
        <v>456</v>
      </c>
      <c r="C133" s="81"/>
      <c r="D133" s="81"/>
      <c r="E133" s="81"/>
      <c r="F133" s="81"/>
      <c r="G133" s="81"/>
      <c r="H133" s="81"/>
      <c r="I133" s="81"/>
      <c r="J133" s="81"/>
      <c r="K133" s="81"/>
      <c r="L133" s="81"/>
      <c r="M133" s="81"/>
      <c r="N133" s="81"/>
      <c r="O133" s="81"/>
      <c r="P133" s="81"/>
      <c r="Q133" s="81"/>
      <c r="R133" s="81"/>
      <c r="S133" s="81"/>
      <c r="T133" s="81"/>
      <c r="U133" s="81"/>
      <c r="V133" s="83"/>
      <c r="W133" s="18"/>
    </row>
    <row r="134" spans="1:23" x14ac:dyDescent="0.35">
      <c r="B134" s="123" t="s">
        <v>459</v>
      </c>
      <c r="C134" s="2" t="e" cm="1">
        <f t="array" ref="C134:V134">LN(1-_xlfn.ANCHORARRAY($C$115))</f>
        <v>#VALUE!</v>
      </c>
      <c r="D134" s="2" t="e">
        <v>#VALUE!</v>
      </c>
      <c r="E134" s="2" t="e">
        <v>#VALUE!</v>
      </c>
      <c r="F134" s="2" t="e">
        <v>#VALUE!</v>
      </c>
      <c r="G134" s="2" t="e">
        <v>#VALUE!</v>
      </c>
      <c r="H134" s="2" t="e">
        <v>#VALUE!</v>
      </c>
      <c r="I134" s="2" t="e">
        <v>#VALUE!</v>
      </c>
      <c r="J134" s="2" t="e">
        <v>#VALUE!</v>
      </c>
      <c r="K134" s="2" t="e">
        <v>#VALUE!</v>
      </c>
      <c r="L134" s="2">
        <v>-1.7298805689236679E-2</v>
      </c>
      <c r="M134" s="2">
        <v>-0.41011224182977918</v>
      </c>
      <c r="N134" s="2">
        <v>-0.33329779634555828</v>
      </c>
      <c r="O134" s="2">
        <v>-0.26122189136901891</v>
      </c>
      <c r="P134" s="2">
        <v>-0.25470802903444761</v>
      </c>
      <c r="Q134" s="2">
        <v>-0.18599453805032845</v>
      </c>
      <c r="R134" s="2">
        <v>-0.18933505252769955</v>
      </c>
      <c r="S134" s="2">
        <v>-0.11017353074198044</v>
      </c>
      <c r="T134" s="2">
        <v>-7.4759580327502559E-2</v>
      </c>
      <c r="U134" s="2">
        <v>-0.10871639622512561</v>
      </c>
      <c r="V134" s="2">
        <v>-0.19203559330161055</v>
      </c>
    </row>
    <row r="135" spans="1:23" x14ac:dyDescent="0.35">
      <c r="B135" s="123"/>
      <c r="C135" s="81"/>
      <c r="D135" s="81"/>
      <c r="E135" s="81"/>
      <c r="F135" s="81"/>
      <c r="G135" s="81"/>
      <c r="H135" s="81"/>
      <c r="I135" s="81"/>
      <c r="J135" s="81"/>
      <c r="K135" s="81"/>
      <c r="L135" s="81"/>
      <c r="M135" s="81"/>
      <c r="N135" s="81"/>
      <c r="O135" s="81"/>
      <c r="P135" s="81"/>
      <c r="Q135" s="81"/>
      <c r="R135" s="81"/>
      <c r="S135" s="81"/>
      <c r="T135" s="81"/>
      <c r="U135" s="81"/>
      <c r="V135" s="81"/>
    </row>
    <row r="136" spans="1:23" x14ac:dyDescent="0.35">
      <c r="A136" s="127"/>
      <c r="B136" s="123"/>
      <c r="C136" s="75" t="s">
        <v>438</v>
      </c>
      <c r="D136" s="75" t="s">
        <v>439</v>
      </c>
      <c r="H136" s="81"/>
      <c r="I136" s="81"/>
      <c r="J136" s="81"/>
      <c r="K136" s="81"/>
      <c r="L136" s="81"/>
      <c r="M136" s="81"/>
      <c r="N136" s="81"/>
      <c r="O136" s="81"/>
      <c r="P136" s="81"/>
      <c r="Q136" s="81"/>
      <c r="R136" s="81"/>
      <c r="S136" s="81"/>
      <c r="T136" s="81"/>
      <c r="U136" s="81"/>
      <c r="V136" s="81"/>
    </row>
    <row r="137" spans="1:23" x14ac:dyDescent="0.35">
      <c r="A137" s="127"/>
      <c r="B137" s="123" t="s">
        <v>440</v>
      </c>
      <c r="C137" s="2" cm="1">
        <f t="array" ref="C137:D141">LINEST(_xlfn.TAKE($N$134:$V$134,,-$C$118),_xlfn.TAKE($N$6:$V$6,,-$C$118),,TRUE)</f>
        <v>2.4304720038828481E-2</v>
      </c>
      <c r="D137" s="2">
        <v>-9.2808054058382952E-2</v>
      </c>
      <c r="H137" s="81"/>
      <c r="I137" s="81"/>
      <c r="J137" s="81"/>
      <c r="K137" s="81"/>
      <c r="L137" s="81"/>
      <c r="M137" s="81"/>
      <c r="N137" s="81"/>
      <c r="O137" s="81"/>
      <c r="P137" s="81"/>
      <c r="Q137" s="81"/>
      <c r="R137" s="81"/>
      <c r="S137" s="81"/>
      <c r="T137" s="81"/>
      <c r="U137" s="81"/>
      <c r="V137" s="81"/>
    </row>
    <row r="138" spans="1:23" x14ac:dyDescent="0.35">
      <c r="A138" s="127"/>
      <c r="B138" s="123" t="s">
        <v>441</v>
      </c>
      <c r="C138" s="2">
        <v>7.0086760950040447E-3</v>
      </c>
      <c r="D138" s="2">
        <v>3.3367972474207051E-2</v>
      </c>
      <c r="H138" s="81"/>
      <c r="I138" s="81"/>
      <c r="J138" s="81"/>
      <c r="K138" s="81"/>
      <c r="L138" s="81"/>
      <c r="M138" s="81"/>
      <c r="N138" s="81"/>
      <c r="O138" s="81"/>
      <c r="P138" s="81"/>
      <c r="Q138" s="81"/>
      <c r="R138" s="81"/>
      <c r="S138" s="81"/>
      <c r="T138" s="81"/>
      <c r="U138" s="81"/>
      <c r="V138" s="81"/>
    </row>
    <row r="139" spans="1:23" x14ac:dyDescent="0.35">
      <c r="A139" s="127"/>
      <c r="B139" s="123" t="s">
        <v>442</v>
      </c>
      <c r="C139" s="2">
        <v>0.63207602373142868</v>
      </c>
      <c r="D139" s="2">
        <v>5.4288971589825402E-2</v>
      </c>
      <c r="H139" s="81"/>
      <c r="I139" s="81"/>
      <c r="J139" s="81"/>
      <c r="K139" s="81"/>
      <c r="L139" s="81"/>
      <c r="M139" s="81"/>
      <c r="N139" s="81" cm="1">
        <f t="array" ref="N139:V139">1-N115:V115</f>
        <v>0.71655677439066456</v>
      </c>
      <c r="O139" s="81">
        <v>0.77011001988858496</v>
      </c>
      <c r="P139" s="81">
        <v>0.77514278411209858</v>
      </c>
      <c r="Q139" s="81">
        <v>0.83027812990690686</v>
      </c>
      <c r="R139" s="81">
        <v>0.82750920119181903</v>
      </c>
      <c r="S139" s="81">
        <v>0.89567869402164879</v>
      </c>
      <c r="T139" s="81">
        <v>0.92796656092838425</v>
      </c>
      <c r="U139" s="81">
        <v>0.89698476969559948</v>
      </c>
      <c r="V139" s="81">
        <v>0.82527749361816838</v>
      </c>
    </row>
    <row r="140" spans="1:23" x14ac:dyDescent="0.35">
      <c r="A140" s="127"/>
      <c r="B140" s="123" t="s">
        <v>443</v>
      </c>
      <c r="C140" s="2">
        <v>12.025669571722203</v>
      </c>
      <c r="D140" s="3">
        <v>7</v>
      </c>
      <c r="H140" s="81"/>
      <c r="I140" s="81"/>
      <c r="J140" s="81"/>
      <c r="K140" s="81"/>
      <c r="L140" s="81"/>
      <c r="M140" s="81"/>
      <c r="N140" s="81" cm="1">
        <f t="array" ref="N140:V140">LN(_xlfn.ANCHORARRAY(N139))</f>
        <v>-0.33329779634555828</v>
      </c>
      <c r="O140" s="81">
        <v>-0.26122189136901891</v>
      </c>
      <c r="P140" s="81">
        <v>-0.25470802903444761</v>
      </c>
      <c r="Q140" s="81">
        <v>-0.18599453805032845</v>
      </c>
      <c r="R140" s="81">
        <v>-0.18933505252769955</v>
      </c>
      <c r="S140" s="81">
        <v>-0.11017353074198044</v>
      </c>
      <c r="T140" s="81">
        <v>-7.4759580327502559E-2</v>
      </c>
      <c r="U140" s="81">
        <v>-0.10871639622512561</v>
      </c>
      <c r="V140" s="81">
        <v>-0.19203559330161055</v>
      </c>
    </row>
    <row r="141" spans="1:23" x14ac:dyDescent="0.35">
      <c r="A141" s="127"/>
      <c r="B141" s="123" t="s">
        <v>444</v>
      </c>
      <c r="C141" s="2">
        <v>3.5443164969949856E-2</v>
      </c>
      <c r="D141" s="2">
        <v>2.0631047053966088E-2</v>
      </c>
      <c r="H141" s="81"/>
      <c r="I141" s="81"/>
      <c r="J141" s="81"/>
      <c r="K141" s="81"/>
      <c r="L141" s="81"/>
      <c r="M141" s="81"/>
      <c r="N141" s="81"/>
      <c r="O141" s="81"/>
      <c r="P141" s="81"/>
      <c r="Q141" s="81"/>
      <c r="R141" s="81"/>
      <c r="S141" s="81"/>
      <c r="T141" s="81"/>
      <c r="U141" s="81"/>
      <c r="V141" s="81"/>
    </row>
    <row r="142" spans="1:23" x14ac:dyDescent="0.35">
      <c r="A142" s="127"/>
      <c r="B142" s="123" t="s">
        <v>472</v>
      </c>
      <c r="C142" s="67">
        <f>ABS(C$137/C$138)</f>
        <v>3.4678047193753865</v>
      </c>
      <c r="D142" s="67">
        <f>ABS(D$137/D$138)</f>
        <v>2.7813513131528205</v>
      </c>
      <c r="H142" s="81"/>
      <c r="I142" s="81"/>
      <c r="J142" s="81"/>
      <c r="K142" s="81"/>
      <c r="L142" s="81"/>
      <c r="M142" s="81"/>
      <c r="N142" s="81"/>
      <c r="O142" s="81"/>
      <c r="P142" s="81"/>
      <c r="Q142" s="81"/>
      <c r="R142" s="81"/>
      <c r="S142" s="81"/>
      <c r="T142" s="81"/>
      <c r="U142" s="81"/>
      <c r="V142" s="81"/>
    </row>
    <row r="143" spans="1:23" x14ac:dyDescent="0.35">
      <c r="A143" s="127"/>
      <c r="B143" s="123" t="s">
        <v>471</v>
      </c>
      <c r="C143" s="130">
        <f>_xlfn.T.DIST.2T(C$142,$D$140)</f>
        <v>1.0436812641267215E-2</v>
      </c>
      <c r="D143" s="130">
        <f>_xlfn.T.DIST.2T(D$142,$D$140)</f>
        <v>2.7245214770636014E-2</v>
      </c>
      <c r="H143" s="81"/>
      <c r="I143" s="81"/>
      <c r="J143" s="81"/>
      <c r="K143" s="81"/>
      <c r="L143" s="81"/>
      <c r="M143" s="81"/>
      <c r="N143" s="81"/>
      <c r="O143" s="81"/>
      <c r="P143" s="81"/>
      <c r="Q143" s="81"/>
      <c r="R143" s="81"/>
      <c r="S143" s="81"/>
      <c r="T143" s="81"/>
      <c r="U143" s="81"/>
      <c r="V143" s="81"/>
    </row>
    <row r="144" spans="1:23" x14ac:dyDescent="0.35">
      <c r="A144" s="127"/>
      <c r="B144" s="123" t="s">
        <v>445</v>
      </c>
      <c r="C144" s="2" t="b">
        <f>C$143&lt;p</f>
        <v>1</v>
      </c>
      <c r="D144" s="2" t="b">
        <f>D$143&lt;p</f>
        <v>1</v>
      </c>
      <c r="H144" s="81"/>
      <c r="I144" s="81"/>
      <c r="J144" s="81"/>
      <c r="K144" s="81"/>
      <c r="L144" s="81"/>
      <c r="M144" s="81"/>
      <c r="N144" s="81"/>
      <c r="O144" s="81"/>
      <c r="P144" s="81"/>
      <c r="Q144" s="81"/>
      <c r="R144" s="81"/>
      <c r="S144" s="81"/>
      <c r="T144" s="81"/>
      <c r="U144" s="81"/>
      <c r="V144" s="81"/>
    </row>
    <row r="145" spans="1:25" x14ac:dyDescent="0.35">
      <c r="A145" s="127"/>
      <c r="B145" s="123" t="s">
        <v>473</v>
      </c>
      <c r="C145" s="2">
        <f>C$137*C$144</f>
        <v>2.4304720038828481E-2</v>
      </c>
      <c r="D145" s="2">
        <f>D$137*D$144</f>
        <v>-9.2808054058382952E-2</v>
      </c>
      <c r="H145" s="81"/>
      <c r="I145" s="81"/>
      <c r="J145" s="81"/>
      <c r="K145" s="81"/>
      <c r="L145" s="81"/>
      <c r="M145" s="81"/>
      <c r="N145" s="81"/>
      <c r="O145" s="81"/>
      <c r="P145" s="81"/>
      <c r="Q145" s="81"/>
      <c r="R145" s="81"/>
      <c r="S145" s="81"/>
      <c r="T145" s="81"/>
      <c r="U145" s="81"/>
      <c r="V145" s="81"/>
    </row>
    <row r="146" spans="1:25" x14ac:dyDescent="0.35">
      <c r="A146" s="127"/>
      <c r="B146" s="123"/>
      <c r="H146" s="81"/>
      <c r="I146" s="81"/>
      <c r="J146" s="81"/>
      <c r="K146" s="81"/>
      <c r="L146" s="81"/>
      <c r="M146" s="81"/>
      <c r="N146" s="81"/>
      <c r="O146" s="81"/>
      <c r="P146" s="81"/>
      <c r="Q146" s="81"/>
      <c r="R146" s="81"/>
      <c r="S146" s="81"/>
      <c r="T146" s="81"/>
      <c r="U146" s="81"/>
      <c r="V146" s="81"/>
    </row>
    <row r="147" spans="1:25" ht="17.5" thickBot="1" x14ac:dyDescent="0.45">
      <c r="B147" s="129" t="s">
        <v>446</v>
      </c>
      <c r="H147" s="81"/>
      <c r="I147" s="81"/>
      <c r="J147" s="81"/>
      <c r="K147" s="81"/>
      <c r="L147" s="81"/>
      <c r="M147" s="81"/>
      <c r="N147" s="81"/>
      <c r="O147" s="81"/>
      <c r="P147" s="81"/>
      <c r="Q147" s="81"/>
      <c r="R147" s="81"/>
      <c r="S147" s="81"/>
      <c r="T147" s="81"/>
      <c r="U147" s="81"/>
      <c r="V147" s="83"/>
      <c r="W147" s="18"/>
    </row>
    <row r="148" spans="1:25" ht="15" thickTop="1" x14ac:dyDescent="0.35">
      <c r="G148" t="s">
        <v>422</v>
      </c>
      <c r="H148" s="113">
        <v>0.5</v>
      </c>
      <c r="I148" s="81"/>
      <c r="O148" t="s">
        <v>432</v>
      </c>
      <c r="P148" s="13">
        <f>SQRT($C$125/(_xlfn.AGGREGATE(2,2,_xlfn.ANCHORARRAY($C$115))-1))</f>
        <v>9.4989064148660221E-2</v>
      </c>
      <c r="S148" s="81"/>
      <c r="T148" s="81"/>
      <c r="U148" s="81"/>
      <c r="V148" s="81"/>
    </row>
    <row r="149" spans="1:25" x14ac:dyDescent="0.35">
      <c r="G149" t="s">
        <v>427</v>
      </c>
      <c r="H149" s="13" cm="1">
        <f t="array" ref="H149">_xlfn.SWITCH($C$144,TRUE,$E$155,$C$124)</f>
        <v>6.6209653176943162E-2</v>
      </c>
      <c r="I149" s="81"/>
      <c r="O149" t="s">
        <v>430</v>
      </c>
      <c r="P149" s="97">
        <v>1</v>
      </c>
      <c r="S149" s="81"/>
      <c r="T149" s="81"/>
      <c r="U149" s="81"/>
      <c r="V149" s="81"/>
    </row>
    <row r="150" spans="1:25" x14ac:dyDescent="0.35">
      <c r="G150" t="s">
        <v>457</v>
      </c>
      <c r="H150" s="81">
        <f>$H$148-$H$149</f>
        <v>0.43379034682305684</v>
      </c>
      <c r="I150" s="81"/>
      <c r="O150" t="s">
        <v>428</v>
      </c>
      <c r="P150" s="97">
        <v>0.25</v>
      </c>
      <c r="S150" s="81"/>
      <c r="T150" s="81"/>
      <c r="U150" s="81"/>
      <c r="V150" s="81"/>
    </row>
    <row r="151" spans="1:25" x14ac:dyDescent="0.35">
      <c r="C151" s="81"/>
      <c r="D151" s="81"/>
      <c r="E151" s="81"/>
      <c r="F151" s="81"/>
      <c r="G151" s="81"/>
      <c r="H151" s="81"/>
      <c r="I151" s="81"/>
      <c r="L151" s="81"/>
      <c r="M151" s="81"/>
      <c r="Q151" s="81"/>
      <c r="R151" s="81"/>
      <c r="S151" s="81"/>
      <c r="T151" s="81"/>
      <c r="U151" s="81"/>
      <c r="V151" s="81"/>
    </row>
    <row r="152" spans="1:25" x14ac:dyDescent="0.35">
      <c r="E152" s="153" t="s">
        <v>460</v>
      </c>
      <c r="F152" s="153"/>
      <c r="G152" s="153" t="s">
        <v>469</v>
      </c>
      <c r="H152" s="153"/>
      <c r="I152" s="153"/>
      <c r="J152" s="153"/>
      <c r="K152" s="153"/>
      <c r="L152" s="153"/>
      <c r="M152" s="153"/>
      <c r="N152" s="153"/>
      <c r="O152" s="153" t="s">
        <v>448</v>
      </c>
      <c r="P152" s="153"/>
      <c r="Q152" s="153"/>
      <c r="R152" s="153"/>
    </row>
    <row r="153" spans="1:25" ht="15" thickBot="1" x14ac:dyDescent="0.4">
      <c r="B153" s="1" t="s">
        <v>421</v>
      </c>
      <c r="C153" s="1" t="s">
        <v>458</v>
      </c>
      <c r="D153" s="1" t="s">
        <v>447</v>
      </c>
      <c r="E153" s="1" t="s">
        <v>425</v>
      </c>
      <c r="F153" s="1" t="s">
        <v>423</v>
      </c>
      <c r="G153" s="1" t="s">
        <v>424</v>
      </c>
      <c r="H153" s="1" t="s">
        <v>426</v>
      </c>
      <c r="I153" s="1" t="s">
        <v>465</v>
      </c>
      <c r="J153" s="1" t="s">
        <v>463</v>
      </c>
      <c r="K153" s="1" t="s">
        <v>464</v>
      </c>
      <c r="L153" s="1" t="s">
        <v>466</v>
      </c>
      <c r="M153" s="1" t="s">
        <v>467</v>
      </c>
      <c r="N153" s="1" t="s">
        <v>468</v>
      </c>
      <c r="O153" s="1" t="s">
        <v>449</v>
      </c>
      <c r="P153" s="1" t="s">
        <v>433</v>
      </c>
      <c r="Q153" s="1" t="s">
        <v>431</v>
      </c>
      <c r="R153" s="1" t="s">
        <v>429</v>
      </c>
      <c r="Y153" s="1" t="s">
        <v>462</v>
      </c>
    </row>
    <row r="154" spans="1:25" ht="15.5" thickTop="1" thickBot="1" x14ac:dyDescent="0.4">
      <c r="E154" s="128">
        <f>$V$115</f>
        <v>0.17472250638183168</v>
      </c>
      <c r="F154" s="128">
        <f>$E154</f>
        <v>0.17472250638183168</v>
      </c>
    </row>
    <row r="155" spans="1:25" ht="15" thickTop="1" x14ac:dyDescent="0.35">
      <c r="B155">
        <f>ROW()-ROW($B$154)</f>
        <v>1</v>
      </c>
      <c r="C155" s="81" cm="1">
        <f t="array" ref="C155:C164">1-EXP($D$145+$C$145*$B155:$B164)</f>
        <v>6.6209653176943162E-2</v>
      </c>
      <c r="D155" s="81" cm="1">
        <f t="array" ref="D155:D164">1-EXP(_xlfn.FORECAST.ETS($B$155:$B$164,_xlfn.TAKE(_xlfn.ANCHORARRAY(C134),,-$C$118),_xlfn.TAKE($C$6:$V$6,,-$C$118),0))</f>
        <v>0.14147692002478773</v>
      </c>
      <c r="E155" s="81" cm="1">
        <f t="array" ref="E155:E164">_xlfn.SWITCH($C$144,TRUE,_xlfn.ANCHORARRAY($C$155),_xlfn.ANCHORARRAY($D$155))</f>
        <v>6.6209653176943162E-2</v>
      </c>
      <c r="F155" s="81">
        <f t="shared" ref="F155:F164" si="9">MIN($Y155,$M155+$H$149)+$R155</f>
        <v>6.6209653176943162E-2</v>
      </c>
      <c r="G155" s="81">
        <f t="shared" ref="G155:G164" si="10">$F154</f>
        <v>0.17472250638183168</v>
      </c>
      <c r="H155" s="81">
        <f>$E155-$G155</f>
        <v>-0.10851285320488852</v>
      </c>
      <c r="I155" s="81">
        <f>$G155+$H155</f>
        <v>6.6209653176943162E-2</v>
      </c>
      <c r="J155" s="81">
        <f>$I155-$H$149</f>
        <v>0</v>
      </c>
      <c r="K155" s="81">
        <f>MAX(0,$J155/$H$150)</f>
        <v>0</v>
      </c>
      <c r="L155" s="81">
        <f>$K155/(1+$K155)</f>
        <v>0</v>
      </c>
      <c r="M155" s="81">
        <f t="shared" ref="M155:M164" si="11">$L155*$H$150</f>
        <v>0</v>
      </c>
      <c r="N155" s="81">
        <f t="shared" ref="N155:N164" si="12">MIN($Y155,$M155+$H$149)</f>
        <v>6.6209653176943162E-2</v>
      </c>
      <c r="O155" s="81">
        <f t="shared" ref="O155:O164" si="13">$N155-$H$149</f>
        <v>0</v>
      </c>
      <c r="P155" s="2">
        <f t="shared" ref="P155:P164" si="14">$O155/$P$148</f>
        <v>0</v>
      </c>
      <c r="Q155" s="81">
        <f t="shared" ref="Q155:Q164" si="15">1/(1+EXP(-$P$149*$P155^2))</f>
        <v>0.5</v>
      </c>
      <c r="R155" s="13">
        <f t="shared" ref="R155:R164" si="16">-$Q155*$P$150*$O155</f>
        <v>0</v>
      </c>
    </row>
    <row r="156" spans="1:25" x14ac:dyDescent="0.35">
      <c r="B156">
        <f t="shared" ref="B156:B164" si="17">ROW()-ROW($B$154)</f>
        <v>2</v>
      </c>
      <c r="C156" s="81">
        <v>4.3236088088341118E-2</v>
      </c>
      <c r="D156" s="81">
        <v>0.13021148413855088</v>
      </c>
      <c r="E156" s="81">
        <v>4.3236088088341118E-2</v>
      </c>
      <c r="F156" s="81">
        <f t="shared" si="9"/>
        <v>6.6209653176943162E-2</v>
      </c>
      <c r="G156" s="81">
        <f t="shared" si="10"/>
        <v>6.6209653176943162E-2</v>
      </c>
      <c r="H156" s="81">
        <f t="shared" ref="H156:H164" si="18">$E156-$G156</f>
        <v>-2.2973565088602044E-2</v>
      </c>
      <c r="I156" s="81">
        <f t="shared" ref="I156:I164" si="19">$G156+$H156</f>
        <v>4.3236088088341118E-2</v>
      </c>
      <c r="J156" s="81">
        <f t="shared" ref="J156:J164" si="20">$I156-$H$149</f>
        <v>-2.2973565088602044E-2</v>
      </c>
      <c r="K156" s="81">
        <f t="shared" ref="K156:K164" si="21">MAX(0,$J156/$H$150)</f>
        <v>0</v>
      </c>
      <c r="L156" s="81">
        <f t="shared" ref="L156:L164" si="22">$K156/(1+$K156)</f>
        <v>0</v>
      </c>
      <c r="M156" s="81">
        <f t="shared" si="11"/>
        <v>0</v>
      </c>
      <c r="N156" s="81">
        <f t="shared" si="12"/>
        <v>6.6209653176943162E-2</v>
      </c>
      <c r="O156" s="81">
        <f t="shared" si="13"/>
        <v>0</v>
      </c>
      <c r="P156" s="2">
        <f t="shared" si="14"/>
        <v>0</v>
      </c>
      <c r="Q156" s="81">
        <f t="shared" si="15"/>
        <v>0.5</v>
      </c>
      <c r="R156" s="13">
        <f t="shared" si="16"/>
        <v>0</v>
      </c>
    </row>
    <row r="157" spans="1:25" x14ac:dyDescent="0.35">
      <c r="B157">
        <f t="shared" si="17"/>
        <v>3</v>
      </c>
      <c r="C157" s="81">
        <v>1.9697316157886502E-2</v>
      </c>
      <c r="D157" s="81">
        <v>0.11879822456688627</v>
      </c>
      <c r="E157" s="81">
        <v>1.9697316157886502E-2</v>
      </c>
      <c r="F157" s="81">
        <f t="shared" si="9"/>
        <v>6.6209653176943162E-2</v>
      </c>
      <c r="G157" s="81">
        <f t="shared" si="10"/>
        <v>6.6209653176943162E-2</v>
      </c>
      <c r="H157" s="81">
        <f t="shared" si="18"/>
        <v>-4.651233701905666E-2</v>
      </c>
      <c r="I157" s="81">
        <f t="shared" si="19"/>
        <v>1.9697316157886502E-2</v>
      </c>
      <c r="J157" s="81">
        <f t="shared" si="20"/>
        <v>-4.651233701905666E-2</v>
      </c>
      <c r="K157" s="81">
        <f t="shared" si="21"/>
        <v>0</v>
      </c>
      <c r="L157" s="81">
        <f t="shared" si="22"/>
        <v>0</v>
      </c>
      <c r="M157" s="81">
        <f t="shared" si="11"/>
        <v>0</v>
      </c>
      <c r="N157" s="81">
        <f t="shared" si="12"/>
        <v>6.6209653176943162E-2</v>
      </c>
      <c r="O157" s="81">
        <f t="shared" si="13"/>
        <v>0</v>
      </c>
      <c r="P157" s="2">
        <f t="shared" si="14"/>
        <v>0</v>
      </c>
      <c r="Q157" s="81">
        <f t="shared" si="15"/>
        <v>0.5</v>
      </c>
      <c r="R157" s="13">
        <f t="shared" si="16"/>
        <v>0</v>
      </c>
    </row>
    <row r="158" spans="1:25" x14ac:dyDescent="0.35">
      <c r="B158">
        <f t="shared" si="17"/>
        <v>4</v>
      </c>
      <c r="C158" s="81">
        <v>-4.420568108532974E-3</v>
      </c>
      <c r="D158" s="81">
        <v>0.10723520158529509</v>
      </c>
      <c r="E158" s="81">
        <v>-4.420568108532974E-3</v>
      </c>
      <c r="F158" s="81">
        <f t="shared" si="9"/>
        <v>6.6209653176943162E-2</v>
      </c>
      <c r="G158" s="81">
        <f t="shared" si="10"/>
        <v>6.6209653176943162E-2</v>
      </c>
      <c r="H158" s="81">
        <f t="shared" si="18"/>
        <v>-7.0630221285476136E-2</v>
      </c>
      <c r="I158" s="81">
        <f t="shared" si="19"/>
        <v>-4.420568108532974E-3</v>
      </c>
      <c r="J158" s="81">
        <f t="shared" si="20"/>
        <v>-7.0630221285476136E-2</v>
      </c>
      <c r="K158" s="81">
        <f t="shared" si="21"/>
        <v>0</v>
      </c>
      <c r="L158" s="81">
        <f t="shared" si="22"/>
        <v>0</v>
      </c>
      <c r="M158" s="81">
        <f t="shared" si="11"/>
        <v>0</v>
      </c>
      <c r="N158" s="81">
        <f t="shared" si="12"/>
        <v>6.6209653176943162E-2</v>
      </c>
      <c r="O158" s="81">
        <f t="shared" si="13"/>
        <v>0</v>
      </c>
      <c r="P158" s="2">
        <f t="shared" si="14"/>
        <v>0</v>
      </c>
      <c r="Q158" s="81">
        <f t="shared" si="15"/>
        <v>0.5</v>
      </c>
      <c r="R158" s="13">
        <f t="shared" si="16"/>
        <v>0</v>
      </c>
    </row>
    <row r="159" spans="1:25" x14ac:dyDescent="0.35">
      <c r="B159">
        <f t="shared" si="17"/>
        <v>5</v>
      </c>
      <c r="C159" s="81">
        <v>-2.91318123147708E-2</v>
      </c>
      <c r="D159" s="81">
        <v>9.5520450016449265E-2</v>
      </c>
      <c r="E159" s="81">
        <v>-2.91318123147708E-2</v>
      </c>
      <c r="F159" s="81">
        <f t="shared" si="9"/>
        <v>6.6209653176943162E-2</v>
      </c>
      <c r="G159" s="81">
        <f t="shared" si="10"/>
        <v>6.6209653176943162E-2</v>
      </c>
      <c r="H159" s="81">
        <f t="shared" si="18"/>
        <v>-9.5341465491713961E-2</v>
      </c>
      <c r="I159" s="81">
        <f t="shared" si="19"/>
        <v>-2.91318123147708E-2</v>
      </c>
      <c r="J159" s="81">
        <f t="shared" si="20"/>
        <v>-9.5341465491713961E-2</v>
      </c>
      <c r="K159" s="81">
        <f t="shared" si="21"/>
        <v>0</v>
      </c>
      <c r="L159" s="81">
        <f t="shared" si="22"/>
        <v>0</v>
      </c>
      <c r="M159" s="81">
        <f t="shared" si="11"/>
        <v>0</v>
      </c>
      <c r="N159" s="81">
        <f t="shared" si="12"/>
        <v>6.6209653176943162E-2</v>
      </c>
      <c r="O159" s="81">
        <f t="shared" si="13"/>
        <v>0</v>
      </c>
      <c r="P159" s="2">
        <f t="shared" si="14"/>
        <v>0</v>
      </c>
      <c r="Q159" s="81">
        <f t="shared" si="15"/>
        <v>0.5</v>
      </c>
      <c r="R159" s="13">
        <f t="shared" si="16"/>
        <v>0</v>
      </c>
    </row>
    <row r="160" spans="1:25" x14ac:dyDescent="0.35">
      <c r="B160">
        <f t="shared" si="17"/>
        <v>6</v>
      </c>
      <c r="C160" s="81">
        <v>-5.445101459117252E-2</v>
      </c>
      <c r="D160" s="81">
        <v>8.3651978896201462E-2</v>
      </c>
      <c r="E160" s="81">
        <v>-5.445101459117252E-2</v>
      </c>
      <c r="F160" s="81">
        <f t="shared" si="9"/>
        <v>6.6209653176943162E-2</v>
      </c>
      <c r="G160" s="81">
        <f t="shared" si="10"/>
        <v>6.6209653176943162E-2</v>
      </c>
      <c r="H160" s="81">
        <f t="shared" si="18"/>
        <v>-0.12066066776811568</v>
      </c>
      <c r="I160" s="81">
        <f t="shared" si="19"/>
        <v>-5.445101459117252E-2</v>
      </c>
      <c r="J160" s="81">
        <f t="shared" si="20"/>
        <v>-0.12066066776811568</v>
      </c>
      <c r="K160" s="81">
        <f t="shared" si="21"/>
        <v>0</v>
      </c>
      <c r="L160" s="81">
        <f t="shared" si="22"/>
        <v>0</v>
      </c>
      <c r="M160" s="81">
        <f t="shared" si="11"/>
        <v>0</v>
      </c>
      <c r="N160" s="81">
        <f t="shared" si="12"/>
        <v>6.6209653176943162E-2</v>
      </c>
      <c r="O160" s="81">
        <f t="shared" si="13"/>
        <v>0</v>
      </c>
      <c r="P160" s="2">
        <f t="shared" si="14"/>
        <v>0</v>
      </c>
      <c r="Q160" s="81">
        <f t="shared" si="15"/>
        <v>0.5</v>
      </c>
      <c r="R160" s="13">
        <f t="shared" si="16"/>
        <v>0</v>
      </c>
    </row>
    <row r="161" spans="2:28" x14ac:dyDescent="0.35">
      <c r="B161">
        <f t="shared" si="17"/>
        <v>7</v>
      </c>
      <c r="C161" s="81">
        <v>-8.0393132218399499E-2</v>
      </c>
      <c r="D161" s="81">
        <v>7.1627771135214124E-2</v>
      </c>
      <c r="E161" s="81">
        <v>-8.0393132218399499E-2</v>
      </c>
      <c r="F161" s="81">
        <f t="shared" si="9"/>
        <v>6.6209653176943162E-2</v>
      </c>
      <c r="G161" s="81">
        <f t="shared" si="10"/>
        <v>6.6209653176943162E-2</v>
      </c>
      <c r="H161" s="81">
        <f t="shared" si="18"/>
        <v>-0.14660278539534266</v>
      </c>
      <c r="I161" s="81">
        <f t="shared" si="19"/>
        <v>-8.0393132218399499E-2</v>
      </c>
      <c r="J161" s="81">
        <f t="shared" si="20"/>
        <v>-0.14660278539534266</v>
      </c>
      <c r="K161" s="81">
        <f t="shared" si="21"/>
        <v>0</v>
      </c>
      <c r="L161" s="81">
        <f t="shared" si="22"/>
        <v>0</v>
      </c>
      <c r="M161" s="81">
        <f t="shared" si="11"/>
        <v>0</v>
      </c>
      <c r="N161" s="81">
        <f t="shared" si="12"/>
        <v>6.6209653176943162E-2</v>
      </c>
      <c r="O161" s="81">
        <f t="shared" si="13"/>
        <v>0</v>
      </c>
      <c r="P161" s="2">
        <f t="shared" si="14"/>
        <v>0</v>
      </c>
      <c r="Q161" s="81">
        <f t="shared" si="15"/>
        <v>0.5</v>
      </c>
      <c r="R161" s="13">
        <f t="shared" si="16"/>
        <v>0</v>
      </c>
    </row>
    <row r="162" spans="2:28" x14ac:dyDescent="0.35">
      <c r="B162">
        <f t="shared" si="17"/>
        <v>8</v>
      </c>
      <c r="C162" s="81">
        <v>-0.1069734904634192</v>
      </c>
      <c r="D162" s="81">
        <v>5.9445783176147238E-2</v>
      </c>
      <c r="E162" s="81">
        <v>-0.1069734904634192</v>
      </c>
      <c r="F162" s="81">
        <f t="shared" si="9"/>
        <v>6.6209653176943162E-2</v>
      </c>
      <c r="G162" s="81">
        <f t="shared" si="10"/>
        <v>6.6209653176943162E-2</v>
      </c>
      <c r="H162" s="81">
        <f t="shared" si="18"/>
        <v>-0.17318314364036236</v>
      </c>
      <c r="I162" s="81">
        <f t="shared" si="19"/>
        <v>-0.1069734904634192</v>
      </c>
      <c r="J162" s="81">
        <f t="shared" si="20"/>
        <v>-0.17318314364036236</v>
      </c>
      <c r="K162" s="81">
        <f t="shared" si="21"/>
        <v>0</v>
      </c>
      <c r="L162" s="81">
        <f t="shared" si="22"/>
        <v>0</v>
      </c>
      <c r="M162" s="81">
        <f t="shared" si="11"/>
        <v>0</v>
      </c>
      <c r="N162" s="81">
        <f t="shared" si="12"/>
        <v>6.6209653176943162E-2</v>
      </c>
      <c r="O162" s="81">
        <f t="shared" si="13"/>
        <v>0</v>
      </c>
      <c r="P162" s="2">
        <f t="shared" si="14"/>
        <v>0</v>
      </c>
      <c r="Q162" s="81">
        <f t="shared" si="15"/>
        <v>0.5</v>
      </c>
      <c r="R162" s="13">
        <f t="shared" si="16"/>
        <v>0</v>
      </c>
    </row>
    <row r="163" spans="2:28" x14ac:dyDescent="0.35">
      <c r="B163">
        <f t="shared" si="17"/>
        <v>9</v>
      </c>
      <c r="C163" s="81">
        <v>-0.13420779163288432</v>
      </c>
      <c r="D163" s="81">
        <v>4.7103944646349483E-2</v>
      </c>
      <c r="E163" s="81">
        <v>-0.13420779163288432</v>
      </c>
      <c r="F163" s="81">
        <f t="shared" si="9"/>
        <v>6.6209653176943162E-2</v>
      </c>
      <c r="G163" s="81">
        <f t="shared" si="10"/>
        <v>6.6209653176943162E-2</v>
      </c>
      <c r="H163" s="81">
        <f t="shared" si="18"/>
        <v>-0.20041744480982748</v>
      </c>
      <c r="I163" s="81">
        <f t="shared" si="19"/>
        <v>-0.13420779163288432</v>
      </c>
      <c r="J163" s="81">
        <f t="shared" si="20"/>
        <v>-0.20041744480982748</v>
      </c>
      <c r="K163" s="81">
        <f t="shared" si="21"/>
        <v>0</v>
      </c>
      <c r="L163" s="81">
        <f t="shared" si="22"/>
        <v>0</v>
      </c>
      <c r="M163" s="81">
        <f t="shared" si="11"/>
        <v>0</v>
      </c>
      <c r="N163" s="81">
        <f t="shared" si="12"/>
        <v>6.6209653176943162E-2</v>
      </c>
      <c r="O163" s="81">
        <f t="shared" si="13"/>
        <v>0</v>
      </c>
      <c r="P163" s="2">
        <f t="shared" si="14"/>
        <v>0</v>
      </c>
      <c r="Q163" s="81">
        <f t="shared" si="15"/>
        <v>0.5</v>
      </c>
      <c r="R163" s="13">
        <f t="shared" si="16"/>
        <v>0</v>
      </c>
    </row>
    <row r="164" spans="2:28" x14ac:dyDescent="0.35">
      <c r="B164">
        <f t="shared" si="17"/>
        <v>10</v>
      </c>
      <c r="C164" s="81">
        <v>-0.16211212434924649</v>
      </c>
      <c r="D164" s="81">
        <v>3.4600158005989812E-2</v>
      </c>
      <c r="E164" s="81">
        <v>-0.16211212434924649</v>
      </c>
      <c r="F164" s="81">
        <f t="shared" si="9"/>
        <v>6.6209653176943162E-2</v>
      </c>
      <c r="G164" s="81">
        <f t="shared" si="10"/>
        <v>6.6209653176943162E-2</v>
      </c>
      <c r="H164" s="81">
        <f t="shared" si="18"/>
        <v>-0.22832177752618965</v>
      </c>
      <c r="I164" s="81">
        <f t="shared" si="19"/>
        <v>-0.16211212434924649</v>
      </c>
      <c r="J164" s="81">
        <f t="shared" si="20"/>
        <v>-0.22832177752618965</v>
      </c>
      <c r="K164" s="81">
        <f t="shared" si="21"/>
        <v>0</v>
      </c>
      <c r="L164" s="81">
        <f t="shared" si="22"/>
        <v>0</v>
      </c>
      <c r="M164" s="81">
        <f t="shared" si="11"/>
        <v>0</v>
      </c>
      <c r="N164" s="81">
        <f t="shared" si="12"/>
        <v>6.6209653176943162E-2</v>
      </c>
      <c r="O164" s="81">
        <f t="shared" si="13"/>
        <v>0</v>
      </c>
      <c r="P164" s="2">
        <f t="shared" si="14"/>
        <v>0</v>
      </c>
      <c r="Q164" s="81">
        <f t="shared" si="15"/>
        <v>0.5</v>
      </c>
      <c r="R164" s="13">
        <f t="shared" si="16"/>
        <v>0</v>
      </c>
    </row>
    <row r="165" spans="2:28" x14ac:dyDescent="0.35">
      <c r="C165" s="81"/>
      <c r="D165" s="81"/>
      <c r="E165" s="81"/>
      <c r="F165" s="81"/>
      <c r="G165" s="81"/>
      <c r="H165" s="81"/>
      <c r="I165" s="81"/>
      <c r="J165" s="81"/>
      <c r="K165" s="81"/>
      <c r="L165" s="81"/>
      <c r="M165" s="81"/>
      <c r="N165" s="81"/>
      <c r="O165" s="81"/>
      <c r="P165" s="81"/>
      <c r="Q165" s="81"/>
      <c r="R165" s="81"/>
      <c r="S165" s="81"/>
      <c r="T165" s="81"/>
      <c r="U165" s="81"/>
      <c r="V165" s="81"/>
    </row>
    <row r="166" spans="2:28" x14ac:dyDescent="0.35">
      <c r="B166" s="123" t="s">
        <v>405</v>
      </c>
      <c r="V166" s="83"/>
      <c r="W166" s="104" cm="1">
        <f t="array" ref="W166:AB166">TRANSPOSE($F$155:$F$160)</f>
        <v>6.6209653176943162E-2</v>
      </c>
      <c r="X166" s="81">
        <v>6.6209653176943162E-2</v>
      </c>
      <c r="Y166" s="81">
        <v>6.6209653176943162E-2</v>
      </c>
      <c r="Z166" s="81">
        <v>6.6209653176943162E-2</v>
      </c>
      <c r="AA166" s="81">
        <v>6.6209653176943162E-2</v>
      </c>
      <c r="AB166" s="81">
        <v>6.6209653176943162E-2</v>
      </c>
    </row>
    <row r="167" spans="2:28" x14ac:dyDescent="0.35">
      <c r="V167" s="17"/>
      <c r="W167" s="18"/>
    </row>
    <row r="168" spans="2:28" x14ac:dyDescent="0.35">
      <c r="V168" s="17"/>
      <c r="W168" s="18"/>
    </row>
    <row r="169" spans="2:28" ht="20" thickBot="1" x14ac:dyDescent="0.5">
      <c r="B169" s="12" t="s">
        <v>387</v>
      </c>
      <c r="V169" s="17"/>
      <c r="W169" s="18"/>
    </row>
    <row r="170" spans="2:28" ht="15" thickTop="1" x14ac:dyDescent="0.35">
      <c r="B170" t="s">
        <v>116</v>
      </c>
      <c r="C170" s="13" t="e" cm="1">
        <f t="array" ref="C170:V170">'Income statement'!$C$50:$V$50</f>
        <v>#VALUE!</v>
      </c>
      <c r="D170" s="13" t="e">
        <v>#VALUE!</v>
      </c>
      <c r="E170" s="13" t="e">
        <v>#VALUE!</v>
      </c>
      <c r="F170" s="13" t="e">
        <v>#VALUE!</v>
      </c>
      <c r="G170" s="13" t="e">
        <v>#VALUE!</v>
      </c>
      <c r="H170" s="13" t="e">
        <v>#VALUE!</v>
      </c>
      <c r="I170" s="13" t="e">
        <v>#VALUE!</v>
      </c>
      <c r="J170" s="13" t="e">
        <v>#VALUE!</v>
      </c>
      <c r="K170" s="13" t="e">
        <v>#VALUE!</v>
      </c>
      <c r="L170" s="13">
        <v>1.0053022269353129</v>
      </c>
      <c r="M170" s="13">
        <v>0.46536775129397029</v>
      </c>
      <c r="N170" s="13">
        <v>0.53273714468221012</v>
      </c>
      <c r="O170" s="13">
        <v>0.20160314341846758</v>
      </c>
      <c r="P170" s="13">
        <v>0.1664223497924095</v>
      </c>
      <c r="Q170" s="13">
        <v>6.7991739803820339E-2</v>
      </c>
      <c r="R170" s="13">
        <v>-0.68389123228841653</v>
      </c>
      <c r="S170" s="13">
        <v>-0.12886361401553639</v>
      </c>
      <c r="T170" s="13">
        <v>0.58086676611446963</v>
      </c>
      <c r="U170" s="13">
        <v>0.33230097576447326</v>
      </c>
      <c r="V170" s="33">
        <v>0.225163709190975</v>
      </c>
      <c r="W170" s="18"/>
    </row>
    <row r="181" spans="2:23" ht="20" thickBot="1" x14ac:dyDescent="0.5">
      <c r="B181" s="12" t="s">
        <v>388</v>
      </c>
      <c r="V181" s="17"/>
      <c r="W181" s="18"/>
    </row>
    <row r="182" spans="2:23" ht="15" thickTop="1" x14ac:dyDescent="0.35">
      <c r="B182" t="s">
        <v>389</v>
      </c>
      <c r="C182" s="45" t="e" cm="1">
        <f t="array" ref="C182:V182">'Cash flow statement'!$C$48:$V$48</f>
        <v>#VALUE!</v>
      </c>
      <c r="D182" s="45" t="e">
        <v>#VALUE!</v>
      </c>
      <c r="E182" s="45" t="e">
        <v>#VALUE!</v>
      </c>
      <c r="F182" s="45" t="e">
        <v>#VALUE!</v>
      </c>
      <c r="G182" s="45" t="e">
        <v>#VALUE!</v>
      </c>
      <c r="H182" s="45" t="e">
        <v>#VALUE!</v>
      </c>
      <c r="I182" s="45" t="e">
        <v>#VALUE!</v>
      </c>
      <c r="J182" s="45" t="e">
        <v>#VALUE!</v>
      </c>
      <c r="K182" s="45" t="e">
        <v>#VALUE!</v>
      </c>
      <c r="L182" s="45">
        <v>1.657</v>
      </c>
      <c r="M182" s="45">
        <v>6.9269999999999996</v>
      </c>
      <c r="N182" s="45">
        <v>9.2210000000000001</v>
      </c>
      <c r="O182" s="45">
        <v>13.064</v>
      </c>
      <c r="P182" s="45">
        <v>25.191000000000003</v>
      </c>
      <c r="Q182" s="45">
        <v>40.603999999999999</v>
      </c>
      <c r="R182" s="45">
        <v>80.114000000000004</v>
      </c>
      <c r="S182" s="45">
        <v>59.972999999999999</v>
      </c>
      <c r="T182" s="45">
        <v>91.884999999999991</v>
      </c>
      <c r="U182" s="45">
        <v>55.019999999999996</v>
      </c>
      <c r="V182" s="45">
        <v>107.062</v>
      </c>
    </row>
    <row r="183" spans="2:23" x14ac:dyDescent="0.35">
      <c r="B183" t="s">
        <v>388</v>
      </c>
      <c r="C183" t="e" cm="1">
        <f t="array" ref="C183:V183">'Cash flow statement'!$C$41:$V$41</f>
        <v>#VALUE!</v>
      </c>
      <c r="D183" t="e">
        <v>#VALUE!</v>
      </c>
      <c r="E183" t="e">
        <v>#VALUE!</v>
      </c>
      <c r="F183" t="e">
        <v>#VALUE!</v>
      </c>
      <c r="G183" t="e">
        <v>#VALUE!</v>
      </c>
      <c r="H183" t="e">
        <v>#VALUE!</v>
      </c>
      <c r="I183" t="e">
        <v>#VALUE!</v>
      </c>
      <c r="J183" t="e">
        <v>#VALUE!</v>
      </c>
      <c r="K183" t="e">
        <v>#VALUE!</v>
      </c>
      <c r="L183">
        <v>3.7195833707461615E-2</v>
      </c>
      <c r="M183">
        <v>6.0596252427524186E-2</v>
      </c>
      <c r="N183">
        <v>4.544020973162631E-2</v>
      </c>
      <c r="O183">
        <v>4.2385721747989241E-2</v>
      </c>
      <c r="P183">
        <v>5.277879043105508E-2</v>
      </c>
      <c r="Q183">
        <v>6.1422749592320192E-2</v>
      </c>
      <c r="R183">
        <v>9.5826360921159814E-2</v>
      </c>
      <c r="S183">
        <v>5.0125076579629856E-2</v>
      </c>
      <c r="T183">
        <v>5.8236336152668745E-2</v>
      </c>
      <c r="U183">
        <v>2.8271637925718865E-2</v>
      </c>
      <c r="V183">
        <v>4.3791165933350806E-2</v>
      </c>
    </row>
    <row r="185" spans="2:23" ht="20" thickBot="1" x14ac:dyDescent="0.5">
      <c r="B185" s="12" t="s">
        <v>419</v>
      </c>
      <c r="V185" s="17"/>
      <c r="W185" s="18"/>
    </row>
    <row r="186" spans="2:23" ht="15" thickTop="1" x14ac:dyDescent="0.35"/>
  </sheetData>
  <mergeCells count="3">
    <mergeCell ref="E152:F152"/>
    <mergeCell ref="G152:N152"/>
    <mergeCell ref="O152:R152"/>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A444A-20AB-443A-9D11-64A30D041838}">
  <sheetPr codeName="Sheet3">
    <tabColor theme="8" tint="0.79998168889431442"/>
  </sheetPr>
  <dimension ref="A1:AD108"/>
  <sheetViews>
    <sheetView showGridLines="0" tabSelected="1" zoomScale="85" zoomScaleNormal="85" workbookViewId="0">
      <pane xSplit="2" ySplit="6" topLeftCell="C7" activePane="bottomRight" state="frozen"/>
      <selection activeCell="P52" sqref="P52"/>
      <selection pane="topRight" activeCell="P52" sqref="P52"/>
      <selection pane="bottomLeft" activeCell="P52" sqref="P52"/>
      <selection pane="bottomRight" activeCell="W40" sqref="W40"/>
    </sheetView>
  </sheetViews>
  <sheetFormatPr defaultRowHeight="14.5" outlineLevelCol="1" x14ac:dyDescent="0.35"/>
  <cols>
    <col min="1" max="1" width="20.6328125" style="58" customWidth="1" outlineLevel="1"/>
    <col min="2" max="2" width="33" bestFit="1" customWidth="1"/>
    <col min="3" max="28" width="10.81640625" bestFit="1" customWidth="1"/>
  </cols>
  <sheetData>
    <row r="1" spans="1:28" ht="23.5" x14ac:dyDescent="0.55000000000000004">
      <c r="B1" s="5" t="str">
        <f>'Start Here'!$H$5</f>
        <v>Trade Desk, Inc. Class A</v>
      </c>
    </row>
    <row r="2" spans="1:28" ht="20" thickBot="1" x14ac:dyDescent="0.5">
      <c r="B2" s="12" t="str" cm="1">
        <f t="array" aca="1" ref="B2" ca="1">_xlfn.TEXTAFTER(CELL("filename"), "]")</f>
        <v>Raw daily returns</v>
      </c>
    </row>
    <row r="3" spans="1:28" ht="15" thickTop="1" x14ac:dyDescent="0.35">
      <c r="V3" s="17"/>
      <c r="W3" s="18"/>
    </row>
    <row r="4" spans="1:28" ht="20" thickBot="1" x14ac:dyDescent="0.5">
      <c r="B4" s="12" t="s">
        <v>114</v>
      </c>
      <c r="V4" s="17"/>
      <c r="W4" s="18"/>
    </row>
    <row r="5" spans="1:28" ht="15.5" thickTop="1" thickBot="1" x14ac:dyDescent="0.4">
      <c r="B5" s="15"/>
      <c r="C5" s="15"/>
      <c r="D5" s="15"/>
      <c r="E5" s="15"/>
      <c r="F5" s="15"/>
      <c r="G5" s="15"/>
      <c r="H5" s="15"/>
      <c r="I5" s="15"/>
      <c r="J5" s="15"/>
      <c r="K5" s="15"/>
      <c r="L5" s="15"/>
      <c r="M5" s="15"/>
      <c r="N5" s="15"/>
      <c r="O5" s="15"/>
      <c r="P5" s="15"/>
      <c r="Q5" s="15"/>
      <c r="R5" s="15"/>
      <c r="S5" s="15"/>
      <c r="T5" s="15"/>
      <c r="U5" s="15"/>
      <c r="V5" s="19"/>
      <c r="W5" s="20"/>
      <c r="X5" s="15"/>
      <c r="Y5" s="15"/>
      <c r="Z5" s="15"/>
      <c r="AA5" s="15"/>
      <c r="AB5" s="15"/>
    </row>
    <row r="6" spans="1:28" s="1" customFormat="1" ht="15.5" thickTop="1" thickBot="1" x14ac:dyDescent="0.4">
      <c r="A6" s="58" t="str">
        <f>_xlfn.XLOOKUP($B6,'Line item mapping'!$B:$B,'Line item mapping'!$A:$A)</f>
        <v>date</v>
      </c>
      <c r="B6" s="1" t="s">
        <v>51</v>
      </c>
      <c r="C6" s="4" t="e" cm="1">
        <f t="array" ref="C6:V6">GET_FINANCIALS_LINE_ITEM(A6)</f>
        <v>#VALUE!</v>
      </c>
      <c r="D6" s="4" t="e">
        <v>#VALUE!</v>
      </c>
      <c r="E6" s="4" t="e">
        <v>#VALUE!</v>
      </c>
      <c r="F6" s="4" t="e">
        <v>#VALUE!</v>
      </c>
      <c r="G6" s="4" t="e">
        <v>#VALUE!</v>
      </c>
      <c r="H6" s="4" t="e">
        <v>#VALUE!</v>
      </c>
      <c r="I6" s="4" t="e">
        <v>#VALUE!</v>
      </c>
      <c r="J6" s="4" t="e">
        <v>#VALUE!</v>
      </c>
      <c r="K6" s="4" t="e">
        <v>#VALUE!</v>
      </c>
      <c r="L6" s="4">
        <v>42004</v>
      </c>
      <c r="M6" s="4">
        <v>42369</v>
      </c>
      <c r="N6" s="4">
        <v>42735</v>
      </c>
      <c r="O6" s="4">
        <v>43100</v>
      </c>
      <c r="P6" s="4">
        <v>43465</v>
      </c>
      <c r="Q6" s="4">
        <v>43830</v>
      </c>
      <c r="R6" s="4">
        <v>44196</v>
      </c>
      <c r="S6" s="4">
        <v>44561</v>
      </c>
      <c r="T6" s="4">
        <v>44926</v>
      </c>
      <c r="U6" s="4">
        <v>45291</v>
      </c>
      <c r="V6" s="21">
        <v>45657</v>
      </c>
      <c r="W6" s="114">
        <f>EOMONTH($V6,12)</f>
        <v>46022</v>
      </c>
      <c r="X6" s="4">
        <f t="shared" ref="X6:AB6" si="0">EOMONTH($V6,12)</f>
        <v>46022</v>
      </c>
      <c r="Y6" s="4">
        <f t="shared" si="0"/>
        <v>46022</v>
      </c>
      <c r="Z6" s="4">
        <f t="shared" si="0"/>
        <v>46022</v>
      </c>
      <c r="AA6" s="4">
        <f t="shared" si="0"/>
        <v>46022</v>
      </c>
      <c r="AB6" s="4">
        <f t="shared" si="0"/>
        <v>46022</v>
      </c>
    </row>
    <row r="7" spans="1:28" ht="15.5" thickTop="1" thickBot="1" x14ac:dyDescent="0.4">
      <c r="A7" s="58" t="str">
        <f>_xlfn.XLOOKUP($B7,'Line item mapping'!$B:$B,'Line item mapping'!$A:$A)</f>
        <v>ff_sales</v>
      </c>
      <c r="B7" t="s">
        <v>53</v>
      </c>
      <c r="C7" s="8" t="e" cm="1">
        <f t="array" ref="C7:V7">GET_FINANCIALS_LINE_ITEM(A7)</f>
        <v>#VALUE!</v>
      </c>
      <c r="D7" s="8" t="e">
        <v>#VALUE!</v>
      </c>
      <c r="E7" s="8" t="e">
        <v>#VALUE!</v>
      </c>
      <c r="F7" s="8" t="e">
        <v>#VALUE!</v>
      </c>
      <c r="G7" s="8" t="e">
        <v>#VALUE!</v>
      </c>
      <c r="H7" s="8" t="e">
        <v>#VALUE!</v>
      </c>
      <c r="I7" s="8" t="e">
        <v>#VALUE!</v>
      </c>
      <c r="J7" s="8" t="e">
        <v>#VALUE!</v>
      </c>
      <c r="K7" s="8" t="e">
        <v>#VALUE!</v>
      </c>
      <c r="L7" s="8">
        <v>44.548000000000002</v>
      </c>
      <c r="M7" s="8">
        <v>114.31399999999999</v>
      </c>
      <c r="N7" s="8">
        <v>202.92599999999999</v>
      </c>
      <c r="O7" s="8">
        <v>308.21699999999998</v>
      </c>
      <c r="P7" s="8">
        <v>477.29399999999998</v>
      </c>
      <c r="Q7" s="8">
        <v>661.05799999999999</v>
      </c>
      <c r="R7" s="8">
        <v>836.03300000000002</v>
      </c>
      <c r="S7" s="8">
        <v>1196.4670000000001</v>
      </c>
      <c r="T7" s="8">
        <v>1577.7950000000001</v>
      </c>
      <c r="U7" s="8">
        <v>1946.12</v>
      </c>
      <c r="V7" s="23">
        <v>2444.8310000000001</v>
      </c>
      <c r="W7" s="117">
        <f t="shared" ref="W7:AB7" si="1">V$7*(1+W$42)</f>
        <v>3160.0341591808092</v>
      </c>
      <c r="X7" s="8">
        <f t="shared" si="1"/>
        <v>3815.4041109591085</v>
      </c>
      <c r="Y7" s="8">
        <f t="shared" si="1"/>
        <v>4439.9730061008049</v>
      </c>
      <c r="Z7" s="8">
        <f t="shared" si="1"/>
        <v>4972.769766832902</v>
      </c>
      <c r="AA7" s="8">
        <f t="shared" si="1"/>
        <v>5569.5021388528503</v>
      </c>
      <c r="AB7" s="8">
        <f t="shared" si="1"/>
        <v>6237.8423955151929</v>
      </c>
    </row>
    <row r="8" spans="1:28" ht="15" thickTop="1" x14ac:dyDescent="0.35">
      <c r="B8" t="s">
        <v>91</v>
      </c>
      <c r="C8" s="8" t="e">
        <f t="shared" ref="C8:V8" si="2">C9-C7</f>
        <v>#VALUE!</v>
      </c>
      <c r="D8" s="8" t="e">
        <f t="shared" si="2"/>
        <v>#VALUE!</v>
      </c>
      <c r="E8" s="8" t="e">
        <f t="shared" si="2"/>
        <v>#VALUE!</v>
      </c>
      <c r="F8" s="8" t="e">
        <f t="shared" si="2"/>
        <v>#VALUE!</v>
      </c>
      <c r="G8" s="8" t="e">
        <f t="shared" si="2"/>
        <v>#VALUE!</v>
      </c>
      <c r="H8" s="8" t="e">
        <f t="shared" si="2"/>
        <v>#VALUE!</v>
      </c>
      <c r="I8" s="8" t="e">
        <f t="shared" si="2"/>
        <v>#VALUE!</v>
      </c>
      <c r="J8" s="8" t="e">
        <f t="shared" si="2"/>
        <v>#VALUE!</v>
      </c>
      <c r="K8" s="8" t="e">
        <f t="shared" si="2"/>
        <v>#VALUE!</v>
      </c>
      <c r="L8" s="8">
        <f t="shared" si="2"/>
        <v>-12.559000000000001</v>
      </c>
      <c r="M8" s="8">
        <f t="shared" si="2"/>
        <v>-22.966999999999999</v>
      </c>
      <c r="N8" s="8">
        <f t="shared" si="2"/>
        <v>-39.875999999999976</v>
      </c>
      <c r="O8" s="8">
        <f t="shared" si="2"/>
        <v>-66.22999999999999</v>
      </c>
      <c r="P8" s="8">
        <f t="shared" si="2"/>
        <v>-114.09799999999996</v>
      </c>
      <c r="Q8" s="8">
        <f t="shared" si="2"/>
        <v>-156.18</v>
      </c>
      <c r="R8" s="8">
        <f t="shared" si="2"/>
        <v>-178.81200000000001</v>
      </c>
      <c r="S8" s="8">
        <f t="shared" si="2"/>
        <v>-221.55400000000009</v>
      </c>
      <c r="T8" s="8">
        <f t="shared" si="2"/>
        <v>-281.12300000000005</v>
      </c>
      <c r="U8" s="8">
        <f t="shared" si="2"/>
        <v>-365.59799999999996</v>
      </c>
      <c r="V8" s="23">
        <f t="shared" si="2"/>
        <v>-472.01200000000017</v>
      </c>
      <c r="W8" s="40"/>
      <c r="X8" s="38"/>
      <c r="Y8" s="38"/>
      <c r="Z8" s="38"/>
      <c r="AA8" s="38"/>
      <c r="AB8" s="38"/>
    </row>
    <row r="9" spans="1:28" x14ac:dyDescent="0.35">
      <c r="A9" s="58" t="str">
        <f>_xlfn.XLOOKUP($B9,'Line item mapping'!$B:$B,'Line item mapping'!$A:$A)</f>
        <v>ff_gross_inc</v>
      </c>
      <c r="B9" s="6" t="s">
        <v>90</v>
      </c>
      <c r="C9" s="9" t="e" cm="1">
        <f t="array" ref="C9:V9">GET_FINANCIALS_LINE_ITEM(A9)</f>
        <v>#VALUE!</v>
      </c>
      <c r="D9" s="9" t="e">
        <v>#VALUE!</v>
      </c>
      <c r="E9" s="9" t="e">
        <v>#VALUE!</v>
      </c>
      <c r="F9" s="9" t="e">
        <v>#VALUE!</v>
      </c>
      <c r="G9" s="9" t="e">
        <v>#VALUE!</v>
      </c>
      <c r="H9" s="9" t="e">
        <v>#VALUE!</v>
      </c>
      <c r="I9" s="9" t="e">
        <v>#VALUE!</v>
      </c>
      <c r="J9" s="9" t="e">
        <v>#VALUE!</v>
      </c>
      <c r="K9" s="9" t="e">
        <v>#VALUE!</v>
      </c>
      <c r="L9" s="9">
        <v>31.989000000000001</v>
      </c>
      <c r="M9" s="9">
        <v>91.346999999999994</v>
      </c>
      <c r="N9" s="9">
        <v>163.05000000000001</v>
      </c>
      <c r="O9" s="9">
        <v>241.98699999999999</v>
      </c>
      <c r="P9" s="9">
        <v>363.19600000000003</v>
      </c>
      <c r="Q9" s="9">
        <v>504.87799999999999</v>
      </c>
      <c r="R9" s="9">
        <v>657.221</v>
      </c>
      <c r="S9" s="9">
        <v>974.91300000000001</v>
      </c>
      <c r="T9" s="9">
        <v>1296.672</v>
      </c>
      <c r="U9" s="9">
        <v>1580.5219999999999</v>
      </c>
      <c r="V9" s="25">
        <v>1972.819</v>
      </c>
      <c r="W9" s="40"/>
      <c r="X9" s="38"/>
      <c r="Y9" s="38"/>
      <c r="Z9" s="38"/>
      <c r="AA9" s="38"/>
      <c r="AB9" s="38"/>
    </row>
    <row r="10" spans="1:28" x14ac:dyDescent="0.35">
      <c r="C10" s="8"/>
      <c r="D10" s="8"/>
      <c r="E10" s="8"/>
      <c r="F10" s="8"/>
      <c r="G10" s="8"/>
      <c r="H10" s="8"/>
      <c r="I10" s="8"/>
      <c r="J10" s="8"/>
      <c r="K10" s="8"/>
      <c r="L10" s="8"/>
      <c r="M10" s="8"/>
      <c r="N10" s="8"/>
      <c r="O10" s="8"/>
      <c r="P10" s="8"/>
      <c r="Q10" s="8"/>
      <c r="R10" s="8"/>
      <c r="S10" s="8"/>
      <c r="T10" s="8"/>
      <c r="U10" s="8"/>
      <c r="V10" s="23"/>
      <c r="W10" s="24"/>
      <c r="X10" s="8"/>
      <c r="Y10" s="8"/>
      <c r="Z10" s="8"/>
      <c r="AA10" s="8"/>
      <c r="AB10" s="8"/>
    </row>
    <row r="11" spans="1:28" x14ac:dyDescent="0.35">
      <c r="A11" s="58" t="str">
        <f>_xlfn.XLOOKUP($B11,'Line item mapping'!$B:$B,'Line item mapping'!$A:$A)</f>
        <v>ff_dep_exp</v>
      </c>
      <c r="B11" t="s">
        <v>73</v>
      </c>
      <c r="C11" s="8" t="e" cm="1">
        <f t="array" ref="C11:V11">-GET_FINANCIALS_LINE_ITEM(A11)</f>
        <v>#VALUE!</v>
      </c>
      <c r="D11" s="8" t="e">
        <v>#VALUE!</v>
      </c>
      <c r="E11" s="8" t="e">
        <v>#VALUE!</v>
      </c>
      <c r="F11" s="8" t="e">
        <v>#VALUE!</v>
      </c>
      <c r="G11" s="8" t="e">
        <v>#VALUE!</v>
      </c>
      <c r="H11" s="8" t="e">
        <v>#VALUE!</v>
      </c>
      <c r="I11" s="8" t="e">
        <v>#VALUE!</v>
      </c>
      <c r="J11" s="8" t="e">
        <v>#VALUE!</v>
      </c>
      <c r="K11" s="8" t="e">
        <v>#VALUE!</v>
      </c>
      <c r="L11" s="8">
        <v>-0.28000000000000003</v>
      </c>
      <c r="M11" s="8">
        <v>-0.92800000000000005</v>
      </c>
      <c r="N11" s="8">
        <v>-2.3980000000000001</v>
      </c>
      <c r="O11" s="8">
        <v>-5.3090000000000002</v>
      </c>
      <c r="P11" s="8">
        <v>-8.1</v>
      </c>
      <c r="Q11" s="8">
        <v>-36.793999999999997</v>
      </c>
      <c r="R11" s="8">
        <v>-56.100999999999999</v>
      </c>
      <c r="S11" s="8">
        <v>-77.834000000000003</v>
      </c>
      <c r="T11" s="8">
        <v>-47.424999999999997</v>
      </c>
      <c r="U11" s="8">
        <v>-66.418000000000006</v>
      </c>
      <c r="V11" s="23">
        <v>-71.489999999999995</v>
      </c>
      <c r="W11" s="40"/>
      <c r="X11" s="38"/>
      <c r="Y11" s="38"/>
      <c r="Z11" s="38"/>
      <c r="AA11" s="38"/>
      <c r="AB11" s="38"/>
    </row>
    <row r="12" spans="1:28" x14ac:dyDescent="0.35">
      <c r="B12" t="s">
        <v>147</v>
      </c>
      <c r="C12" s="8" t="e">
        <f t="shared" ref="C12:V12" si="3">-C$74-C$11</f>
        <v>#VALUE!</v>
      </c>
      <c r="D12" s="8" t="e">
        <f t="shared" si="3"/>
        <v>#VALUE!</v>
      </c>
      <c r="E12" s="8" t="e">
        <f t="shared" si="3"/>
        <v>#VALUE!</v>
      </c>
      <c r="F12" s="8" t="e">
        <f t="shared" si="3"/>
        <v>#VALUE!</v>
      </c>
      <c r="G12" s="8" t="e">
        <f t="shared" si="3"/>
        <v>#VALUE!</v>
      </c>
      <c r="H12" s="8" t="e">
        <f t="shared" si="3"/>
        <v>#VALUE!</v>
      </c>
      <c r="I12" s="8" t="e">
        <f t="shared" si="3"/>
        <v>#VALUE!</v>
      </c>
      <c r="J12" s="8" t="e">
        <f t="shared" si="3"/>
        <v>#VALUE!</v>
      </c>
      <c r="K12" s="8" t="e">
        <f t="shared" si="3"/>
        <v>#VALUE!</v>
      </c>
      <c r="L12" s="8">
        <f t="shared" si="3"/>
        <v>-0.4</v>
      </c>
      <c r="M12" s="8">
        <f t="shared" si="3"/>
        <v>-0.9</v>
      </c>
      <c r="N12" s="8">
        <f t="shared" si="3"/>
        <v>-1.4</v>
      </c>
      <c r="O12" s="8">
        <f t="shared" si="3"/>
        <v>-1.8999999999999995</v>
      </c>
      <c r="P12" s="8">
        <f t="shared" si="3"/>
        <v>-3.2000000000000011</v>
      </c>
      <c r="Q12" s="8">
        <f t="shared" si="3"/>
        <v>-5.5</v>
      </c>
      <c r="R12" s="8">
        <f t="shared" si="3"/>
        <v>-5.8000000000000043</v>
      </c>
      <c r="S12" s="8">
        <f t="shared" si="3"/>
        <v>-4.7000000000000028</v>
      </c>
      <c r="T12" s="8">
        <f t="shared" si="3"/>
        <v>-7</v>
      </c>
      <c r="U12" s="8">
        <f t="shared" si="3"/>
        <v>-14</v>
      </c>
      <c r="V12" s="23">
        <f t="shared" si="3"/>
        <v>-16</v>
      </c>
      <c r="W12" s="40"/>
      <c r="X12" s="38"/>
      <c r="Y12" s="38"/>
      <c r="Z12" s="38"/>
      <c r="AA12" s="38"/>
      <c r="AB12" s="38"/>
    </row>
    <row r="13" spans="1:28" x14ac:dyDescent="0.35">
      <c r="B13" t="s">
        <v>184</v>
      </c>
      <c r="C13" s="8"/>
      <c r="D13" s="8"/>
      <c r="E13" s="8"/>
      <c r="F13" s="8"/>
      <c r="G13" s="8"/>
      <c r="H13" s="8"/>
      <c r="I13" s="8"/>
      <c r="J13" s="8"/>
      <c r="K13" s="8"/>
      <c r="L13" s="8"/>
      <c r="M13" s="8"/>
      <c r="N13" s="8"/>
      <c r="O13" s="8"/>
      <c r="P13" s="8"/>
      <c r="Q13" s="8"/>
      <c r="R13" s="8"/>
      <c r="S13" s="8"/>
      <c r="T13" s="8"/>
      <c r="U13" s="8"/>
      <c r="V13" s="23"/>
      <c r="W13" s="24">
        <f ca="1">-'Cash flow statement'!W$14</f>
        <v>-65.672625228660294</v>
      </c>
      <c r="X13" s="8">
        <f ca="1">-'Cash flow statement'!X$14</f>
        <v>-85.830677010582846</v>
      </c>
      <c r="Y13" s="8">
        <f ca="1">-'Cash flow statement'!Y$14</f>
        <v>-109.0551791520905</v>
      </c>
      <c r="Z13" s="8">
        <f ca="1">-'Cash flow statement'!Z$14</f>
        <v>-134.01068955057909</v>
      </c>
      <c r="AA13" s="8">
        <f ca="1">-'Cash flow statement'!AA$14</f>
        <v>-160.72185319688626</v>
      </c>
      <c r="AB13" s="8">
        <f ca="1">-'Cash flow statement'!AB$14</f>
        <v>-187.17460448075036</v>
      </c>
    </row>
    <row r="14" spans="1:28" ht="15" thickBot="1" x14ac:dyDescent="0.4">
      <c r="B14" t="s">
        <v>149</v>
      </c>
      <c r="C14" s="8" t="e">
        <f t="shared" ref="C14:V14" si="4">C$15-C$9-SUM(C$11:C$12)</f>
        <v>#VALUE!</v>
      </c>
      <c r="D14" s="8" t="e">
        <f t="shared" si="4"/>
        <v>#VALUE!</v>
      </c>
      <c r="E14" s="8" t="e">
        <f t="shared" si="4"/>
        <v>#VALUE!</v>
      </c>
      <c r="F14" s="8" t="e">
        <f t="shared" si="4"/>
        <v>#VALUE!</v>
      </c>
      <c r="G14" s="8" t="e">
        <f t="shared" si="4"/>
        <v>#VALUE!</v>
      </c>
      <c r="H14" s="8" t="e">
        <f t="shared" si="4"/>
        <v>#VALUE!</v>
      </c>
      <c r="I14" s="8" t="e">
        <f t="shared" si="4"/>
        <v>#VALUE!</v>
      </c>
      <c r="J14" s="8" t="e">
        <f t="shared" si="4"/>
        <v>#VALUE!</v>
      </c>
      <c r="K14" s="8" t="e">
        <f t="shared" si="4"/>
        <v>#VALUE!</v>
      </c>
      <c r="L14" s="8">
        <f t="shared" si="4"/>
        <v>-30.545000000000002</v>
      </c>
      <c r="M14" s="8">
        <f t="shared" si="4"/>
        <v>-51.060999999999993</v>
      </c>
      <c r="N14" s="8">
        <f t="shared" si="4"/>
        <v>-101.73400000000001</v>
      </c>
      <c r="O14" s="8">
        <f t="shared" si="4"/>
        <v>-163.922</v>
      </c>
      <c r="P14" s="8">
        <f t="shared" si="4"/>
        <v>-244.57300000000004</v>
      </c>
      <c r="Q14" s="8">
        <f t="shared" si="4"/>
        <v>-350.38800000000003</v>
      </c>
      <c r="R14" s="8">
        <f t="shared" si="4"/>
        <v>-451.11200000000002</v>
      </c>
      <c r="S14" s="8">
        <f t="shared" si="4"/>
        <v>-767.56200000000001</v>
      </c>
      <c r="T14" s="8">
        <f t="shared" si="4"/>
        <v>-1128.5930000000001</v>
      </c>
      <c r="U14" s="8">
        <f t="shared" si="4"/>
        <v>-1299.6239999999998</v>
      </c>
      <c r="V14" s="23">
        <f t="shared" si="4"/>
        <v>-1458.162</v>
      </c>
      <c r="W14" s="24">
        <f t="shared" ref="W14:AB14" ca="1" si="5">W$15-(W$7+W$13)</f>
        <v>-2885.1367682454943</v>
      </c>
      <c r="X14" s="8">
        <f t="shared" ca="1" si="5"/>
        <v>-3476.95685103204</v>
      </c>
      <c r="Y14" s="8">
        <f t="shared" ca="1" si="5"/>
        <v>-4036.9487540997907</v>
      </c>
      <c r="Z14" s="8">
        <f t="shared" ca="1" si="5"/>
        <v>-4509.513715691528</v>
      </c>
      <c r="AA14" s="8">
        <f t="shared" ca="1" si="5"/>
        <v>-5040.0254806742732</v>
      </c>
      <c r="AB14" s="8">
        <f t="shared" ca="1" si="5"/>
        <v>-5637.6624094549488</v>
      </c>
    </row>
    <row r="15" spans="1:28" ht="15.5" thickTop="1" thickBot="1" x14ac:dyDescent="0.4">
      <c r="A15" s="58" t="str">
        <f>_xlfn.XLOOKUP($B15,'Line item mapping'!$B:$B,'Line item mapping'!$A:$A)</f>
        <v>ff_ebit_oper</v>
      </c>
      <c r="B15" s="6" t="s">
        <v>92</v>
      </c>
      <c r="C15" s="9" t="e" cm="1">
        <f t="array" ref="C15:V15">GET_FINANCIALS_LINE_ITEM(A15)</f>
        <v>#VALUE!</v>
      </c>
      <c r="D15" s="9" t="e">
        <v>#VALUE!</v>
      </c>
      <c r="E15" s="9" t="e">
        <v>#VALUE!</v>
      </c>
      <c r="F15" s="9" t="e">
        <v>#VALUE!</v>
      </c>
      <c r="G15" s="9" t="e">
        <v>#VALUE!</v>
      </c>
      <c r="H15" s="9" t="e">
        <v>#VALUE!</v>
      </c>
      <c r="I15" s="9" t="e">
        <v>#VALUE!</v>
      </c>
      <c r="J15" s="9" t="e">
        <v>#VALUE!</v>
      </c>
      <c r="K15" s="9" t="e">
        <v>#VALUE!</v>
      </c>
      <c r="L15" s="9">
        <v>0.76400000000000001</v>
      </c>
      <c r="M15" s="9">
        <v>38.457999999999998</v>
      </c>
      <c r="N15" s="9">
        <v>57.518000000000001</v>
      </c>
      <c r="O15" s="9">
        <v>70.855999999999995</v>
      </c>
      <c r="P15" s="9">
        <v>107.32299999999999</v>
      </c>
      <c r="Q15" s="9">
        <v>112.196</v>
      </c>
      <c r="R15" s="9">
        <v>144.208</v>
      </c>
      <c r="S15" s="9">
        <v>124.81699999999999</v>
      </c>
      <c r="T15" s="9">
        <v>113.654</v>
      </c>
      <c r="U15" s="9">
        <v>200.48</v>
      </c>
      <c r="V15" s="25">
        <v>427.16699999999997</v>
      </c>
      <c r="W15" s="117">
        <f t="shared" ref="W15:AB15" si="6">W$7*W$46</f>
        <v>209.22476570665458</v>
      </c>
      <c r="X15" s="9">
        <f t="shared" si="6"/>
        <v>252.61658291648573</v>
      </c>
      <c r="Y15" s="9">
        <f t="shared" si="6"/>
        <v>293.96907284892404</v>
      </c>
      <c r="Z15" s="9">
        <f t="shared" si="6"/>
        <v>329.24536159079497</v>
      </c>
      <c r="AA15" s="9">
        <f t="shared" si="6"/>
        <v>368.75480498169037</v>
      </c>
      <c r="AB15" s="9">
        <f t="shared" si="6"/>
        <v>413.00538157949325</v>
      </c>
    </row>
    <row r="16" spans="1:28" ht="15" thickTop="1" x14ac:dyDescent="0.35">
      <c r="C16" s="8"/>
      <c r="D16" s="8"/>
      <c r="E16" s="8"/>
      <c r="F16" s="8"/>
      <c r="G16" s="8"/>
      <c r="H16" s="8"/>
      <c r="I16" s="8"/>
      <c r="J16" s="8"/>
      <c r="K16" s="8"/>
      <c r="L16" s="8"/>
      <c r="M16" s="8"/>
      <c r="N16" s="8"/>
      <c r="O16" s="8"/>
      <c r="P16" s="8"/>
      <c r="Q16" s="8"/>
      <c r="R16" s="8"/>
      <c r="S16" s="8"/>
      <c r="T16" s="8"/>
      <c r="U16" s="8"/>
      <c r="V16" s="23"/>
      <c r="W16" s="24"/>
      <c r="X16" s="8"/>
      <c r="Y16" s="8"/>
      <c r="Z16" s="8"/>
      <c r="AA16" s="8"/>
      <c r="AB16" s="8"/>
    </row>
    <row r="17" spans="1:28" x14ac:dyDescent="0.35">
      <c r="A17" s="58" t="str">
        <f>_xlfn.XLOOKUP($B17,'Line item mapping'!$B:$B,'Line item mapping'!$A:$A)</f>
        <v>ff_int_inc_non_oper</v>
      </c>
      <c r="B17" t="s">
        <v>54</v>
      </c>
      <c r="C17" s="8" t="e" cm="1">
        <f t="array" ref="C17:V17">GET_FINANCIALS_LINE_ITEM(A17)</f>
        <v>#VALUE!</v>
      </c>
      <c r="D17" s="8" t="e">
        <v>#VALUE!</v>
      </c>
      <c r="E17" s="8" t="e">
        <v>#VALUE!</v>
      </c>
      <c r="F17" s="8" t="e">
        <v>#VALUE!</v>
      </c>
      <c r="G17" s="8" t="e">
        <v>#VALUE!</v>
      </c>
      <c r="H17" s="8" t="e">
        <v>#VALUE!</v>
      </c>
      <c r="I17" s="8" t="e">
        <v>#VALUE!</v>
      </c>
      <c r="J17" s="8" t="e">
        <v>#VALUE!</v>
      </c>
      <c r="K17" s="8" t="e">
        <v>#VALUE!</v>
      </c>
      <c r="L17" s="8">
        <v>0</v>
      </c>
      <c r="M17" s="8">
        <v>0</v>
      </c>
      <c r="N17" s="8">
        <v>0</v>
      </c>
      <c r="O17" s="8">
        <v>0</v>
      </c>
      <c r="P17" s="8">
        <v>1.883</v>
      </c>
      <c r="Q17" s="8">
        <v>4.7190000000000003</v>
      </c>
      <c r="R17" s="8">
        <v>0.65600000000000003</v>
      </c>
      <c r="S17" s="8">
        <v>0</v>
      </c>
      <c r="T17" s="8">
        <v>12.755000000000001</v>
      </c>
      <c r="U17" s="8">
        <v>68.507999999999996</v>
      </c>
      <c r="V17" s="23">
        <v>78.841999999999999</v>
      </c>
      <c r="W17" s="24">
        <f>W$66*W$76</f>
        <v>95.636240026596269</v>
      </c>
      <c r="X17" s="8">
        <f t="shared" ref="X17:AB17" ca="1" si="7">X$66*X$76</f>
        <v>82.396215701604206</v>
      </c>
      <c r="Y17" s="8">
        <f t="shared" ca="1" si="7"/>
        <v>80.053322649944263</v>
      </c>
      <c r="Z17" s="8">
        <f t="shared" ca="1" si="7"/>
        <v>78.950876218834352</v>
      </c>
      <c r="AA17" s="8">
        <f t="shared" ca="1" si="7"/>
        <v>80.312712641730513</v>
      </c>
      <c r="AB17" s="8">
        <f t="shared" ca="1" si="7"/>
        <v>82.045436790682814</v>
      </c>
    </row>
    <row r="18" spans="1:28" x14ac:dyDescent="0.35">
      <c r="A18" s="58" t="str">
        <f>_xlfn.XLOOKUP($B18,'Line item mapping'!$B:$B,'Line item mapping'!$A:$A)</f>
        <v>ff_int_exp_net</v>
      </c>
      <c r="B18" t="s">
        <v>93</v>
      </c>
      <c r="C18" s="8" t="e" cm="1">
        <f t="array" ref="C18:V18">-GET_FINANCIALS_LINE_ITEM(A18)</f>
        <v>#VALUE!</v>
      </c>
      <c r="D18" s="8" t="e">
        <v>#VALUE!</v>
      </c>
      <c r="E18" s="8" t="e">
        <v>#VALUE!</v>
      </c>
      <c r="F18" s="8" t="e">
        <v>#VALUE!</v>
      </c>
      <c r="G18" s="8" t="e">
        <v>#VALUE!</v>
      </c>
      <c r="H18" s="8" t="e">
        <v>#VALUE!</v>
      </c>
      <c r="I18" s="8" t="e">
        <v>#VALUE!</v>
      </c>
      <c r="J18" s="8" t="e">
        <v>#VALUE!</v>
      </c>
      <c r="K18" s="8" t="e">
        <v>#VALUE!</v>
      </c>
      <c r="L18" s="8">
        <v>-0.84299999999999997</v>
      </c>
      <c r="M18" s="8">
        <v>-1.141</v>
      </c>
      <c r="N18" s="8">
        <v>-3.0750000000000002</v>
      </c>
      <c r="O18" s="8">
        <v>-1.7909999999999999</v>
      </c>
      <c r="P18" s="8">
        <v>-1.55</v>
      </c>
      <c r="Q18" s="8">
        <v>0</v>
      </c>
      <c r="R18" s="8">
        <v>0</v>
      </c>
      <c r="S18" s="8">
        <v>-1.03</v>
      </c>
      <c r="T18" s="8">
        <v>0</v>
      </c>
      <c r="U18" s="8">
        <v>0</v>
      </c>
      <c r="V18" s="23">
        <v>0</v>
      </c>
      <c r="W18" s="24">
        <f>-W$70*W$77</f>
        <v>0</v>
      </c>
      <c r="X18" s="8">
        <f t="shared" ref="X18:AB18" si="8">-X$70*X$77</f>
        <v>0</v>
      </c>
      <c r="Y18" s="8">
        <f t="shared" si="8"/>
        <v>0</v>
      </c>
      <c r="Z18" s="8">
        <f t="shared" si="8"/>
        <v>0</v>
      </c>
      <c r="AA18" s="8">
        <f t="shared" si="8"/>
        <v>0</v>
      </c>
      <c r="AB18" s="8">
        <f t="shared" si="8"/>
        <v>0</v>
      </c>
    </row>
    <row r="19" spans="1:28" x14ac:dyDescent="0.35">
      <c r="B19" t="s">
        <v>94</v>
      </c>
      <c r="C19" s="8" t="e">
        <f t="shared" ref="C19:V19" si="9">C20-C15-C17-C18</f>
        <v>#VALUE!</v>
      </c>
      <c r="D19" s="8" t="e">
        <f t="shared" si="9"/>
        <v>#VALUE!</v>
      </c>
      <c r="E19" s="8" t="e">
        <f t="shared" si="9"/>
        <v>#VALUE!</v>
      </c>
      <c r="F19" s="8" t="e">
        <f t="shared" si="9"/>
        <v>#VALUE!</v>
      </c>
      <c r="G19" s="8" t="e">
        <f t="shared" si="9"/>
        <v>#VALUE!</v>
      </c>
      <c r="H19" s="8" t="e">
        <f t="shared" si="9"/>
        <v>#VALUE!</v>
      </c>
      <c r="I19" s="8" t="e">
        <f t="shared" si="9"/>
        <v>#VALUE!</v>
      </c>
      <c r="J19" s="8" t="e">
        <f t="shared" si="9"/>
        <v>#VALUE!</v>
      </c>
      <c r="K19" s="8" t="e">
        <f t="shared" si="9"/>
        <v>#VALUE!</v>
      </c>
      <c r="L19" s="8">
        <f t="shared" si="9"/>
        <v>-0.86399999999999988</v>
      </c>
      <c r="M19" s="8">
        <f t="shared" si="9"/>
        <v>-6.984</v>
      </c>
      <c r="N19" s="8">
        <f t="shared" si="9"/>
        <v>-10.608999999999998</v>
      </c>
      <c r="O19" s="8">
        <f t="shared" si="9"/>
        <v>-5.4399999999999942</v>
      </c>
      <c r="P19" s="8">
        <f t="shared" si="9"/>
        <v>-1.9189999999999985</v>
      </c>
      <c r="Q19" s="8">
        <f t="shared" si="9"/>
        <v>-0.6949999999999994</v>
      </c>
      <c r="R19" s="8">
        <f t="shared" si="9"/>
        <v>-0.96100000000000685</v>
      </c>
      <c r="S19" s="8">
        <f t="shared" si="9"/>
        <v>-1.7509999999999917</v>
      </c>
      <c r="T19" s="8">
        <f t="shared" si="9"/>
        <v>0.9610000000000074</v>
      </c>
      <c r="U19" s="8">
        <f t="shared" si="9"/>
        <v>-0.99299999999998079</v>
      </c>
      <c r="V19" s="23">
        <f t="shared" si="9"/>
        <v>1.293000000000049</v>
      </c>
      <c r="W19" s="24"/>
      <c r="X19" s="8"/>
      <c r="Y19" s="8"/>
      <c r="Z19" s="8"/>
      <c r="AA19" s="8"/>
      <c r="AB19" s="8"/>
    </row>
    <row r="20" spans="1:28" x14ac:dyDescent="0.35">
      <c r="A20" s="58" t="str">
        <f>_xlfn.XLOOKUP($B20,'Line item mapping'!$B:$B,'Line item mapping'!$A:$A)</f>
        <v>ff_ptx_inc</v>
      </c>
      <c r="B20" s="6" t="s">
        <v>55</v>
      </c>
      <c r="C20" s="9" t="e" cm="1">
        <f t="array" ref="C20:V20">GET_FINANCIALS_LINE_ITEM(A20)</f>
        <v>#VALUE!</v>
      </c>
      <c r="D20" s="9" t="e">
        <v>#VALUE!</v>
      </c>
      <c r="E20" s="9" t="e">
        <v>#VALUE!</v>
      </c>
      <c r="F20" s="9" t="e">
        <v>#VALUE!</v>
      </c>
      <c r="G20" s="9" t="e">
        <v>#VALUE!</v>
      </c>
      <c r="H20" s="9" t="e">
        <v>#VALUE!</v>
      </c>
      <c r="I20" s="9" t="e">
        <v>#VALUE!</v>
      </c>
      <c r="J20" s="9" t="e">
        <v>#VALUE!</v>
      </c>
      <c r="K20" s="9" t="e">
        <v>#VALUE!</v>
      </c>
      <c r="L20" s="9">
        <v>-0.94299999999999995</v>
      </c>
      <c r="M20" s="9">
        <v>30.332999999999998</v>
      </c>
      <c r="N20" s="9">
        <v>43.834000000000003</v>
      </c>
      <c r="O20" s="9">
        <v>63.625</v>
      </c>
      <c r="P20" s="9">
        <v>105.73699999999999</v>
      </c>
      <c r="Q20" s="9">
        <v>116.22</v>
      </c>
      <c r="R20" s="9">
        <v>143.90299999999999</v>
      </c>
      <c r="S20" s="9">
        <v>122.036</v>
      </c>
      <c r="T20" s="9">
        <v>127.37</v>
      </c>
      <c r="U20" s="9">
        <v>267.995</v>
      </c>
      <c r="V20" s="25">
        <v>507.30200000000002</v>
      </c>
      <c r="W20" s="26">
        <f t="shared" ref="W20:AB20" si="10">SUM(W$15,W$17:W$19)</f>
        <v>304.86100573325086</v>
      </c>
      <c r="X20" s="9">
        <f t="shared" ca="1" si="10"/>
        <v>335.01279861808996</v>
      </c>
      <c r="Y20" s="9">
        <f t="shared" ca="1" si="10"/>
        <v>374.02239549886832</v>
      </c>
      <c r="Z20" s="9">
        <f t="shared" ca="1" si="10"/>
        <v>408.19623780962934</v>
      </c>
      <c r="AA20" s="9">
        <f t="shared" ca="1" si="10"/>
        <v>449.06751762342088</v>
      </c>
      <c r="AB20" s="9">
        <f t="shared" ca="1" si="10"/>
        <v>495.05081837017605</v>
      </c>
    </row>
    <row r="21" spans="1:28" x14ac:dyDescent="0.35">
      <c r="C21" s="8"/>
      <c r="D21" s="8"/>
      <c r="E21" s="8"/>
      <c r="F21" s="8"/>
      <c r="G21" s="8"/>
      <c r="H21" s="8"/>
      <c r="I21" s="8"/>
      <c r="J21" s="8"/>
      <c r="K21" s="8"/>
      <c r="L21" s="8"/>
      <c r="M21" s="8"/>
      <c r="N21" s="8"/>
      <c r="O21" s="8"/>
      <c r="P21" s="8"/>
      <c r="Q21" s="8"/>
      <c r="R21" s="8"/>
      <c r="S21" s="8"/>
      <c r="T21" s="8"/>
      <c r="U21" s="8"/>
      <c r="V21" s="23"/>
      <c r="W21" s="24"/>
      <c r="X21" s="8"/>
      <c r="Y21" s="8"/>
      <c r="Z21" s="8"/>
      <c r="AA21" s="8"/>
      <c r="AB21" s="8"/>
    </row>
    <row r="22" spans="1:28" x14ac:dyDescent="0.35">
      <c r="A22" s="58" t="str">
        <f>_xlfn.XLOOKUP($B22,'Line item mapping'!$B:$B,'Line item mapping'!$A:$A)</f>
        <v>ff_inc_tax</v>
      </c>
      <c r="B22" t="s">
        <v>56</v>
      </c>
      <c r="C22" s="8" t="e" cm="1">
        <f t="array" ref="C22:V22">-GET_FINANCIALS_LINE_ITEM(A22)</f>
        <v>#VALUE!</v>
      </c>
      <c r="D22" s="8" t="e">
        <v>#VALUE!</v>
      </c>
      <c r="E22" s="8" t="e">
        <v>#VALUE!</v>
      </c>
      <c r="F22" s="8" t="e">
        <v>#VALUE!</v>
      </c>
      <c r="G22" s="8" t="e">
        <v>#VALUE!</v>
      </c>
      <c r="H22" s="8" t="e">
        <v>#VALUE!</v>
      </c>
      <c r="I22" s="8" t="e">
        <v>#VALUE!</v>
      </c>
      <c r="J22" s="8" t="e">
        <v>#VALUE!</v>
      </c>
      <c r="K22" s="8" t="e">
        <v>#VALUE!</v>
      </c>
      <c r="L22" s="8">
        <v>0.94799999999999995</v>
      </c>
      <c r="M22" s="8">
        <v>-14.116</v>
      </c>
      <c r="N22" s="8">
        <v>-23.352</v>
      </c>
      <c r="O22" s="8">
        <v>-12.827</v>
      </c>
      <c r="P22" s="8">
        <v>-17.597000000000001</v>
      </c>
      <c r="Q22" s="8">
        <v>-7.9020000000000001</v>
      </c>
      <c r="R22" s="8">
        <v>98.414000000000001</v>
      </c>
      <c r="S22" s="8">
        <v>15.726000000000001</v>
      </c>
      <c r="T22" s="8">
        <v>-73.984999999999999</v>
      </c>
      <c r="U22" s="8">
        <v>-89.055000000000007</v>
      </c>
      <c r="V22" s="23">
        <v>-114.226</v>
      </c>
      <c r="W22" s="24">
        <f t="shared" ref="W22:AB22" si="11">-W$20*W$50</f>
        <v>-68.643634838589861</v>
      </c>
      <c r="X22" s="8">
        <f t="shared" ca="1" si="11"/>
        <v>-75.432724363298277</v>
      </c>
      <c r="Y22" s="8">
        <f t="shared" ca="1" si="11"/>
        <v>-84.216269891019024</v>
      </c>
      <c r="Z22" s="8">
        <f t="shared" ca="1" si="11"/>
        <v>-91.910978983017458</v>
      </c>
      <c r="AA22" s="8">
        <f t="shared" ca="1" si="11"/>
        <v>-101.11370794527298</v>
      </c>
      <c r="AB22" s="8">
        <f t="shared" ca="1" si="11"/>
        <v>-111.46747850225651</v>
      </c>
    </row>
    <row r="23" spans="1:28" x14ac:dyDescent="0.35">
      <c r="A23" s="58" t="str">
        <f>_xlfn.XLOOKUP($B23,'Line item mapping'!$B:$B,'Line item mapping'!$A:$A)</f>
        <v>ff_eq_aff_inc</v>
      </c>
      <c r="B23" t="s">
        <v>58</v>
      </c>
      <c r="C23" s="8" t="e" cm="1">
        <f t="array" ref="C23:V23">GET_FINANCIALS_LINE_ITEM(A23)</f>
        <v>#VALUE!</v>
      </c>
      <c r="D23" s="8" t="e">
        <v>#VALUE!</v>
      </c>
      <c r="E23" s="8" t="e">
        <v>#VALUE!</v>
      </c>
      <c r="F23" s="8" t="e">
        <v>#VALUE!</v>
      </c>
      <c r="G23" s="8" t="e">
        <v>#VALUE!</v>
      </c>
      <c r="H23" s="8" t="e">
        <v>#VALUE!</v>
      </c>
      <c r="I23" s="8" t="e">
        <v>#VALUE!</v>
      </c>
      <c r="J23" s="8" t="e">
        <v>#VALUE!</v>
      </c>
      <c r="K23" s="8" t="e">
        <v>#VALUE!</v>
      </c>
      <c r="L23" s="8">
        <v>0</v>
      </c>
      <c r="M23" s="8">
        <v>0</v>
      </c>
      <c r="N23" s="8">
        <v>0</v>
      </c>
      <c r="O23" s="8">
        <v>0</v>
      </c>
      <c r="P23" s="8">
        <v>0</v>
      </c>
      <c r="Q23" s="8">
        <v>0</v>
      </c>
      <c r="R23" s="8">
        <v>0</v>
      </c>
      <c r="S23" s="8">
        <v>0</v>
      </c>
      <c r="T23" s="8">
        <v>0</v>
      </c>
      <c r="U23" s="8">
        <v>0</v>
      </c>
      <c r="V23" s="23">
        <v>0</v>
      </c>
      <c r="W23" s="24">
        <f t="shared" ref="W23:AB23" si="12">V23</f>
        <v>0</v>
      </c>
      <c r="X23" s="8">
        <f t="shared" si="12"/>
        <v>0</v>
      </c>
      <c r="Y23" s="8">
        <f t="shared" si="12"/>
        <v>0</v>
      </c>
      <c r="Z23" s="8">
        <f t="shared" si="12"/>
        <v>0</v>
      </c>
      <c r="AA23" s="8">
        <f t="shared" si="12"/>
        <v>0</v>
      </c>
      <c r="AB23" s="8">
        <f t="shared" si="12"/>
        <v>0</v>
      </c>
    </row>
    <row r="24" spans="1:28" x14ac:dyDescent="0.35">
      <c r="B24" s="6" t="s">
        <v>95</v>
      </c>
      <c r="C24" s="9" t="e">
        <f t="shared" ref="C24:V24" si="13">C23+C20+C22</f>
        <v>#VALUE!</v>
      </c>
      <c r="D24" s="9" t="e">
        <f t="shared" si="13"/>
        <v>#VALUE!</v>
      </c>
      <c r="E24" s="9" t="e">
        <f t="shared" si="13"/>
        <v>#VALUE!</v>
      </c>
      <c r="F24" s="9" t="e">
        <f t="shared" si="13"/>
        <v>#VALUE!</v>
      </c>
      <c r="G24" s="9" t="e">
        <f t="shared" si="13"/>
        <v>#VALUE!</v>
      </c>
      <c r="H24" s="9" t="e">
        <f t="shared" si="13"/>
        <v>#VALUE!</v>
      </c>
      <c r="I24" s="9" t="e">
        <f t="shared" si="13"/>
        <v>#VALUE!</v>
      </c>
      <c r="J24" s="9" t="e">
        <f t="shared" si="13"/>
        <v>#VALUE!</v>
      </c>
      <c r="K24" s="9" t="e">
        <f t="shared" si="13"/>
        <v>#VALUE!</v>
      </c>
      <c r="L24" s="9">
        <f t="shared" si="13"/>
        <v>5.0000000000000044E-3</v>
      </c>
      <c r="M24" s="9">
        <f t="shared" si="13"/>
        <v>16.216999999999999</v>
      </c>
      <c r="N24" s="9">
        <f t="shared" si="13"/>
        <v>20.482000000000003</v>
      </c>
      <c r="O24" s="9">
        <f t="shared" si="13"/>
        <v>50.798000000000002</v>
      </c>
      <c r="P24" s="9">
        <f t="shared" si="13"/>
        <v>88.139999999999986</v>
      </c>
      <c r="Q24" s="9">
        <f t="shared" si="13"/>
        <v>108.318</v>
      </c>
      <c r="R24" s="9">
        <f t="shared" si="13"/>
        <v>242.31700000000001</v>
      </c>
      <c r="S24" s="9">
        <f t="shared" si="13"/>
        <v>137.762</v>
      </c>
      <c r="T24" s="9">
        <f t="shared" si="13"/>
        <v>53.385000000000005</v>
      </c>
      <c r="U24" s="9">
        <f t="shared" si="13"/>
        <v>178.94</v>
      </c>
      <c r="V24" s="25">
        <f t="shared" si="13"/>
        <v>393.07600000000002</v>
      </c>
      <c r="W24" s="26">
        <f t="shared" ref="W24:AB24" si="14">SUM(W$20,W$22:W$23)</f>
        <v>236.217370894661</v>
      </c>
      <c r="X24" s="9">
        <f t="shared" ca="1" si="14"/>
        <v>259.58007425479167</v>
      </c>
      <c r="Y24" s="9">
        <f t="shared" ca="1" si="14"/>
        <v>289.80612560784931</v>
      </c>
      <c r="Z24" s="9">
        <f t="shared" ca="1" si="14"/>
        <v>316.28525882661188</v>
      </c>
      <c r="AA24" s="9">
        <f t="shared" ca="1" si="14"/>
        <v>347.95380967814788</v>
      </c>
      <c r="AB24" s="9">
        <f t="shared" ca="1" si="14"/>
        <v>383.58333986791956</v>
      </c>
    </row>
    <row r="25" spans="1:28" x14ac:dyDescent="0.35">
      <c r="C25" s="8"/>
      <c r="D25" s="8"/>
      <c r="E25" s="8"/>
      <c r="F25" s="8"/>
      <c r="G25" s="8"/>
      <c r="H25" s="8"/>
      <c r="I25" s="8"/>
      <c r="J25" s="8"/>
      <c r="K25" s="8"/>
      <c r="L25" s="8"/>
      <c r="M25" s="8"/>
      <c r="N25" s="8"/>
      <c r="O25" s="8"/>
      <c r="P25" s="8"/>
      <c r="Q25" s="8"/>
      <c r="R25" s="8"/>
      <c r="S25" s="8"/>
      <c r="T25" s="8"/>
      <c r="U25" s="8"/>
      <c r="V25" s="23"/>
      <c r="W25" s="24"/>
      <c r="X25" s="8"/>
      <c r="Y25" s="8"/>
      <c r="Z25" s="8"/>
      <c r="AA25" s="8"/>
      <c r="AB25" s="8"/>
    </row>
    <row r="26" spans="1:28" x14ac:dyDescent="0.35">
      <c r="A26" s="58" t="str">
        <f>_xlfn.XLOOKUP($B26,'Line item mapping'!$B:$B,'Line item mapping'!$A:$A)</f>
        <v>ff_min_int_exp</v>
      </c>
      <c r="B26" t="s">
        <v>57</v>
      </c>
      <c r="C26" s="8" t="e" cm="1">
        <f t="array" ref="C26:V26">-GET_FINANCIALS_LINE_ITEM(A26)</f>
        <v>#VALUE!</v>
      </c>
      <c r="D26" s="8" t="e">
        <v>#VALUE!</v>
      </c>
      <c r="E26" s="8" t="e">
        <v>#VALUE!</v>
      </c>
      <c r="F26" s="8" t="e">
        <v>#VALUE!</v>
      </c>
      <c r="G26" s="8" t="e">
        <v>#VALUE!</v>
      </c>
      <c r="H26" s="8" t="e">
        <v>#VALUE!</v>
      </c>
      <c r="I26" s="8" t="e">
        <v>#VALUE!</v>
      </c>
      <c r="J26" s="8" t="e">
        <v>#VALUE!</v>
      </c>
      <c r="K26" s="8" t="e">
        <v>#VALUE!</v>
      </c>
      <c r="L26" s="8">
        <v>0</v>
      </c>
      <c r="M26" s="8">
        <v>0</v>
      </c>
      <c r="N26" s="8">
        <v>0</v>
      </c>
      <c r="O26" s="8">
        <v>0</v>
      </c>
      <c r="P26" s="8">
        <v>0</v>
      </c>
      <c r="Q26" s="8">
        <v>0</v>
      </c>
      <c r="R26" s="8">
        <v>0</v>
      </c>
      <c r="S26" s="8">
        <v>0</v>
      </c>
      <c r="T26" s="8">
        <v>0</v>
      </c>
      <c r="U26" s="8">
        <v>0</v>
      </c>
      <c r="V26" s="23">
        <v>0</v>
      </c>
      <c r="W26" s="24">
        <f t="shared" ref="W26:AB26" si="15">-W$24*W$54</f>
        <v>0</v>
      </c>
      <c r="X26" s="8">
        <f t="shared" ca="1" si="15"/>
        <v>0</v>
      </c>
      <c r="Y26" s="8">
        <f t="shared" ca="1" si="15"/>
        <v>0</v>
      </c>
      <c r="Z26" s="8">
        <f t="shared" ca="1" si="15"/>
        <v>0</v>
      </c>
      <c r="AA26" s="8">
        <f t="shared" ca="1" si="15"/>
        <v>0</v>
      </c>
      <c r="AB26" s="8">
        <f t="shared" ca="1" si="15"/>
        <v>0</v>
      </c>
    </row>
    <row r="27" spans="1:28" x14ac:dyDescent="0.35">
      <c r="A27" s="58" t="str">
        <f>_xlfn.XLOOKUP($B27,'Line item mapping'!$B:$B,'Line item mapping'!$A:$A)</f>
        <v>ff_div_pfd</v>
      </c>
      <c r="B27" t="s">
        <v>59</v>
      </c>
      <c r="C27" s="8" t="e" cm="1">
        <f t="array" ref="C27:V27">-GET_FINANCIALS_LINE_ITEM(A27)</f>
        <v>#VALUE!</v>
      </c>
      <c r="D27" s="8" t="e">
        <v>#VALUE!</v>
      </c>
      <c r="E27" s="8" t="e">
        <v>#VALUE!</v>
      </c>
      <c r="F27" s="8" t="e">
        <v>#VALUE!</v>
      </c>
      <c r="G27" s="8" t="e">
        <v>#VALUE!</v>
      </c>
      <c r="H27" s="8" t="e">
        <v>#VALUE!</v>
      </c>
      <c r="I27" s="8" t="e">
        <v>#VALUE!</v>
      </c>
      <c r="J27" s="8" t="e">
        <v>#VALUE!</v>
      </c>
      <c r="K27" s="8" t="e">
        <v>#VALUE!</v>
      </c>
      <c r="L27" s="8">
        <v>-5.0000000000000001E-3</v>
      </c>
      <c r="M27" s="8">
        <v>-7.3529999999999998</v>
      </c>
      <c r="N27" s="8">
        <v>-47.209000000000003</v>
      </c>
      <c r="O27" s="8">
        <v>0</v>
      </c>
      <c r="P27" s="8">
        <v>0</v>
      </c>
      <c r="Q27" s="8">
        <v>0</v>
      </c>
      <c r="R27" s="8">
        <v>0</v>
      </c>
      <c r="S27" s="8">
        <v>0</v>
      </c>
      <c r="T27" s="8">
        <v>0</v>
      </c>
      <c r="U27" s="8">
        <v>0</v>
      </c>
      <c r="V27" s="23">
        <v>0</v>
      </c>
      <c r="W27" s="24">
        <f>V$27</f>
        <v>0</v>
      </c>
      <c r="X27" s="8">
        <f t="shared" ref="X27:AB27" si="16">W$27</f>
        <v>0</v>
      </c>
      <c r="Y27" s="8">
        <f t="shared" si="16"/>
        <v>0</v>
      </c>
      <c r="Z27" s="8">
        <f t="shared" si="16"/>
        <v>0</v>
      </c>
      <c r="AA27" s="8">
        <f t="shared" si="16"/>
        <v>0</v>
      </c>
      <c r="AB27" s="8">
        <f t="shared" si="16"/>
        <v>0</v>
      </c>
    </row>
    <row r="28" spans="1:28" ht="15" thickBot="1" x14ac:dyDescent="0.4">
      <c r="B28" s="10" t="s">
        <v>96</v>
      </c>
      <c r="C28" s="11" t="e">
        <f t="shared" ref="C28:V28" si="17">C$24+C$26+C$27</f>
        <v>#VALUE!</v>
      </c>
      <c r="D28" s="11" t="e">
        <f t="shared" si="17"/>
        <v>#VALUE!</v>
      </c>
      <c r="E28" s="11" t="e">
        <f t="shared" si="17"/>
        <v>#VALUE!</v>
      </c>
      <c r="F28" s="11" t="e">
        <f t="shared" si="17"/>
        <v>#VALUE!</v>
      </c>
      <c r="G28" s="11" t="e">
        <f t="shared" si="17"/>
        <v>#VALUE!</v>
      </c>
      <c r="H28" s="11" t="e">
        <f t="shared" si="17"/>
        <v>#VALUE!</v>
      </c>
      <c r="I28" s="11" t="e">
        <f t="shared" si="17"/>
        <v>#VALUE!</v>
      </c>
      <c r="J28" s="11" t="e">
        <f t="shared" si="17"/>
        <v>#VALUE!</v>
      </c>
      <c r="K28" s="11" t="e">
        <f t="shared" si="17"/>
        <v>#VALUE!</v>
      </c>
      <c r="L28" s="11">
        <f t="shared" si="17"/>
        <v>0</v>
      </c>
      <c r="M28" s="11">
        <f t="shared" si="17"/>
        <v>8.863999999999999</v>
      </c>
      <c r="N28" s="11">
        <f t="shared" si="17"/>
        <v>-26.727</v>
      </c>
      <c r="O28" s="11">
        <f t="shared" si="17"/>
        <v>50.798000000000002</v>
      </c>
      <c r="P28" s="11">
        <f t="shared" si="17"/>
        <v>88.139999999999986</v>
      </c>
      <c r="Q28" s="11">
        <f t="shared" si="17"/>
        <v>108.318</v>
      </c>
      <c r="R28" s="11">
        <f t="shared" si="17"/>
        <v>242.31700000000001</v>
      </c>
      <c r="S28" s="11">
        <f t="shared" si="17"/>
        <v>137.762</v>
      </c>
      <c r="T28" s="11">
        <f t="shared" si="17"/>
        <v>53.385000000000005</v>
      </c>
      <c r="U28" s="11">
        <f t="shared" si="17"/>
        <v>178.94</v>
      </c>
      <c r="V28" s="27">
        <f t="shared" si="17"/>
        <v>393.07600000000002</v>
      </c>
      <c r="W28" s="28">
        <f t="shared" ref="W28:AB28" si="18">SUM(W$24,W$26:W$27)</f>
        <v>236.217370894661</v>
      </c>
      <c r="X28" s="11">
        <f t="shared" ca="1" si="18"/>
        <v>259.58007425479167</v>
      </c>
      <c r="Y28" s="11">
        <f t="shared" ca="1" si="18"/>
        <v>289.80612560784931</v>
      </c>
      <c r="Z28" s="11">
        <f t="shared" ca="1" si="18"/>
        <v>316.28525882661188</v>
      </c>
      <c r="AA28" s="11">
        <f t="shared" ca="1" si="18"/>
        <v>347.95380967814788</v>
      </c>
      <c r="AB28" s="11">
        <f t="shared" ca="1" si="18"/>
        <v>383.58333986791956</v>
      </c>
    </row>
    <row r="29" spans="1:28" ht="15" thickTop="1" x14ac:dyDescent="0.35">
      <c r="B29" s="7"/>
      <c r="C29" s="8"/>
      <c r="D29" s="8"/>
      <c r="E29" s="8"/>
      <c r="F29" s="8"/>
      <c r="G29" s="8"/>
      <c r="H29" s="8"/>
      <c r="I29" s="8"/>
      <c r="J29" s="8"/>
      <c r="K29" s="8"/>
      <c r="L29" s="8"/>
      <c r="M29" s="8"/>
      <c r="N29" s="8"/>
      <c r="O29" s="8"/>
      <c r="P29" s="8"/>
      <c r="Q29" s="8"/>
      <c r="R29" s="8"/>
      <c r="S29" s="8"/>
      <c r="T29" s="8"/>
      <c r="U29" s="8"/>
      <c r="V29" s="23"/>
      <c r="W29" s="24"/>
      <c r="X29" s="8"/>
      <c r="Y29" s="8"/>
      <c r="Z29" s="8"/>
      <c r="AA29" s="8"/>
      <c r="AB29" s="8"/>
    </row>
    <row r="30" spans="1:28" x14ac:dyDescent="0.35">
      <c r="B30" s="101"/>
      <c r="C30" s="101"/>
      <c r="D30" s="101"/>
      <c r="E30" s="101"/>
      <c r="F30" s="101"/>
      <c r="G30" s="101"/>
      <c r="H30" s="101"/>
      <c r="I30" s="101"/>
      <c r="J30" s="101"/>
      <c r="K30" s="101"/>
      <c r="L30" s="101"/>
      <c r="M30" s="101"/>
      <c r="N30" s="101"/>
      <c r="O30" s="101"/>
      <c r="P30" s="101"/>
      <c r="Q30" s="101"/>
      <c r="R30" s="101"/>
      <c r="S30" s="101"/>
      <c r="T30" s="101"/>
      <c r="U30" s="101"/>
      <c r="V30" s="102"/>
      <c r="W30" s="103"/>
      <c r="X30" s="101"/>
      <c r="Y30" s="101"/>
      <c r="Z30" s="101"/>
      <c r="AA30" s="101"/>
      <c r="AB30" s="101"/>
    </row>
    <row r="31" spans="1:28" x14ac:dyDescent="0.35">
      <c r="V31" s="17"/>
      <c r="W31" s="18"/>
    </row>
    <row r="32" spans="1:28" x14ac:dyDescent="0.35">
      <c r="A32" s="58" t="str">
        <f>_xlfn.XLOOKUP($B32,'Line item mapping'!$B:$B,'Line item mapping'!$A:$A)</f>
        <v>ff_div_com_cf</v>
      </c>
      <c r="B32" t="s">
        <v>101</v>
      </c>
      <c r="C32" s="8" t="e" cm="1">
        <f t="array" ref="C32:V32">-GET_FINANCIALS_LINE_ITEM(A32)</f>
        <v>#VALUE!</v>
      </c>
      <c r="D32" s="8" t="e">
        <v>#VALUE!</v>
      </c>
      <c r="E32" s="8" t="e">
        <v>#VALUE!</v>
      </c>
      <c r="F32" s="8" t="e">
        <v>#VALUE!</v>
      </c>
      <c r="G32" s="8" t="e">
        <v>#VALUE!</v>
      </c>
      <c r="H32" s="8" t="e">
        <v>#VALUE!</v>
      </c>
      <c r="I32" s="8" t="e">
        <v>#VALUE!</v>
      </c>
      <c r="J32" s="8" t="e">
        <v>#VALUE!</v>
      </c>
      <c r="K32" s="8" t="e">
        <v>#VALUE!</v>
      </c>
      <c r="L32" s="8">
        <v>0</v>
      </c>
      <c r="M32" s="8">
        <v>0</v>
      </c>
      <c r="N32" s="8">
        <v>0</v>
      </c>
      <c r="O32" s="8">
        <v>0</v>
      </c>
      <c r="P32" s="8">
        <v>0</v>
      </c>
      <c r="Q32" s="8">
        <v>0</v>
      </c>
      <c r="R32" s="8">
        <v>0</v>
      </c>
      <c r="S32" s="8">
        <v>0</v>
      </c>
      <c r="T32" s="8">
        <v>0</v>
      </c>
      <c r="U32" s="8">
        <v>0</v>
      </c>
      <c r="V32" s="23">
        <v>0</v>
      </c>
      <c r="W32" s="24">
        <f ca="1">-'Cash flow statement'!W$55*W$58</f>
        <v>0</v>
      </c>
      <c r="X32" s="8">
        <f ca="1">-'Cash flow statement'!X$55*X$58</f>
        <v>0</v>
      </c>
      <c r="Y32" s="8">
        <f ca="1">-'Cash flow statement'!Y$55*Y$58</f>
        <v>0</v>
      </c>
      <c r="Z32" s="8">
        <f ca="1">-'Cash flow statement'!Z$55*Z$58</f>
        <v>0</v>
      </c>
      <c r="AA32" s="8">
        <f ca="1">-'Cash flow statement'!AA$55*AA$58</f>
        <v>0</v>
      </c>
      <c r="AB32" s="8">
        <f ca="1">-'Cash flow statement'!AB$55*AB$58</f>
        <v>0</v>
      </c>
    </row>
    <row r="33" spans="1:30" x14ac:dyDescent="0.35">
      <c r="B33" s="6" t="s">
        <v>102</v>
      </c>
      <c r="C33" s="9" t="e">
        <f t="shared" ref="C33:V33" si="19">C28+C32</f>
        <v>#VALUE!</v>
      </c>
      <c r="D33" s="9" t="e">
        <f t="shared" si="19"/>
        <v>#VALUE!</v>
      </c>
      <c r="E33" s="9" t="e">
        <f t="shared" si="19"/>
        <v>#VALUE!</v>
      </c>
      <c r="F33" s="9" t="e">
        <f t="shared" si="19"/>
        <v>#VALUE!</v>
      </c>
      <c r="G33" s="9" t="e">
        <f t="shared" si="19"/>
        <v>#VALUE!</v>
      </c>
      <c r="H33" s="9" t="e">
        <f t="shared" si="19"/>
        <v>#VALUE!</v>
      </c>
      <c r="I33" s="9" t="e">
        <f t="shared" si="19"/>
        <v>#VALUE!</v>
      </c>
      <c r="J33" s="9" t="e">
        <f t="shared" si="19"/>
        <v>#VALUE!</v>
      </c>
      <c r="K33" s="9" t="e">
        <f t="shared" si="19"/>
        <v>#VALUE!</v>
      </c>
      <c r="L33" s="9">
        <f t="shared" si="19"/>
        <v>0</v>
      </c>
      <c r="M33" s="9">
        <f t="shared" si="19"/>
        <v>8.863999999999999</v>
      </c>
      <c r="N33" s="9">
        <f t="shared" si="19"/>
        <v>-26.727</v>
      </c>
      <c r="O33" s="9">
        <f t="shared" si="19"/>
        <v>50.798000000000002</v>
      </c>
      <c r="P33" s="9">
        <f t="shared" si="19"/>
        <v>88.139999999999986</v>
      </c>
      <c r="Q33" s="9">
        <f t="shared" si="19"/>
        <v>108.318</v>
      </c>
      <c r="R33" s="9">
        <f t="shared" si="19"/>
        <v>242.31700000000001</v>
      </c>
      <c r="S33" s="9">
        <f t="shared" si="19"/>
        <v>137.762</v>
      </c>
      <c r="T33" s="9">
        <f t="shared" si="19"/>
        <v>53.385000000000005</v>
      </c>
      <c r="U33" s="9">
        <f t="shared" si="19"/>
        <v>178.94</v>
      </c>
      <c r="V33" s="25">
        <f t="shared" si="19"/>
        <v>393.07600000000002</v>
      </c>
      <c r="W33" s="26">
        <f t="shared" ref="W33:AB33" ca="1" si="20">W$28+W$32</f>
        <v>236.217370894661</v>
      </c>
      <c r="X33" s="9">
        <f t="shared" ca="1" si="20"/>
        <v>259.58007425479167</v>
      </c>
      <c r="Y33" s="9">
        <f t="shared" ca="1" si="20"/>
        <v>289.80612560784931</v>
      </c>
      <c r="Z33" s="9">
        <f t="shared" ca="1" si="20"/>
        <v>316.28525882661188</v>
      </c>
      <c r="AA33" s="9">
        <f t="shared" ca="1" si="20"/>
        <v>347.95380967814788</v>
      </c>
      <c r="AB33" s="9">
        <f t="shared" ca="1" si="20"/>
        <v>383.58333986791956</v>
      </c>
    </row>
    <row r="34" spans="1:30" x14ac:dyDescent="0.35">
      <c r="V34" s="17"/>
      <c r="W34" s="18"/>
    </row>
    <row r="35" spans="1:30" x14ac:dyDescent="0.35">
      <c r="A35" s="58" t="str">
        <f>_xlfn.XLOOKUP($B35,'Line item mapping'!$B:$B,'Line item mapping'!$A:$A)</f>
        <v>ff_com_shs_out_eps_dil</v>
      </c>
      <c r="B35" t="s">
        <v>97</v>
      </c>
      <c r="C35" s="3" t="e" cm="1">
        <f t="array" ref="C35:V35">GET_FINANCIALS_LINE_ITEM(A35)</f>
        <v>#VALUE!</v>
      </c>
      <c r="D35" s="3" t="e">
        <v>#VALUE!</v>
      </c>
      <c r="E35" s="3" t="e">
        <v>#VALUE!</v>
      </c>
      <c r="F35" s="3" t="e">
        <v>#VALUE!</v>
      </c>
      <c r="G35" s="3" t="e">
        <v>#VALUE!</v>
      </c>
      <c r="H35" s="3" t="e">
        <v>#VALUE!</v>
      </c>
      <c r="I35" s="3" t="e">
        <v>#VALUE!</v>
      </c>
      <c r="J35" s="3" t="e">
        <v>#VALUE!</v>
      </c>
      <c r="K35" s="3" t="e">
        <v>#VALUE!</v>
      </c>
      <c r="L35" s="3">
        <v>397.87992000000003</v>
      </c>
      <c r="M35" s="3">
        <v>397.87992000000003</v>
      </c>
      <c r="N35" s="3">
        <v>182.8</v>
      </c>
      <c r="O35" s="3">
        <v>440.56</v>
      </c>
      <c r="P35" s="3">
        <v>457.93</v>
      </c>
      <c r="Q35" s="3">
        <v>478.06</v>
      </c>
      <c r="R35" s="3">
        <v>489.88</v>
      </c>
      <c r="S35" s="3">
        <v>498.54</v>
      </c>
      <c r="T35" s="3">
        <v>499.92500000000001</v>
      </c>
      <c r="U35" s="3">
        <v>500.18200000000002</v>
      </c>
      <c r="V35" s="29">
        <v>501.92399999999998</v>
      </c>
      <c r="W35" s="30">
        <f t="shared" ref="W35:AB35" si="21">V$35*(1+W$62)</f>
        <v>501.92399999999998</v>
      </c>
      <c r="X35" s="3">
        <f t="shared" si="21"/>
        <v>501.92399999999998</v>
      </c>
      <c r="Y35" s="3">
        <f t="shared" si="21"/>
        <v>501.92399999999998</v>
      </c>
      <c r="Z35" s="3">
        <f t="shared" si="21"/>
        <v>501.92399999999998</v>
      </c>
      <c r="AA35" s="3">
        <f t="shared" si="21"/>
        <v>501.92399999999998</v>
      </c>
      <c r="AB35" s="3">
        <f t="shared" si="21"/>
        <v>501.92399999999998</v>
      </c>
    </row>
    <row r="36" spans="1:30" x14ac:dyDescent="0.35">
      <c r="B36" t="s">
        <v>476</v>
      </c>
      <c r="C36" s="3"/>
      <c r="D36" s="3" t="e">
        <f t="shared" ref="D36:AB36" si="22">AVERAGE(C$35:D$35)</f>
        <v>#VALUE!</v>
      </c>
      <c r="E36" s="3" t="e">
        <f t="shared" si="22"/>
        <v>#VALUE!</v>
      </c>
      <c r="F36" s="3" t="e">
        <f t="shared" si="22"/>
        <v>#VALUE!</v>
      </c>
      <c r="G36" s="3" t="e">
        <f t="shared" si="22"/>
        <v>#VALUE!</v>
      </c>
      <c r="H36" s="3" t="e">
        <f t="shared" si="22"/>
        <v>#VALUE!</v>
      </c>
      <c r="I36" s="3" t="e">
        <f t="shared" si="22"/>
        <v>#VALUE!</v>
      </c>
      <c r="J36" s="3" t="e">
        <f t="shared" si="22"/>
        <v>#VALUE!</v>
      </c>
      <c r="K36" s="3" t="e">
        <f t="shared" si="22"/>
        <v>#VALUE!</v>
      </c>
      <c r="L36" s="3" t="e">
        <f t="shared" si="22"/>
        <v>#VALUE!</v>
      </c>
      <c r="M36" s="3">
        <f t="shared" si="22"/>
        <v>397.87992000000003</v>
      </c>
      <c r="N36" s="3">
        <f t="shared" si="22"/>
        <v>290.33996000000002</v>
      </c>
      <c r="O36" s="3">
        <f t="shared" si="22"/>
        <v>311.68</v>
      </c>
      <c r="P36" s="3">
        <f t="shared" si="22"/>
        <v>449.245</v>
      </c>
      <c r="Q36" s="3">
        <f t="shared" si="22"/>
        <v>467.995</v>
      </c>
      <c r="R36" s="3">
        <f t="shared" si="22"/>
        <v>483.97</v>
      </c>
      <c r="S36" s="3">
        <f t="shared" si="22"/>
        <v>494.21000000000004</v>
      </c>
      <c r="T36" s="3">
        <f t="shared" si="22"/>
        <v>499.23250000000002</v>
      </c>
      <c r="U36" s="3">
        <f t="shared" si="22"/>
        <v>500.05349999999999</v>
      </c>
      <c r="V36" s="29">
        <f t="shared" si="22"/>
        <v>501.053</v>
      </c>
      <c r="W36" s="30">
        <f t="shared" si="22"/>
        <v>501.92399999999998</v>
      </c>
      <c r="X36" s="3">
        <f t="shared" si="22"/>
        <v>501.92399999999998</v>
      </c>
      <c r="Y36" s="3">
        <f t="shared" si="22"/>
        <v>501.92399999999998</v>
      </c>
      <c r="Z36" s="3">
        <f t="shared" si="22"/>
        <v>501.92399999999998</v>
      </c>
      <c r="AA36" s="3">
        <f t="shared" si="22"/>
        <v>501.92399999999998</v>
      </c>
      <c r="AB36" s="3">
        <f t="shared" si="22"/>
        <v>501.92399999999998</v>
      </c>
    </row>
    <row r="37" spans="1:30" x14ac:dyDescent="0.35">
      <c r="V37" s="17"/>
      <c r="W37" s="18"/>
    </row>
    <row r="38" spans="1:30" x14ac:dyDescent="0.35">
      <c r="V38" s="17"/>
      <c r="W38" s="18"/>
    </row>
    <row r="39" spans="1:30" ht="20" thickBot="1" x14ac:dyDescent="0.5">
      <c r="B39" s="12" t="s">
        <v>325</v>
      </c>
      <c r="V39" s="17"/>
      <c r="W39" s="18"/>
    </row>
    <row r="40" spans="1:30" ht="15.5" thickTop="1" thickBot="1" x14ac:dyDescent="0.4">
      <c r="B40" t="s">
        <v>303</v>
      </c>
      <c r="C40" s="13"/>
      <c r="D40" s="13"/>
      <c r="E40" s="13"/>
      <c r="F40" s="13"/>
      <c r="G40" s="13"/>
      <c r="H40" s="13"/>
      <c r="I40" s="13"/>
      <c r="J40" s="13"/>
      <c r="K40" s="13"/>
      <c r="L40" s="13"/>
      <c r="M40" s="13"/>
      <c r="N40" s="13"/>
      <c r="O40" s="13"/>
      <c r="P40" s="13"/>
      <c r="Q40" s="13"/>
      <c r="R40" s="13"/>
      <c r="S40" s="13"/>
      <c r="T40" s="13"/>
      <c r="U40" s="13"/>
      <c r="V40" s="95" t="s">
        <v>273</v>
      </c>
      <c r="W40" s="34">
        <f>'Forecast mechanics'!W$108</f>
        <v>0.29253684986030071</v>
      </c>
      <c r="X40" s="13">
        <f>'Forecast mechanics'!X$108</f>
        <v>0.20739331246602538</v>
      </c>
      <c r="Y40" s="13">
        <f>'Forecast mechanics'!Y$108</f>
        <v>0.16369665623301269</v>
      </c>
      <c r="Z40" s="13">
        <f>'Forecast mechanics'!Z$108</f>
        <v>0.12</v>
      </c>
      <c r="AA40" s="13">
        <f>'Forecast mechanics'!AA$108</f>
        <v>0.12</v>
      </c>
      <c r="AB40" s="13">
        <f>'Forecast mechanics'!AB$108</f>
        <v>0.12</v>
      </c>
      <c r="AD40" s="13"/>
    </row>
    <row r="41" spans="1:30" ht="15" thickBot="1" x14ac:dyDescent="0.4">
      <c r="C41" s="13"/>
      <c r="D41" s="13"/>
      <c r="E41" s="13"/>
      <c r="F41" s="13"/>
      <c r="G41" s="13"/>
      <c r="H41" s="13"/>
      <c r="I41" s="13"/>
      <c r="J41" s="13"/>
      <c r="K41" s="13"/>
      <c r="L41" s="13"/>
      <c r="M41" s="13"/>
      <c r="N41" s="13"/>
      <c r="O41" s="13"/>
      <c r="P41" s="13"/>
      <c r="Q41" s="13"/>
      <c r="R41" s="13"/>
      <c r="S41" s="13"/>
      <c r="T41" s="13"/>
      <c r="U41" s="13"/>
      <c r="V41" s="95" t="s">
        <v>274</v>
      </c>
      <c r="W41" s="69"/>
      <c r="X41" s="68"/>
      <c r="Y41" s="16"/>
      <c r="Z41" s="16"/>
      <c r="AA41" s="16"/>
      <c r="AB41" s="16"/>
      <c r="AD41" s="13"/>
    </row>
    <row r="42" spans="1:30" x14ac:dyDescent="0.35">
      <c r="D42" s="78" t="e">
        <f t="shared" ref="D42:V42" si="23">D$7/C$7-1</f>
        <v>#VALUE!</v>
      </c>
      <c r="E42" s="78" t="e">
        <f t="shared" si="23"/>
        <v>#VALUE!</v>
      </c>
      <c r="F42" s="78" t="e">
        <f t="shared" si="23"/>
        <v>#VALUE!</v>
      </c>
      <c r="G42" s="78" t="e">
        <f t="shared" si="23"/>
        <v>#VALUE!</v>
      </c>
      <c r="H42" s="78" t="e">
        <f t="shared" si="23"/>
        <v>#VALUE!</v>
      </c>
      <c r="I42" s="78" t="e">
        <f t="shared" si="23"/>
        <v>#VALUE!</v>
      </c>
      <c r="J42" s="78" t="e">
        <f t="shared" si="23"/>
        <v>#VALUE!</v>
      </c>
      <c r="K42" s="78" t="e">
        <f t="shared" si="23"/>
        <v>#VALUE!</v>
      </c>
      <c r="L42" s="78" t="e">
        <f t="shared" si="23"/>
        <v>#VALUE!</v>
      </c>
      <c r="M42" s="78">
        <f t="shared" si="23"/>
        <v>1.5660860195743913</v>
      </c>
      <c r="N42" s="78">
        <f t="shared" si="23"/>
        <v>0.77516314712108758</v>
      </c>
      <c r="O42" s="78">
        <f t="shared" si="23"/>
        <v>0.51886401939623306</v>
      </c>
      <c r="P42" s="78">
        <f t="shared" si="23"/>
        <v>0.54856480985798961</v>
      </c>
      <c r="Q42" s="78">
        <f t="shared" si="23"/>
        <v>0.38501217279077471</v>
      </c>
      <c r="R42" s="78">
        <f t="shared" si="23"/>
        <v>0.26468933134460215</v>
      </c>
      <c r="S42" s="78">
        <f t="shared" si="23"/>
        <v>0.43112413026758523</v>
      </c>
      <c r="T42" s="78">
        <f t="shared" si="23"/>
        <v>0.31871167361908004</v>
      </c>
      <c r="U42" s="78">
        <f t="shared" si="23"/>
        <v>0.23344287439115963</v>
      </c>
      <c r="V42" s="78">
        <f t="shared" si="23"/>
        <v>0.25625912071198087</v>
      </c>
      <c r="W42" s="34" cm="1">
        <f t="array" ref="W42">_xlfn.SWITCH(W41,,W40,W41)</f>
        <v>0.29253684986030071</v>
      </c>
      <c r="X42" s="13" cm="1">
        <f t="array" ref="X42">_xlfn.SWITCH(X41,,X40,X41)</f>
        <v>0.20739331246602538</v>
      </c>
      <c r="Y42" s="13" cm="1">
        <f t="array" ref="Y42">_xlfn.SWITCH(Y41,,Y40,Y41)</f>
        <v>0.16369665623301269</v>
      </c>
      <c r="Z42" s="13" cm="1">
        <f t="array" ref="Z42">_xlfn.SWITCH(Z41,,Z40,Z41)</f>
        <v>0.12</v>
      </c>
      <c r="AA42" s="13" cm="1">
        <f t="array" ref="AA42">_xlfn.SWITCH(AA41,,AA40,AA41)</f>
        <v>0.12</v>
      </c>
      <c r="AB42" s="13" cm="1">
        <f t="array" ref="AB42">_xlfn.SWITCH(AB41,,AB40,AB41)</f>
        <v>0.12</v>
      </c>
    </row>
    <row r="43" spans="1:30" x14ac:dyDescent="0.35">
      <c r="C43" s="13"/>
      <c r="D43" s="13"/>
      <c r="E43" s="13"/>
      <c r="F43" s="13"/>
      <c r="G43" s="13"/>
      <c r="H43" s="13"/>
      <c r="I43" s="13"/>
      <c r="J43" s="13"/>
      <c r="K43" s="13"/>
      <c r="L43" s="13"/>
      <c r="M43" s="13"/>
      <c r="N43" s="13"/>
      <c r="O43" s="13"/>
      <c r="P43" s="13"/>
      <c r="Q43" s="13"/>
      <c r="R43" s="13"/>
      <c r="S43" s="13"/>
      <c r="T43" s="13"/>
      <c r="U43" s="13"/>
      <c r="V43" s="17"/>
      <c r="W43" s="18"/>
      <c r="AD43" s="13"/>
    </row>
    <row r="44" spans="1:30" ht="15" thickBot="1" x14ac:dyDescent="0.4">
      <c r="B44" t="s">
        <v>105</v>
      </c>
      <c r="C44" s="13"/>
      <c r="D44" s="13"/>
      <c r="E44" s="13"/>
      <c r="F44" s="13"/>
      <c r="G44" s="13"/>
      <c r="H44" s="13"/>
      <c r="I44" s="13"/>
      <c r="J44" s="13"/>
      <c r="K44" s="13"/>
      <c r="L44" s="13"/>
      <c r="M44" s="13"/>
      <c r="N44" s="13"/>
      <c r="O44" s="13"/>
      <c r="P44" s="13"/>
      <c r="Q44" s="13"/>
      <c r="R44" s="13"/>
      <c r="S44" s="13"/>
      <c r="T44" s="13"/>
      <c r="U44" s="13"/>
      <c r="V44" s="95" t="s">
        <v>273</v>
      </c>
      <c r="W44" s="34">
        <f>'Forecast mechanics'!W$166</f>
        <v>6.6209653176943162E-2</v>
      </c>
      <c r="X44" s="13">
        <f>'Forecast mechanics'!X$166</f>
        <v>6.6209653176943162E-2</v>
      </c>
      <c r="Y44" s="13">
        <f>'Forecast mechanics'!Y$166</f>
        <v>6.6209653176943162E-2</v>
      </c>
      <c r="Z44" s="13">
        <f>'Forecast mechanics'!Z$166</f>
        <v>6.6209653176943162E-2</v>
      </c>
      <c r="AA44" s="13">
        <f>'Forecast mechanics'!AA$166</f>
        <v>6.6209653176943162E-2</v>
      </c>
      <c r="AB44" s="13">
        <f>'Forecast mechanics'!AB$166</f>
        <v>6.6209653176943162E-2</v>
      </c>
      <c r="AD44" s="13"/>
    </row>
    <row r="45" spans="1:30" ht="15" thickBot="1" x14ac:dyDescent="0.4">
      <c r="C45" s="13"/>
      <c r="D45" s="13"/>
      <c r="E45" s="13"/>
      <c r="F45" s="13"/>
      <c r="G45" s="13"/>
      <c r="H45" s="13"/>
      <c r="I45" s="13"/>
      <c r="J45" s="13"/>
      <c r="K45" s="13"/>
      <c r="L45" s="13"/>
      <c r="M45" s="13"/>
      <c r="N45" s="13"/>
      <c r="O45" s="13"/>
      <c r="P45" s="13"/>
      <c r="Q45" s="13"/>
      <c r="R45" s="13"/>
      <c r="S45" s="13"/>
      <c r="T45" s="13"/>
      <c r="U45" s="13"/>
      <c r="V45" s="95" t="s">
        <v>274</v>
      </c>
      <c r="W45" s="69"/>
      <c r="X45" s="68"/>
      <c r="Y45" s="16"/>
      <c r="Z45" s="16"/>
      <c r="AA45" s="16"/>
      <c r="AB45" s="16"/>
      <c r="AD45" s="13"/>
    </row>
    <row r="46" spans="1:30" x14ac:dyDescent="0.35">
      <c r="C46" s="78" t="e">
        <f t="shared" ref="C46:V46" si="24">C$15/C$7</f>
        <v>#VALUE!</v>
      </c>
      <c r="D46" s="78" t="e">
        <f t="shared" si="24"/>
        <v>#VALUE!</v>
      </c>
      <c r="E46" s="78" t="e">
        <f t="shared" si="24"/>
        <v>#VALUE!</v>
      </c>
      <c r="F46" s="78" t="e">
        <f t="shared" si="24"/>
        <v>#VALUE!</v>
      </c>
      <c r="G46" s="78" t="e">
        <f t="shared" si="24"/>
        <v>#VALUE!</v>
      </c>
      <c r="H46" s="78" t="e">
        <f t="shared" si="24"/>
        <v>#VALUE!</v>
      </c>
      <c r="I46" s="78" t="e">
        <f t="shared" si="24"/>
        <v>#VALUE!</v>
      </c>
      <c r="J46" s="78" t="e">
        <f t="shared" si="24"/>
        <v>#VALUE!</v>
      </c>
      <c r="K46" s="78" t="e">
        <f t="shared" si="24"/>
        <v>#VALUE!</v>
      </c>
      <c r="L46" s="78">
        <f t="shared" si="24"/>
        <v>1.7150040405854359E-2</v>
      </c>
      <c r="M46" s="78">
        <f t="shared" si="24"/>
        <v>0.33642423500183705</v>
      </c>
      <c r="N46" s="78">
        <f t="shared" si="24"/>
        <v>0.28344322560933544</v>
      </c>
      <c r="O46" s="78">
        <f t="shared" si="24"/>
        <v>0.22988998011141501</v>
      </c>
      <c r="P46" s="78">
        <f t="shared" si="24"/>
        <v>0.22485721588790136</v>
      </c>
      <c r="Q46" s="78">
        <f t="shared" si="24"/>
        <v>0.1697218700930932</v>
      </c>
      <c r="R46" s="78">
        <f t="shared" si="24"/>
        <v>0.17249079880818102</v>
      </c>
      <c r="S46" s="78">
        <f t="shared" si="24"/>
        <v>0.10432130597835125</v>
      </c>
      <c r="T46" s="78">
        <f t="shared" si="24"/>
        <v>7.203343907161576E-2</v>
      </c>
      <c r="U46" s="78">
        <f t="shared" si="24"/>
        <v>0.10301523030440055</v>
      </c>
      <c r="V46" s="78">
        <f t="shared" si="24"/>
        <v>0.17472250638183168</v>
      </c>
      <c r="W46" s="34" cm="1">
        <f t="array" ref="W46">_xlfn.SWITCH(W45,,W44,W45)</f>
        <v>6.6209653176943162E-2</v>
      </c>
      <c r="X46" s="13" cm="1">
        <f t="array" ref="X46">_xlfn.SWITCH(X45,,X44,X45)</f>
        <v>6.6209653176943162E-2</v>
      </c>
      <c r="Y46" s="13" cm="1">
        <f t="array" ref="Y46">_xlfn.SWITCH(Y45,,Y44,Y45)</f>
        <v>6.6209653176943162E-2</v>
      </c>
      <c r="Z46" s="13" cm="1">
        <f t="array" ref="Z46">_xlfn.SWITCH(Z45,,Z44,Z45)</f>
        <v>6.6209653176943162E-2</v>
      </c>
      <c r="AA46" s="13" cm="1">
        <f t="array" ref="AA46">_xlfn.SWITCH(AA45,,AA44,AA45)</f>
        <v>6.6209653176943162E-2</v>
      </c>
      <c r="AB46" s="13" cm="1">
        <f t="array" ref="AB46">_xlfn.SWITCH(AB45,,AB44,AB45)</f>
        <v>6.6209653176943162E-2</v>
      </c>
      <c r="AD46" s="13"/>
    </row>
    <row r="47" spans="1:30" ht="15" thickBot="1" x14ac:dyDescent="0.4">
      <c r="C47" s="13"/>
      <c r="D47" s="13"/>
      <c r="E47" s="13"/>
      <c r="F47" s="13"/>
      <c r="G47" s="13"/>
      <c r="H47" s="13"/>
      <c r="I47" s="13"/>
      <c r="J47" s="13"/>
      <c r="K47" s="13"/>
      <c r="L47" s="13"/>
      <c r="M47" s="13"/>
      <c r="N47" s="13"/>
      <c r="O47" s="13"/>
      <c r="P47" s="13"/>
      <c r="Q47" s="13"/>
      <c r="R47" s="13"/>
      <c r="S47" s="13"/>
      <c r="T47" s="13"/>
      <c r="U47" s="13"/>
      <c r="V47" s="17"/>
      <c r="W47" s="18"/>
      <c r="AD47" s="13"/>
    </row>
    <row r="48" spans="1:30" ht="15.5" thickTop="1" thickBot="1" x14ac:dyDescent="0.4">
      <c r="B48" t="s">
        <v>116</v>
      </c>
      <c r="C48" s="13"/>
      <c r="D48" s="13"/>
      <c r="E48" s="13"/>
      <c r="F48" s="13"/>
      <c r="G48" s="13"/>
      <c r="H48" s="13"/>
      <c r="I48" s="13"/>
      <c r="J48" s="13"/>
      <c r="K48" s="13"/>
      <c r="L48" s="13"/>
      <c r="M48" s="13"/>
      <c r="N48" s="13"/>
      <c r="O48" s="13"/>
      <c r="P48" s="13"/>
      <c r="Q48" s="13"/>
      <c r="R48" s="13"/>
      <c r="S48" s="13"/>
      <c r="T48" s="13"/>
      <c r="U48" s="13"/>
      <c r="V48" s="95" t="s">
        <v>273</v>
      </c>
      <c r="W48" s="116" cm="1">
        <f t="array" ref="W48">CLIP($V$50,min_tax,max_tax)</f>
        <v>0.225163709190975</v>
      </c>
      <c r="X48" s="13">
        <f>W50</f>
        <v>0.225163709190975</v>
      </c>
      <c r="Y48" s="13">
        <f t="shared" ref="Y48:AB48" si="25">X50</f>
        <v>0.225163709190975</v>
      </c>
      <c r="Z48" s="13">
        <f t="shared" si="25"/>
        <v>0.225163709190975</v>
      </c>
      <c r="AA48" s="13">
        <f t="shared" si="25"/>
        <v>0.225163709190975</v>
      </c>
      <c r="AB48" s="13">
        <f t="shared" si="25"/>
        <v>0.225163709190975</v>
      </c>
      <c r="AD48" s="13"/>
    </row>
    <row r="49" spans="1:30" ht="15.5" thickTop="1" thickBot="1" x14ac:dyDescent="0.4">
      <c r="C49" s="13"/>
      <c r="D49" s="13"/>
      <c r="E49" s="13"/>
      <c r="F49" s="13"/>
      <c r="G49" s="13"/>
      <c r="H49" s="13"/>
      <c r="I49" s="13"/>
      <c r="J49" s="13"/>
      <c r="K49" s="13"/>
      <c r="L49" s="13"/>
      <c r="M49" s="13"/>
      <c r="N49" s="13"/>
      <c r="O49" s="13"/>
      <c r="P49" s="13"/>
      <c r="Q49" s="13"/>
      <c r="R49" s="13"/>
      <c r="S49" s="13"/>
      <c r="T49" s="13"/>
      <c r="U49" s="13"/>
      <c r="V49" s="95" t="s">
        <v>274</v>
      </c>
      <c r="W49" s="69"/>
      <c r="X49" s="68"/>
      <c r="Y49" s="16"/>
      <c r="Z49" s="16"/>
      <c r="AA49" s="16"/>
      <c r="AB49" s="16"/>
      <c r="AD49" s="13"/>
    </row>
    <row r="50" spans="1:30" x14ac:dyDescent="0.35">
      <c r="C50" s="78" t="e">
        <f t="shared" ref="C50:V50" si="26">-C$22/C$20</f>
        <v>#VALUE!</v>
      </c>
      <c r="D50" s="78" t="e">
        <f t="shared" si="26"/>
        <v>#VALUE!</v>
      </c>
      <c r="E50" s="78" t="e">
        <f t="shared" si="26"/>
        <v>#VALUE!</v>
      </c>
      <c r="F50" s="78" t="e">
        <f t="shared" si="26"/>
        <v>#VALUE!</v>
      </c>
      <c r="G50" s="78" t="e">
        <f t="shared" si="26"/>
        <v>#VALUE!</v>
      </c>
      <c r="H50" s="78" t="e">
        <f t="shared" si="26"/>
        <v>#VALUE!</v>
      </c>
      <c r="I50" s="78" t="e">
        <f t="shared" si="26"/>
        <v>#VALUE!</v>
      </c>
      <c r="J50" s="78" t="e">
        <f t="shared" si="26"/>
        <v>#VALUE!</v>
      </c>
      <c r="K50" s="78" t="e">
        <f t="shared" si="26"/>
        <v>#VALUE!</v>
      </c>
      <c r="L50" s="78">
        <f t="shared" si="26"/>
        <v>1.0053022269353129</v>
      </c>
      <c r="M50" s="78">
        <f t="shared" si="26"/>
        <v>0.46536775129397029</v>
      </c>
      <c r="N50" s="78">
        <f t="shared" si="26"/>
        <v>0.53273714468221012</v>
      </c>
      <c r="O50" s="78">
        <f t="shared" si="26"/>
        <v>0.20160314341846758</v>
      </c>
      <c r="P50" s="78">
        <f t="shared" si="26"/>
        <v>0.1664223497924095</v>
      </c>
      <c r="Q50" s="78">
        <f t="shared" si="26"/>
        <v>6.7991739803820339E-2</v>
      </c>
      <c r="R50" s="78">
        <f t="shared" si="26"/>
        <v>-0.68389123228841653</v>
      </c>
      <c r="S50" s="78">
        <f t="shared" si="26"/>
        <v>-0.12886361401553639</v>
      </c>
      <c r="T50" s="78">
        <f t="shared" si="26"/>
        <v>0.58086676611446963</v>
      </c>
      <c r="U50" s="78">
        <f t="shared" si="26"/>
        <v>0.33230097576447326</v>
      </c>
      <c r="V50" s="78">
        <f t="shared" si="26"/>
        <v>0.225163709190975</v>
      </c>
      <c r="W50" s="34" cm="1">
        <f t="array" ref="W50">_xlfn.SWITCH(W49,,W48,W49)</f>
        <v>0.225163709190975</v>
      </c>
      <c r="X50" s="13" cm="1">
        <f t="array" ref="X50">_xlfn.SWITCH(X49,,X48,X49)</f>
        <v>0.225163709190975</v>
      </c>
      <c r="Y50" s="13" cm="1">
        <f t="array" ref="Y50">_xlfn.SWITCH(Y49,,Y48,Y49)</f>
        <v>0.225163709190975</v>
      </c>
      <c r="Z50" s="13" cm="1">
        <f t="array" ref="Z50">_xlfn.SWITCH(Z49,,Z48,Z49)</f>
        <v>0.225163709190975</v>
      </c>
      <c r="AA50" s="13" cm="1">
        <f t="array" ref="AA50">_xlfn.SWITCH(AA49,,AA48,AA49)</f>
        <v>0.225163709190975</v>
      </c>
      <c r="AB50" s="13" cm="1">
        <f t="array" ref="AB50">_xlfn.SWITCH(AB49,,AB48,AB49)</f>
        <v>0.225163709190975</v>
      </c>
    </row>
    <row r="51" spans="1:30" ht="15" thickBot="1" x14ac:dyDescent="0.4">
      <c r="C51" s="13"/>
      <c r="D51" s="13"/>
      <c r="E51" s="13"/>
      <c r="F51" s="13"/>
      <c r="G51" s="13"/>
      <c r="H51" s="13"/>
      <c r="I51" s="13"/>
      <c r="J51" s="13"/>
      <c r="K51" s="13"/>
      <c r="L51" s="13"/>
      <c r="M51" s="13"/>
      <c r="N51" s="13"/>
      <c r="O51" s="13"/>
      <c r="P51" s="13"/>
      <c r="Q51" s="13"/>
      <c r="R51" s="13"/>
      <c r="S51" s="13"/>
      <c r="T51" s="13"/>
      <c r="U51" s="13"/>
      <c r="V51" s="17"/>
      <c r="W51" s="18"/>
      <c r="AD51" s="13"/>
    </row>
    <row r="52" spans="1:30" ht="15.5" thickTop="1" thickBot="1" x14ac:dyDescent="0.4">
      <c r="B52" t="s">
        <v>107</v>
      </c>
      <c r="C52" s="13"/>
      <c r="D52" s="13"/>
      <c r="E52" s="13"/>
      <c r="F52" s="13"/>
      <c r="G52" s="13"/>
      <c r="H52" s="13"/>
      <c r="I52" s="13"/>
      <c r="J52" s="13"/>
      <c r="K52" s="13"/>
      <c r="L52" s="13"/>
      <c r="M52" s="13"/>
      <c r="N52" s="13"/>
      <c r="O52" s="13"/>
      <c r="P52" s="13"/>
      <c r="Q52" s="13"/>
      <c r="R52" s="13"/>
      <c r="S52" s="13"/>
      <c r="T52" s="13"/>
      <c r="U52" s="13"/>
      <c r="V52" s="95" t="s">
        <v>273</v>
      </c>
      <c r="W52" s="116">
        <f>_xlfn.AGGREGATE(1,2,$R54:$V54)</f>
        <v>0</v>
      </c>
      <c r="X52" s="13">
        <f>W54</f>
        <v>0</v>
      </c>
      <c r="Y52" s="13">
        <f t="shared" ref="Y52:AB52" si="27">X54</f>
        <v>0</v>
      </c>
      <c r="Z52" s="13">
        <f t="shared" si="27"/>
        <v>0</v>
      </c>
      <c r="AA52" s="13">
        <f t="shared" si="27"/>
        <v>0</v>
      </c>
      <c r="AB52" s="13">
        <f t="shared" si="27"/>
        <v>0</v>
      </c>
      <c r="AD52" s="13"/>
    </row>
    <row r="53" spans="1:30" ht="15.5" thickTop="1" thickBot="1" x14ac:dyDescent="0.4">
      <c r="C53" s="13"/>
      <c r="D53" s="13"/>
      <c r="E53" s="13"/>
      <c r="F53" s="13"/>
      <c r="G53" s="13"/>
      <c r="H53" s="13"/>
      <c r="I53" s="13"/>
      <c r="J53" s="13"/>
      <c r="K53" s="13"/>
      <c r="L53" s="13"/>
      <c r="M53" s="13"/>
      <c r="N53" s="13"/>
      <c r="O53" s="13"/>
      <c r="P53" s="13"/>
      <c r="Q53" s="13"/>
      <c r="R53" s="13"/>
      <c r="S53" s="13"/>
      <c r="T53" s="13"/>
      <c r="U53" s="13"/>
      <c r="V53" s="95" t="s">
        <v>274</v>
      </c>
      <c r="W53" s="69"/>
      <c r="X53" s="68"/>
      <c r="Y53" s="16"/>
      <c r="Z53" s="16"/>
      <c r="AA53" s="16"/>
      <c r="AB53" s="16"/>
    </row>
    <row r="54" spans="1:30" x14ac:dyDescent="0.35">
      <c r="C54" s="78" t="e">
        <f t="shared" ref="C54:V54" si="28">-C$26/C$24</f>
        <v>#VALUE!</v>
      </c>
      <c r="D54" s="78" t="e">
        <f t="shared" si="28"/>
        <v>#VALUE!</v>
      </c>
      <c r="E54" s="78" t="e">
        <f t="shared" si="28"/>
        <v>#VALUE!</v>
      </c>
      <c r="F54" s="78" t="e">
        <f t="shared" si="28"/>
        <v>#VALUE!</v>
      </c>
      <c r="G54" s="78" t="e">
        <f t="shared" si="28"/>
        <v>#VALUE!</v>
      </c>
      <c r="H54" s="78" t="e">
        <f t="shared" si="28"/>
        <v>#VALUE!</v>
      </c>
      <c r="I54" s="78" t="e">
        <f t="shared" si="28"/>
        <v>#VALUE!</v>
      </c>
      <c r="J54" s="78" t="e">
        <f t="shared" si="28"/>
        <v>#VALUE!</v>
      </c>
      <c r="K54" s="78" t="e">
        <f t="shared" si="28"/>
        <v>#VALUE!</v>
      </c>
      <c r="L54" s="78">
        <f t="shared" si="28"/>
        <v>0</v>
      </c>
      <c r="M54" s="78">
        <f t="shared" si="28"/>
        <v>0</v>
      </c>
      <c r="N54" s="78">
        <f t="shared" si="28"/>
        <v>0</v>
      </c>
      <c r="O54" s="78">
        <f t="shared" si="28"/>
        <v>0</v>
      </c>
      <c r="P54" s="78">
        <f t="shared" si="28"/>
        <v>0</v>
      </c>
      <c r="Q54" s="78">
        <f t="shared" si="28"/>
        <v>0</v>
      </c>
      <c r="R54" s="78">
        <f t="shared" si="28"/>
        <v>0</v>
      </c>
      <c r="S54" s="78">
        <f t="shared" si="28"/>
        <v>0</v>
      </c>
      <c r="T54" s="78">
        <f t="shared" si="28"/>
        <v>0</v>
      </c>
      <c r="U54" s="78">
        <f t="shared" si="28"/>
        <v>0</v>
      </c>
      <c r="V54" s="78">
        <f t="shared" si="28"/>
        <v>0</v>
      </c>
      <c r="W54" s="34" cm="1">
        <f t="array" ref="W54">_xlfn.SWITCH(W53,,W52,W53)</f>
        <v>0</v>
      </c>
      <c r="X54" s="13" cm="1">
        <f t="array" ref="X54">_xlfn.SWITCH(X53,,X52,X53)</f>
        <v>0</v>
      </c>
      <c r="Y54" s="13" cm="1">
        <f t="array" ref="Y54">_xlfn.SWITCH(Y53,,Y52,Y53)</f>
        <v>0</v>
      </c>
      <c r="Z54" s="13" cm="1">
        <f t="array" ref="Z54">_xlfn.SWITCH(Z53,,Z52,Z53)</f>
        <v>0</v>
      </c>
      <c r="AA54" s="13" cm="1">
        <f t="array" ref="AA54">_xlfn.SWITCH(AA53,,AA52,AA53)</f>
        <v>0</v>
      </c>
      <c r="AB54" s="13" cm="1">
        <f t="array" ref="AB54">_xlfn.SWITCH(AB53,,AB52,AB53)</f>
        <v>0</v>
      </c>
    </row>
    <row r="55" spans="1:30" ht="15" thickBot="1" x14ac:dyDescent="0.4">
      <c r="C55" s="13"/>
      <c r="D55" s="13"/>
      <c r="E55" s="13"/>
      <c r="F55" s="13"/>
      <c r="G55" s="13"/>
      <c r="H55" s="13"/>
      <c r="I55" s="13"/>
      <c r="J55" s="13"/>
      <c r="K55" s="13"/>
      <c r="L55" s="13"/>
      <c r="M55" s="13"/>
      <c r="N55" s="13"/>
      <c r="O55" s="13"/>
      <c r="P55" s="13"/>
      <c r="Q55" s="13"/>
      <c r="R55" s="13"/>
      <c r="S55" s="13"/>
      <c r="T55" s="13"/>
      <c r="U55" s="13"/>
      <c r="V55" s="17"/>
      <c r="W55" s="18"/>
    </row>
    <row r="56" spans="1:30" ht="15.5" thickTop="1" thickBot="1" x14ac:dyDescent="0.4">
      <c r="B56" t="s">
        <v>108</v>
      </c>
      <c r="C56" s="13"/>
      <c r="D56" s="13"/>
      <c r="E56" s="13"/>
      <c r="F56" s="13"/>
      <c r="G56" s="13"/>
      <c r="H56" s="13"/>
      <c r="I56" s="13"/>
      <c r="J56" s="13"/>
      <c r="K56" s="13"/>
      <c r="L56" s="13"/>
      <c r="M56" s="13"/>
      <c r="N56" s="13"/>
      <c r="O56" s="13"/>
      <c r="P56" s="13"/>
      <c r="Q56" s="13"/>
      <c r="R56" s="13"/>
      <c r="S56" s="13"/>
      <c r="T56" s="13"/>
      <c r="U56" s="13"/>
      <c r="V56" s="95" t="s">
        <v>273</v>
      </c>
      <c r="W56" s="116" cm="1">
        <f t="array" ref="W56">CLIP(-_xlfn.AGGREGATE(9,2,$R32:$V32)/_xlfn.AGGREGATE(9,2,$R28:$V28), min_payout, max_payout)</f>
        <v>0</v>
      </c>
      <c r="X56" s="13">
        <f>W58</f>
        <v>0</v>
      </c>
      <c r="Y56" s="13">
        <f t="shared" ref="Y56" si="29">X58</f>
        <v>0</v>
      </c>
      <c r="Z56" s="13">
        <f t="shared" ref="Z56" si="30">Y58</f>
        <v>0</v>
      </c>
      <c r="AA56" s="13">
        <f t="shared" ref="AA56" si="31">Z58</f>
        <v>0</v>
      </c>
      <c r="AB56" s="13">
        <f t="shared" ref="AB56" si="32">AA58</f>
        <v>0</v>
      </c>
    </row>
    <row r="57" spans="1:30" ht="15.5" thickTop="1" thickBot="1" x14ac:dyDescent="0.4">
      <c r="C57" s="13"/>
      <c r="D57" s="13"/>
      <c r="E57" s="13"/>
      <c r="F57" s="13"/>
      <c r="G57" s="13"/>
      <c r="H57" s="13"/>
      <c r="I57" s="13"/>
      <c r="J57" s="13"/>
      <c r="K57" s="13"/>
      <c r="L57" s="13"/>
      <c r="M57" s="13"/>
      <c r="N57" s="13"/>
      <c r="O57" s="13"/>
      <c r="P57" s="13"/>
      <c r="Q57" s="13"/>
      <c r="R57" s="13"/>
      <c r="S57" s="13"/>
      <c r="T57" s="13"/>
      <c r="U57" s="13"/>
      <c r="V57" s="95" t="s">
        <v>274</v>
      </c>
      <c r="W57" s="69"/>
      <c r="X57" s="68"/>
      <c r="Y57" s="16"/>
      <c r="Z57" s="16"/>
      <c r="AA57" s="16"/>
      <c r="AB57" s="16"/>
    </row>
    <row r="58" spans="1:30" x14ac:dyDescent="0.35">
      <c r="C58" s="78" t="e">
        <f>C$87/C$86</f>
        <v>#DIV/0!</v>
      </c>
      <c r="D58" s="78" t="e">
        <f t="shared" ref="D58:V58" si="33">D$87/D$86</f>
        <v>#VALUE!</v>
      </c>
      <c r="E58" s="78" t="e">
        <f t="shared" si="33"/>
        <v>#VALUE!</v>
      </c>
      <c r="F58" s="78" t="e">
        <f t="shared" si="33"/>
        <v>#VALUE!</v>
      </c>
      <c r="G58" s="78" t="e">
        <f t="shared" si="33"/>
        <v>#VALUE!</v>
      </c>
      <c r="H58" s="78" t="e">
        <f t="shared" si="33"/>
        <v>#VALUE!</v>
      </c>
      <c r="I58" s="78" t="e">
        <f t="shared" si="33"/>
        <v>#VALUE!</v>
      </c>
      <c r="J58" s="78" t="e">
        <f t="shared" si="33"/>
        <v>#VALUE!</v>
      </c>
      <c r="K58" s="78" t="e">
        <f t="shared" si="33"/>
        <v>#VALUE!</v>
      </c>
      <c r="L58" s="78" t="e">
        <f t="shared" si="33"/>
        <v>#VALUE!</v>
      </c>
      <c r="M58" s="78">
        <f t="shared" si="33"/>
        <v>0</v>
      </c>
      <c r="N58" s="78">
        <f t="shared" si="33"/>
        <v>0</v>
      </c>
      <c r="O58" s="78">
        <f t="shared" si="33"/>
        <v>0</v>
      </c>
      <c r="P58" s="78">
        <f t="shared" si="33"/>
        <v>0</v>
      </c>
      <c r="Q58" s="78">
        <f t="shared" si="33"/>
        <v>0</v>
      </c>
      <c r="R58" s="78">
        <f t="shared" si="33"/>
        <v>0</v>
      </c>
      <c r="S58" s="78">
        <f t="shared" si="33"/>
        <v>0</v>
      </c>
      <c r="T58" s="78">
        <f t="shared" si="33"/>
        <v>0</v>
      </c>
      <c r="U58" s="78">
        <f t="shared" si="33"/>
        <v>0</v>
      </c>
      <c r="V58" s="126">
        <f t="shared" si="33"/>
        <v>0</v>
      </c>
      <c r="W58" s="34" cm="1">
        <f t="array" ref="W58">_xlfn.SWITCH(W57,,W56,W57)</f>
        <v>0</v>
      </c>
      <c r="X58" s="13" cm="1">
        <f t="array" ref="X58">_xlfn.SWITCH(X57,,X56,X57)</f>
        <v>0</v>
      </c>
      <c r="Y58" s="13" cm="1">
        <f t="array" ref="Y58">_xlfn.SWITCH(Y57,,Y56,Y57)</f>
        <v>0</v>
      </c>
      <c r="Z58" s="13" cm="1">
        <f t="array" ref="Z58">_xlfn.SWITCH(Z57,,Z56,Z57)</f>
        <v>0</v>
      </c>
      <c r="AA58" s="13" cm="1">
        <f t="array" ref="AA58">_xlfn.SWITCH(AA57,,AA56,AA57)</f>
        <v>0</v>
      </c>
      <c r="AB58" s="13" cm="1">
        <f t="array" ref="AB58">_xlfn.SWITCH(AB57,,AB56,AB57)</f>
        <v>0</v>
      </c>
    </row>
    <row r="59" spans="1:30" ht="15" thickBot="1" x14ac:dyDescent="0.4">
      <c r="C59" s="13"/>
      <c r="D59" s="13"/>
      <c r="E59" s="13"/>
      <c r="F59" s="13"/>
      <c r="G59" s="13"/>
      <c r="H59" s="13"/>
      <c r="I59" s="13"/>
      <c r="J59" s="13"/>
      <c r="K59" s="13"/>
      <c r="L59" s="13"/>
      <c r="M59" s="13"/>
      <c r="N59" s="13"/>
      <c r="O59" s="13"/>
      <c r="P59" s="13"/>
      <c r="Q59" s="13"/>
      <c r="R59" s="13"/>
      <c r="S59" s="13"/>
      <c r="T59" s="13"/>
      <c r="U59" s="13"/>
      <c r="V59" s="17"/>
      <c r="W59" s="18"/>
    </row>
    <row r="60" spans="1:30" ht="15.5" thickTop="1" thickBot="1" x14ac:dyDescent="0.4">
      <c r="A60" s="58" t="s">
        <v>117</v>
      </c>
      <c r="B60" t="s">
        <v>336</v>
      </c>
      <c r="C60" s="13"/>
      <c r="D60" s="13"/>
      <c r="E60" s="13"/>
      <c r="F60" s="13"/>
      <c r="G60" s="13"/>
      <c r="H60" s="13"/>
      <c r="I60" s="13"/>
      <c r="J60" s="13"/>
      <c r="K60" s="13"/>
      <c r="L60" s="13"/>
      <c r="M60" s="13"/>
      <c r="N60" s="13"/>
      <c r="O60" s="13"/>
      <c r="P60" s="13"/>
      <c r="Q60" s="13"/>
      <c r="R60" s="13"/>
      <c r="S60" s="13"/>
      <c r="T60" s="13"/>
      <c r="U60" s="13"/>
      <c r="V60" s="95" t="s">
        <v>273</v>
      </c>
      <c r="W60" s="116">
        <v>0</v>
      </c>
      <c r="X60" s="13">
        <f>W62</f>
        <v>0</v>
      </c>
      <c r="Y60" s="13">
        <f t="shared" ref="Y60:AB60" si="34">X62</f>
        <v>0</v>
      </c>
      <c r="Z60" s="13">
        <f t="shared" si="34"/>
        <v>0</v>
      </c>
      <c r="AA60" s="13">
        <f t="shared" si="34"/>
        <v>0</v>
      </c>
      <c r="AB60" s="13">
        <f t="shared" si="34"/>
        <v>0</v>
      </c>
    </row>
    <row r="61" spans="1:30" ht="15.5" thickTop="1" thickBot="1" x14ac:dyDescent="0.4">
      <c r="C61" s="13"/>
      <c r="D61" s="13"/>
      <c r="E61" s="13"/>
      <c r="F61" s="13"/>
      <c r="G61" s="13"/>
      <c r="H61" s="13"/>
      <c r="I61" s="13"/>
      <c r="J61" s="13"/>
      <c r="K61" s="13"/>
      <c r="L61" s="13"/>
      <c r="M61" s="13"/>
      <c r="N61" s="13"/>
      <c r="O61" s="13"/>
      <c r="P61" s="13"/>
      <c r="Q61" s="13"/>
      <c r="R61" s="13"/>
      <c r="S61" s="13"/>
      <c r="T61" s="13"/>
      <c r="U61" s="13"/>
      <c r="V61" s="95" t="s">
        <v>274</v>
      </c>
      <c r="W61" s="69"/>
      <c r="X61" s="68"/>
      <c r="Y61" s="16"/>
      <c r="Z61" s="16"/>
      <c r="AA61" s="16"/>
      <c r="AB61" s="16"/>
    </row>
    <row r="62" spans="1:30" x14ac:dyDescent="0.35">
      <c r="D62" s="78" t="e">
        <f t="shared" ref="D62:V62" si="35">D$35/C$35-1</f>
        <v>#VALUE!</v>
      </c>
      <c r="E62" s="78" t="e">
        <f t="shared" si="35"/>
        <v>#VALUE!</v>
      </c>
      <c r="F62" s="78" t="e">
        <f t="shared" si="35"/>
        <v>#VALUE!</v>
      </c>
      <c r="G62" s="78" t="e">
        <f t="shared" si="35"/>
        <v>#VALUE!</v>
      </c>
      <c r="H62" s="78" t="e">
        <f t="shared" si="35"/>
        <v>#VALUE!</v>
      </c>
      <c r="I62" s="78" t="e">
        <f t="shared" si="35"/>
        <v>#VALUE!</v>
      </c>
      <c r="J62" s="78" t="e">
        <f t="shared" si="35"/>
        <v>#VALUE!</v>
      </c>
      <c r="K62" s="78" t="e">
        <f t="shared" si="35"/>
        <v>#VALUE!</v>
      </c>
      <c r="L62" s="78" t="e">
        <f t="shared" si="35"/>
        <v>#VALUE!</v>
      </c>
      <c r="M62" s="78">
        <f t="shared" si="35"/>
        <v>0</v>
      </c>
      <c r="N62" s="78">
        <f t="shared" si="35"/>
        <v>-0.54056490209407904</v>
      </c>
      <c r="O62" s="78">
        <f t="shared" si="35"/>
        <v>1.4100656455142229</v>
      </c>
      <c r="P62" s="78">
        <f t="shared" si="35"/>
        <v>3.9427092790993212E-2</v>
      </c>
      <c r="Q62" s="78">
        <f t="shared" si="35"/>
        <v>4.3958683641604601E-2</v>
      </c>
      <c r="R62" s="78">
        <f t="shared" si="35"/>
        <v>2.4724929925113992E-2</v>
      </c>
      <c r="S62" s="78">
        <f t="shared" si="35"/>
        <v>1.7677798644565978E-2</v>
      </c>
      <c r="T62" s="78">
        <f t="shared" si="35"/>
        <v>2.7781120872949483E-3</v>
      </c>
      <c r="U62" s="78">
        <f t="shared" si="35"/>
        <v>5.1407711156681302E-4</v>
      </c>
      <c r="V62" s="78">
        <f t="shared" si="35"/>
        <v>3.4827322854480425E-3</v>
      </c>
      <c r="W62" s="34" cm="1">
        <f t="array" ref="W62">_xlfn.SWITCH(W61,,W60,W61)</f>
        <v>0</v>
      </c>
      <c r="X62" s="13" cm="1">
        <f t="array" ref="X62">_xlfn.SWITCH(X61,,X60,X61)</f>
        <v>0</v>
      </c>
      <c r="Y62" s="13" cm="1">
        <f t="array" ref="Y62">_xlfn.SWITCH(Y61,,Y60,Y61)</f>
        <v>0</v>
      </c>
      <c r="Z62" s="13" cm="1">
        <f t="array" ref="Z62">_xlfn.SWITCH(Z61,,Z60,Z61)</f>
        <v>0</v>
      </c>
      <c r="AA62" s="13" cm="1">
        <f t="array" ref="AA62">_xlfn.SWITCH(AA61,,AA60,AA61)</f>
        <v>0</v>
      </c>
      <c r="AB62" s="13" cm="1">
        <f t="array" ref="AB62">_xlfn.SWITCH(AB61,,AB60,AB61)</f>
        <v>0</v>
      </c>
    </row>
    <row r="63" spans="1:30" x14ac:dyDescent="0.35">
      <c r="D63" s="13"/>
      <c r="E63" s="13"/>
      <c r="F63" s="13"/>
      <c r="G63" s="13"/>
      <c r="H63" s="13"/>
      <c r="I63" s="13"/>
      <c r="J63" s="13"/>
      <c r="K63" s="13"/>
      <c r="L63" s="13"/>
      <c r="M63" s="13"/>
      <c r="N63" s="13"/>
      <c r="O63" s="13"/>
      <c r="P63" s="13"/>
      <c r="Q63" s="13"/>
      <c r="R63" s="13"/>
      <c r="S63" s="13"/>
      <c r="T63" s="13"/>
      <c r="U63" s="13"/>
      <c r="V63" s="17"/>
      <c r="W63" s="18"/>
      <c r="X63" s="13"/>
      <c r="Y63" s="13"/>
      <c r="Z63" s="13"/>
      <c r="AA63" s="13"/>
      <c r="AB63" s="13"/>
    </row>
    <row r="64" spans="1:30" ht="15" thickBot="1" x14ac:dyDescent="0.4">
      <c r="A64" s="58" t="s">
        <v>117</v>
      </c>
      <c r="B64" t="s">
        <v>192</v>
      </c>
      <c r="C64" s="13"/>
      <c r="D64" s="13"/>
      <c r="E64" s="13"/>
      <c r="F64" s="13"/>
      <c r="G64" s="13"/>
      <c r="H64" s="13"/>
      <c r="I64" s="13"/>
      <c r="J64" s="13"/>
      <c r="K64" s="13"/>
      <c r="L64" s="13"/>
      <c r="M64" s="13"/>
      <c r="N64" s="13"/>
      <c r="O64" s="13"/>
      <c r="P64" s="13"/>
      <c r="Q64" s="13"/>
      <c r="R64" s="13"/>
      <c r="S64" s="13"/>
      <c r="T64" s="13"/>
      <c r="U64" s="13"/>
      <c r="V64" s="95" t="s">
        <v>273</v>
      </c>
      <c r="W64" s="34">
        <f>V66</f>
        <v>4.7757313713191411E-2</v>
      </c>
      <c r="X64" s="13">
        <f>W66</f>
        <v>4.7757313713191411E-2</v>
      </c>
      <c r="Y64" s="13">
        <f t="shared" ref="Y64:AB64" si="36">X66</f>
        <v>4.7757313713191411E-2</v>
      </c>
      <c r="Z64" s="13">
        <f t="shared" si="36"/>
        <v>4.7757313713191411E-2</v>
      </c>
      <c r="AA64" s="13">
        <f t="shared" si="36"/>
        <v>4.7757313713191411E-2</v>
      </c>
      <c r="AB64" s="13">
        <f t="shared" si="36"/>
        <v>4.7757313713191411E-2</v>
      </c>
    </row>
    <row r="65" spans="1:30" ht="15" thickBot="1" x14ac:dyDescent="0.4">
      <c r="C65" s="13"/>
      <c r="D65" s="13"/>
      <c r="E65" s="13"/>
      <c r="F65" s="13"/>
      <c r="G65" s="13"/>
      <c r="H65" s="13"/>
      <c r="I65" s="13"/>
      <c r="J65" s="13"/>
      <c r="K65" s="13"/>
      <c r="L65" s="13"/>
      <c r="M65" s="13"/>
      <c r="N65" s="13"/>
      <c r="O65" s="13"/>
      <c r="P65" s="13"/>
      <c r="Q65" s="13"/>
      <c r="R65" s="13"/>
      <c r="S65" s="13"/>
      <c r="T65" s="13"/>
      <c r="U65" s="13"/>
      <c r="V65" s="95" t="s">
        <v>274</v>
      </c>
      <c r="W65" s="69"/>
      <c r="X65" s="68"/>
      <c r="Y65" s="16"/>
      <c r="Z65" s="16"/>
      <c r="AA65" s="16"/>
      <c r="AB65" s="16"/>
      <c r="AD65" s="13"/>
    </row>
    <row r="66" spans="1:30" x14ac:dyDescent="0.35">
      <c r="D66" s="78" t="e">
        <f>_xlfn.LET(_xlpm.avg_debt, AVERAGE('Balance sheet'!C$11:D$11), IF(_xlpm.avg_debt=0,,D$17/_xlpm.avg_debt))</f>
        <v>#VALUE!</v>
      </c>
      <c r="E66" s="78" t="e">
        <f>_xlfn.LET(_xlpm.avg_debt, AVERAGE('Balance sheet'!D$11:E$11), IF(_xlpm.avg_debt=0,,E$17/_xlpm.avg_debt))</f>
        <v>#VALUE!</v>
      </c>
      <c r="F66" s="78" t="e">
        <f>_xlfn.LET(_xlpm.avg_debt, AVERAGE('Balance sheet'!E$11:F$11), IF(_xlpm.avg_debt=0,,F$17/_xlpm.avg_debt))</f>
        <v>#VALUE!</v>
      </c>
      <c r="G66" s="78" t="e">
        <f>_xlfn.LET(_xlpm.avg_debt, AVERAGE('Balance sheet'!F$11:G$11), IF(_xlpm.avg_debt=0,,G$17/_xlpm.avg_debt))</f>
        <v>#VALUE!</v>
      </c>
      <c r="H66" s="78" t="e">
        <f>_xlfn.LET(_xlpm.avg_debt, AVERAGE('Balance sheet'!G$11:H$11), IF(_xlpm.avg_debt=0,,H$17/_xlpm.avg_debt))</f>
        <v>#VALUE!</v>
      </c>
      <c r="I66" s="78" t="e">
        <f>_xlfn.LET(_xlpm.avg_debt, AVERAGE('Balance sheet'!H$11:I$11), IF(_xlpm.avg_debt=0,,I$17/_xlpm.avg_debt))</f>
        <v>#VALUE!</v>
      </c>
      <c r="J66" s="78" t="e">
        <f>_xlfn.LET(_xlpm.avg_debt, AVERAGE('Balance sheet'!I$11:J$11), IF(_xlpm.avg_debt=0,,J$17/_xlpm.avg_debt))</f>
        <v>#VALUE!</v>
      </c>
      <c r="K66" s="78" t="e">
        <f>_xlfn.LET(_xlpm.avg_debt, AVERAGE('Balance sheet'!J$11:K$11), IF(_xlpm.avg_debt=0,,K$17/_xlpm.avg_debt))</f>
        <v>#VALUE!</v>
      </c>
      <c r="L66" s="78" t="e">
        <f>_xlfn.LET(_xlpm.avg_debt, AVERAGE('Balance sheet'!K$11:L$11), IF(_xlpm.avg_debt=0,,L$17/_xlpm.avg_debt))</f>
        <v>#VALUE!</v>
      </c>
      <c r="M66" s="78">
        <f>_xlfn.LET(_xlpm.avg_debt, AVERAGE('Balance sheet'!L$11:M$11), IF(_xlpm.avg_debt=0,,M$17/_xlpm.avg_debt))</f>
        <v>0</v>
      </c>
      <c r="N66" s="78">
        <f>_xlfn.LET(_xlpm.avg_debt, AVERAGE('Balance sheet'!M$11:N$11), IF(_xlpm.avg_debt=0,,N$17/_xlpm.avg_debt))</f>
        <v>0</v>
      </c>
      <c r="O66" s="78">
        <f>_xlfn.LET(_xlpm.avg_debt, AVERAGE('Balance sheet'!N$11:O$11), IF(_xlpm.avg_debt=0,,O$17/_xlpm.avg_debt))</f>
        <v>0</v>
      </c>
      <c r="P66" s="78">
        <f>_xlfn.LET(_xlpm.avg_debt, AVERAGE('Balance sheet'!O$11:P$11), IF(_xlpm.avg_debt=0,,P$17/_xlpm.avg_debt))</f>
        <v>1.0369456636066764E-2</v>
      </c>
      <c r="Q66" s="78">
        <f>_xlfn.LET(_xlpm.avg_debt, AVERAGE('Balance sheet'!P$11:Q$11), IF(_xlpm.avg_debt=0,,Q$17/_xlpm.avg_debt))</f>
        <v>2.0418848167539267E-2</v>
      </c>
      <c r="R66" s="78">
        <f>_xlfn.LET(_xlpm.avg_debt, AVERAGE('Balance sheet'!Q$11:R$11), IF(_xlpm.avg_debt=0,,R$17/_xlpm.avg_debt))</f>
        <v>1.4925610846550613E-3</v>
      </c>
      <c r="S66" s="78">
        <f>_xlfn.LET(_xlpm.avg_debt, AVERAGE('Balance sheet'!R$11:S$11), IF(_xlpm.avg_debt=0,,S$17/_xlpm.avg_debt))</f>
        <v>0</v>
      </c>
      <c r="T66" s="78">
        <f>_xlfn.LET(_xlpm.avg_debt, AVERAGE('Balance sheet'!S$11:T$11), IF(_xlpm.avg_debt=0,,T$17/_xlpm.avg_debt))</f>
        <v>1.0605459046755899E-2</v>
      </c>
      <c r="U66" s="78">
        <f>_xlfn.LET(_xlpm.avg_debt, AVERAGE('Balance sheet'!T$11:U$11), IF(_xlpm.avg_debt=0,,U$17/_xlpm.avg_debt))</f>
        <v>4.846908634767591E-2</v>
      </c>
      <c r="V66" s="78">
        <f>_xlfn.LET(_xlpm.avg_debt, AVERAGE('Balance sheet'!U$11:V$11), IF(_xlpm.avg_debt=0,,V$17/_xlpm.avg_debt))</f>
        <v>4.7757313713191411E-2</v>
      </c>
      <c r="W66" s="34" cm="1">
        <f t="array" ref="W66">_xlfn.SWITCH(W65,,W64,W65)</f>
        <v>4.7757313713191411E-2</v>
      </c>
      <c r="X66" s="13" cm="1">
        <f t="array" ref="X66">_xlfn.SWITCH(X65,,X64,X65)</f>
        <v>4.7757313713191411E-2</v>
      </c>
      <c r="Y66" s="13" cm="1">
        <f t="array" ref="Y66">_xlfn.SWITCH(Y65,,Y64,Y65)</f>
        <v>4.7757313713191411E-2</v>
      </c>
      <c r="Z66" s="13" cm="1">
        <f t="array" ref="Z66">_xlfn.SWITCH(Z65,,Z64,Z65)</f>
        <v>4.7757313713191411E-2</v>
      </c>
      <c r="AA66" s="13" cm="1">
        <f t="array" ref="AA66">_xlfn.SWITCH(AA65,,AA64,AA65)</f>
        <v>4.7757313713191411E-2</v>
      </c>
      <c r="AB66" s="13" cm="1">
        <f t="array" ref="AB66">_xlfn.SWITCH(AB65,,AB64,AB65)</f>
        <v>4.7757313713191411E-2</v>
      </c>
    </row>
    <row r="67" spans="1:30" x14ac:dyDescent="0.35">
      <c r="C67" s="13"/>
      <c r="D67" s="13"/>
      <c r="E67" s="13"/>
      <c r="F67" s="13"/>
      <c r="G67" s="13"/>
      <c r="H67" s="13"/>
      <c r="I67" s="13"/>
      <c r="J67" s="13"/>
      <c r="K67" s="13"/>
      <c r="L67" s="13"/>
      <c r="M67" s="13"/>
      <c r="N67" s="13"/>
      <c r="O67" s="13"/>
      <c r="P67" s="13"/>
      <c r="Q67" s="13"/>
      <c r="R67" s="13"/>
      <c r="S67" s="13"/>
      <c r="T67" s="13"/>
      <c r="U67" s="13"/>
      <c r="V67" s="17"/>
      <c r="W67" s="18"/>
      <c r="AD67" s="13"/>
    </row>
    <row r="68" spans="1:30" ht="15" thickBot="1" x14ac:dyDescent="0.4">
      <c r="A68" s="58" t="s">
        <v>117</v>
      </c>
      <c r="B68" t="s">
        <v>191</v>
      </c>
      <c r="C68" s="13"/>
      <c r="D68" s="13"/>
      <c r="E68" s="13"/>
      <c r="F68" s="13"/>
      <c r="G68" s="13"/>
      <c r="H68" s="13"/>
      <c r="I68" s="13"/>
      <c r="J68" s="13"/>
      <c r="K68" s="13"/>
      <c r="L68" s="13"/>
      <c r="M68" s="13"/>
      <c r="N68" s="13"/>
      <c r="O68" s="13"/>
      <c r="P68" s="13"/>
      <c r="Q68" s="13"/>
      <c r="R68" s="13"/>
      <c r="S68" s="13"/>
      <c r="T68" s="13"/>
      <c r="U68" s="13"/>
      <c r="V68" s="95" t="s">
        <v>273</v>
      </c>
      <c r="W68" s="34">
        <f t="shared" ref="W68:AB68" si="37">W$64+rate_spread</f>
        <v>6.7757313713191408E-2</v>
      </c>
      <c r="X68" s="13">
        <f t="shared" si="37"/>
        <v>6.7757313713191408E-2</v>
      </c>
      <c r="Y68" s="13">
        <f t="shared" si="37"/>
        <v>6.7757313713191408E-2</v>
      </c>
      <c r="Z68" s="13">
        <f t="shared" si="37"/>
        <v>6.7757313713191408E-2</v>
      </c>
      <c r="AA68" s="13">
        <f t="shared" si="37"/>
        <v>6.7757313713191408E-2</v>
      </c>
      <c r="AB68" s="13">
        <f t="shared" si="37"/>
        <v>6.7757313713191408E-2</v>
      </c>
      <c r="AD68" s="13"/>
    </row>
    <row r="69" spans="1:30" ht="15" thickBot="1" x14ac:dyDescent="0.4">
      <c r="C69" s="13"/>
      <c r="D69" s="13"/>
      <c r="E69" s="13"/>
      <c r="F69" s="13"/>
      <c r="G69" s="13"/>
      <c r="H69" s="13"/>
      <c r="I69" s="13"/>
      <c r="J69" s="13"/>
      <c r="K69" s="13"/>
      <c r="L69" s="13"/>
      <c r="M69" s="13"/>
      <c r="N69" s="13"/>
      <c r="O69" s="13"/>
      <c r="P69" s="13"/>
      <c r="Q69" s="13"/>
      <c r="R69" s="13"/>
      <c r="S69" s="13"/>
      <c r="T69" s="13"/>
      <c r="U69" s="13"/>
      <c r="V69" s="95" t="s">
        <v>274</v>
      </c>
      <c r="W69" s="69"/>
      <c r="X69" s="68"/>
      <c r="Y69" s="16"/>
      <c r="Z69" s="16"/>
      <c r="AA69" s="16"/>
      <c r="AB69" s="16"/>
      <c r="AD69" s="13"/>
    </row>
    <row r="70" spans="1:30" x14ac:dyDescent="0.35">
      <c r="D70" s="78" t="e">
        <f>-_xlfn.LET(_xlpm.avg_debt, SUM('Balance sheet'!C$35:D$35,'Balance sheet'!C$41:D$41)/2, IF(_xlpm.avg_debt=0,,D$18/_xlpm.avg_debt))</f>
        <v>#VALUE!</v>
      </c>
      <c r="E70" s="78" t="e">
        <f>-_xlfn.LET(_xlpm.avg_debt, SUM('Balance sheet'!D$35:E$35,'Balance sheet'!D$41:E$41)/2, IF(_xlpm.avg_debt=0,,E$18/_xlpm.avg_debt))</f>
        <v>#VALUE!</v>
      </c>
      <c r="F70" s="78" t="e">
        <f>-_xlfn.LET(_xlpm.avg_debt, SUM('Balance sheet'!E$35:F$35,'Balance sheet'!E$41:F$41)/2, IF(_xlpm.avg_debt=0,,F$18/_xlpm.avg_debt))</f>
        <v>#VALUE!</v>
      </c>
      <c r="G70" s="78" t="e">
        <f>-_xlfn.LET(_xlpm.avg_debt, SUM('Balance sheet'!F$35:G$35,'Balance sheet'!F$41:G$41)/2, IF(_xlpm.avg_debt=0,,G$18/_xlpm.avg_debt))</f>
        <v>#VALUE!</v>
      </c>
      <c r="H70" s="78" t="e">
        <f>-_xlfn.LET(_xlpm.avg_debt, SUM('Balance sheet'!G$35:H$35,'Balance sheet'!G$41:H$41)/2, IF(_xlpm.avg_debt=0,,H$18/_xlpm.avg_debt))</f>
        <v>#VALUE!</v>
      </c>
      <c r="I70" s="78" t="e">
        <f>-_xlfn.LET(_xlpm.avg_debt, SUM('Balance sheet'!H$35:I$35,'Balance sheet'!H$41:I$41)/2, IF(_xlpm.avg_debt=0,,I$18/_xlpm.avg_debt))</f>
        <v>#VALUE!</v>
      </c>
      <c r="J70" s="78" t="e">
        <f>-_xlfn.LET(_xlpm.avg_debt, SUM('Balance sheet'!I$35:J$35,'Balance sheet'!I$41:J$41)/2, IF(_xlpm.avg_debt=0,,J$18/_xlpm.avg_debt))</f>
        <v>#VALUE!</v>
      </c>
      <c r="K70" s="78" t="e">
        <f>-_xlfn.LET(_xlpm.avg_debt, SUM('Balance sheet'!J$35:K$35,'Balance sheet'!J$41:K$41)/2, IF(_xlpm.avg_debt=0,,K$18/_xlpm.avg_debt))</f>
        <v>#VALUE!</v>
      </c>
      <c r="L70" s="78" t="e">
        <f>-_xlfn.LET(_xlpm.avg_debt, SUM('Balance sheet'!K$35:L$35,'Balance sheet'!K$41:L$41)/2, IF(_xlpm.avg_debt=0,,L$18/_xlpm.avg_debt))</f>
        <v>#VALUE!</v>
      </c>
      <c r="M70" s="78">
        <f>-_xlfn.LET(_xlpm.avg_debt, SUM('Balance sheet'!L$35:M$35,'Balance sheet'!L$41:M$41)/2, IF(_xlpm.avg_debt=0,,M$18/_xlpm.avg_debt))</f>
        <v>3.8149689887490179E-2</v>
      </c>
      <c r="N70" s="78">
        <f>-_xlfn.LET(_xlpm.avg_debt, SUM('Balance sheet'!M$35:N$35,'Balance sheet'!M$41:N$41)/2, IF(_xlpm.avg_debt=0,,N$18/_xlpm.avg_debt))</f>
        <v>8.69442284583304E-2</v>
      </c>
      <c r="O70" s="78">
        <f>-_xlfn.LET(_xlpm.avg_debt, SUM('Balance sheet'!N$35:O$35,'Balance sheet'!N$41:O$41)/2, IF(_xlpm.avg_debt=0,,O$18/_xlpm.avg_debt))</f>
        <v>6.778057411016708E-2</v>
      </c>
      <c r="P70" s="78">
        <f>-_xlfn.LET(_xlpm.avg_debt, SUM('Balance sheet'!O$35:P$35,'Balance sheet'!O$41:P$41)/2, IF(_xlpm.avg_debt=0,,P$18/_xlpm.avg_debt))</f>
        <v>0.11481481481481481</v>
      </c>
      <c r="Q70" s="78">
        <f>-_xlfn.LET(_xlpm.avg_debt, SUM('Balance sheet'!P$35:Q$35,'Balance sheet'!P$41:Q$41)/2, IF(_xlpm.avg_debt=0,,Q$18/_xlpm.avg_debt))</f>
        <v>0</v>
      </c>
      <c r="R70" s="78">
        <f>-_xlfn.LET(_xlpm.avg_debt, SUM('Balance sheet'!Q$35:R$35,'Balance sheet'!Q$41:R$41)/2, IF(_xlpm.avg_debt=0,,R$18/_xlpm.avg_debt))</f>
        <v>0</v>
      </c>
      <c r="S70" s="78">
        <f>-_xlfn.LET(_xlpm.avg_debt, SUM('Balance sheet'!R$35:S$35,'Balance sheet'!R$41:S$41)/2, IF(_xlpm.avg_debt=0,,S$18/_xlpm.avg_debt))</f>
        <v>0</v>
      </c>
      <c r="T70" s="78">
        <f>-_xlfn.LET(_xlpm.avg_debt, SUM('Balance sheet'!S$35:T$35,'Balance sheet'!S$41:T$41)/2, IF(_xlpm.avg_debt=0,,T$18/_xlpm.avg_debt))</f>
        <v>0</v>
      </c>
      <c r="U70" s="78">
        <f>-_xlfn.LET(_xlpm.avg_debt, SUM('Balance sheet'!T$35:U$35,'Balance sheet'!T$41:U$41)/2, IF(_xlpm.avg_debt=0,,U$18/_xlpm.avg_debt))</f>
        <v>0</v>
      </c>
      <c r="V70" s="78">
        <f>-_xlfn.LET(_xlpm.avg_debt, SUM('Balance sheet'!U$35:V$35,'Balance sheet'!U$41:V$41)/2, IF(_xlpm.avg_debt=0,,V$18/_xlpm.avg_debt))</f>
        <v>0</v>
      </c>
      <c r="W70" s="34" cm="1">
        <f t="array" ref="W70">_xlfn.SWITCH(W69,,W68,W69)</f>
        <v>6.7757313713191408E-2</v>
      </c>
      <c r="X70" s="13" cm="1">
        <f t="array" ref="X70">_xlfn.SWITCH(X69,,X68,X69)</f>
        <v>6.7757313713191408E-2</v>
      </c>
      <c r="Y70" s="13" cm="1">
        <f t="array" ref="Y70">_xlfn.SWITCH(Y69,,Y68,Y69)</f>
        <v>6.7757313713191408E-2</v>
      </c>
      <c r="Z70" s="13" cm="1">
        <f t="array" ref="Z70">_xlfn.SWITCH(Z69,,Z68,Z69)</f>
        <v>6.7757313713191408E-2</v>
      </c>
      <c r="AA70" s="13" cm="1">
        <f t="array" ref="AA70">_xlfn.SWITCH(AA69,,AA68,AA69)</f>
        <v>6.7757313713191408E-2</v>
      </c>
      <c r="AB70" s="13" cm="1">
        <f t="array" ref="AB70">_xlfn.SWITCH(AB69,,AB68,AB69)</f>
        <v>6.7757313713191408E-2</v>
      </c>
    </row>
    <row r="71" spans="1:30" x14ac:dyDescent="0.35">
      <c r="D71" s="13"/>
      <c r="E71" s="13"/>
      <c r="F71" s="13"/>
      <c r="G71" s="13"/>
      <c r="H71" s="13"/>
      <c r="I71" s="13"/>
      <c r="J71" s="13"/>
      <c r="K71" s="13"/>
      <c r="L71" s="13"/>
      <c r="M71" s="13"/>
      <c r="N71" s="13"/>
      <c r="O71" s="13"/>
      <c r="P71" s="13"/>
      <c r="Q71" s="13"/>
      <c r="R71" s="13"/>
      <c r="S71" s="13"/>
      <c r="T71" s="13"/>
      <c r="U71" s="13"/>
      <c r="V71" s="13"/>
      <c r="W71" s="34"/>
      <c r="X71" s="13"/>
      <c r="Y71" s="13"/>
      <c r="Z71" s="13"/>
      <c r="AA71" s="13"/>
      <c r="AB71" s="13"/>
    </row>
    <row r="72" spans="1:30" x14ac:dyDescent="0.35">
      <c r="C72" s="13"/>
      <c r="D72" s="13"/>
      <c r="E72" s="13"/>
      <c r="F72" s="13"/>
      <c r="G72" s="13"/>
      <c r="H72" s="13"/>
      <c r="I72" s="13"/>
      <c r="J72" s="13"/>
      <c r="K72" s="13"/>
      <c r="L72" s="13"/>
      <c r="M72" s="13"/>
      <c r="N72" s="13"/>
      <c r="O72" s="13"/>
      <c r="P72" s="13"/>
      <c r="Q72" s="13"/>
      <c r="R72" s="13"/>
      <c r="S72" s="13"/>
      <c r="T72" s="13"/>
      <c r="U72" s="13"/>
      <c r="V72" s="17"/>
      <c r="W72" s="18"/>
      <c r="AD72" s="13"/>
    </row>
    <row r="73" spans="1:30" ht="20" thickBot="1" x14ac:dyDescent="0.5">
      <c r="B73" s="12" t="s">
        <v>288</v>
      </c>
      <c r="V73" s="17"/>
      <c r="W73" s="18"/>
    </row>
    <row r="74" spans="1:30" ht="15.5" thickTop="1" thickBot="1" x14ac:dyDescent="0.4">
      <c r="A74" s="58" t="str">
        <f>_xlfn.XLOOKUP($B74,'Line item mapping'!$B:$B,'Line item mapping'!$A:$A)</f>
        <v>ff_dep_amort_exp</v>
      </c>
      <c r="B74" t="s">
        <v>80</v>
      </c>
      <c r="C74" s="3" t="e" cm="1">
        <f t="array" ref="C74:V74">GET_FINANCIALS_LINE_ITEM(A74)</f>
        <v>#VALUE!</v>
      </c>
      <c r="D74" s="3" t="e">
        <v>#VALUE!</v>
      </c>
      <c r="E74" s="3" t="e">
        <v>#VALUE!</v>
      </c>
      <c r="F74" s="3" t="e">
        <v>#VALUE!</v>
      </c>
      <c r="G74" s="3" t="e">
        <v>#VALUE!</v>
      </c>
      <c r="H74" s="3" t="e">
        <v>#VALUE!</v>
      </c>
      <c r="I74" s="3" t="e">
        <v>#VALUE!</v>
      </c>
      <c r="J74" s="3" t="e">
        <v>#VALUE!</v>
      </c>
      <c r="K74" s="3" t="e">
        <v>#VALUE!</v>
      </c>
      <c r="L74" s="3">
        <v>0.68</v>
      </c>
      <c r="M74" s="3">
        <v>1.8280000000000001</v>
      </c>
      <c r="N74" s="3">
        <v>3.798</v>
      </c>
      <c r="O74" s="3">
        <v>7.2089999999999996</v>
      </c>
      <c r="P74" s="3">
        <v>11.3</v>
      </c>
      <c r="Q74" s="3">
        <v>42.293999999999997</v>
      </c>
      <c r="R74" s="3">
        <v>61.901000000000003</v>
      </c>
      <c r="S74" s="3">
        <v>82.534000000000006</v>
      </c>
      <c r="T74" s="3">
        <v>54.424999999999997</v>
      </c>
      <c r="U74" s="3">
        <v>80.418000000000006</v>
      </c>
      <c r="V74" s="29">
        <v>87.49</v>
      </c>
      <c r="W74" s="117">
        <f ca="1">-W$13</f>
        <v>65.672625228660294</v>
      </c>
      <c r="X74" s="45">
        <f t="shared" ref="X74:AB74" ca="1" si="38">-X$13</f>
        <v>85.830677010582846</v>
      </c>
      <c r="Y74" s="45">
        <f t="shared" ca="1" si="38"/>
        <v>109.0551791520905</v>
      </c>
      <c r="Z74" s="45">
        <f t="shared" ca="1" si="38"/>
        <v>134.01068955057909</v>
      </c>
      <c r="AA74" s="45">
        <f t="shared" ca="1" si="38"/>
        <v>160.72185319688626</v>
      </c>
      <c r="AB74" s="45">
        <f t="shared" ca="1" si="38"/>
        <v>187.17460448075036</v>
      </c>
    </row>
    <row r="75" spans="1:30" ht="15" thickTop="1" x14ac:dyDescent="0.35">
      <c r="B75" t="s">
        <v>258</v>
      </c>
      <c r="C75" s="3" t="e">
        <f t="shared" ref="C75:AB75" si="39">C$15*(1-C$50)</f>
        <v>#VALUE!</v>
      </c>
      <c r="D75" s="3" t="e">
        <f t="shared" si="39"/>
        <v>#VALUE!</v>
      </c>
      <c r="E75" s="3" t="e">
        <f t="shared" si="39"/>
        <v>#VALUE!</v>
      </c>
      <c r="F75" s="3" t="e">
        <f t="shared" si="39"/>
        <v>#VALUE!</v>
      </c>
      <c r="G75" s="3" t="e">
        <f t="shared" si="39"/>
        <v>#VALUE!</v>
      </c>
      <c r="H75" s="3" t="e">
        <f t="shared" si="39"/>
        <v>#VALUE!</v>
      </c>
      <c r="I75" s="3" t="e">
        <f t="shared" si="39"/>
        <v>#VALUE!</v>
      </c>
      <c r="J75" s="3" t="e">
        <f t="shared" si="39"/>
        <v>#VALUE!</v>
      </c>
      <c r="K75" s="3" t="e">
        <f t="shared" si="39"/>
        <v>#VALUE!</v>
      </c>
      <c r="L75" s="3">
        <f t="shared" si="39"/>
        <v>-4.0509013785790587E-3</v>
      </c>
      <c r="M75" s="3">
        <f t="shared" si="39"/>
        <v>20.560887020736491</v>
      </c>
      <c r="N75" s="3">
        <f t="shared" si="39"/>
        <v>26.876024912168639</v>
      </c>
      <c r="O75" s="3">
        <f t="shared" si="39"/>
        <v>56.57120766994106</v>
      </c>
      <c r="P75" s="3">
        <f t="shared" si="39"/>
        <v>89.462054153229218</v>
      </c>
      <c r="Q75" s="3">
        <f t="shared" si="39"/>
        <v>104.56759876097057</v>
      </c>
      <c r="R75" s="3">
        <f t="shared" si="39"/>
        <v>242.83058682584797</v>
      </c>
      <c r="S75" s="3">
        <f t="shared" si="39"/>
        <v>140.9013697105772</v>
      </c>
      <c r="T75" s="3">
        <f t="shared" si="39"/>
        <v>47.636168564026065</v>
      </c>
      <c r="U75" s="3">
        <f t="shared" si="39"/>
        <v>133.8603003787384</v>
      </c>
      <c r="V75" s="29">
        <f t="shared" si="39"/>
        <v>330.98449383601871</v>
      </c>
      <c r="W75" s="30">
        <f t="shared" si="39"/>
        <v>162.11494140553151</v>
      </c>
      <c r="X75" s="3">
        <f t="shared" si="39"/>
        <v>195.7364961038603</v>
      </c>
      <c r="Y75" s="3">
        <f t="shared" si="39"/>
        <v>227.77790601882836</v>
      </c>
      <c r="Z75" s="3">
        <f t="shared" si="39"/>
        <v>255.11125474108778</v>
      </c>
      <c r="AA75" s="3">
        <f t="shared" si="39"/>
        <v>285.72460531001832</v>
      </c>
      <c r="AB75" s="3">
        <f t="shared" si="39"/>
        <v>320.01155794722052</v>
      </c>
    </row>
    <row r="76" spans="1:30" x14ac:dyDescent="0.35">
      <c r="B76" t="s">
        <v>372</v>
      </c>
      <c r="C76" s="3"/>
      <c r="D76" s="3"/>
      <c r="E76" s="3"/>
      <c r="F76" s="3"/>
      <c r="G76" s="3"/>
      <c r="H76" s="3"/>
      <c r="I76" s="3"/>
      <c r="J76" s="3"/>
      <c r="K76" s="3"/>
      <c r="L76" s="3"/>
      <c r="M76" s="3"/>
      <c r="N76" s="3"/>
      <c r="O76" s="3"/>
      <c r="P76" s="3"/>
      <c r="Q76" s="3"/>
      <c r="R76" s="3"/>
      <c r="S76" s="3"/>
      <c r="T76" s="3"/>
      <c r="U76" s="3"/>
      <c r="V76" s="29"/>
      <c r="W76" s="30">
        <f>'Balance sheet'!V$11+W$15*(1-W$50)*(1-W$54)*(1-W$58)/2</f>
        <v>2002.5464707027659</v>
      </c>
      <c r="X76" s="3">
        <f ca="1">'Balance sheet'!W$11+X$15*(1-X$50)*(1-X$54)*(1-X$58)/2</f>
        <v>1725.3109376385405</v>
      </c>
      <c r="Y76" s="3">
        <f ca="1">'Balance sheet'!X$11+Y$15*(1-Y$50)*(1-Y$54)*(1-Y$58)/2</f>
        <v>1676.2526286697764</v>
      </c>
      <c r="Z76" s="3">
        <f ca="1">'Balance sheet'!Y$11+Z$15*(1-Z$50)*(1-Z$54)*(1-Z$58)/2</f>
        <v>1653.1682810506725</v>
      </c>
      <c r="AA76" s="3">
        <f ca="1">'Balance sheet'!Z$11+AA$15*(1-AA$50)*(1-AA$54)*(1-AA$58)/2</f>
        <v>1681.6840478937308</v>
      </c>
      <c r="AB76" s="3">
        <f ca="1">'Balance sheet'!AA$11+AB$15*(1-AB$50)*(1-AB$54)*(1-AB$58)/2</f>
        <v>1717.9659074505362</v>
      </c>
    </row>
    <row r="77" spans="1:30" x14ac:dyDescent="0.35">
      <c r="B77" t="s">
        <v>373</v>
      </c>
      <c r="C77" s="3"/>
      <c r="D77" s="3" t="e">
        <f>'Balance sheet'!C$35+'Balance sheet'!C$41</f>
        <v>#VALUE!</v>
      </c>
      <c r="E77" s="3" t="e">
        <f>'Balance sheet'!D$35+'Balance sheet'!D$41</f>
        <v>#VALUE!</v>
      </c>
      <c r="F77" s="3" t="e">
        <f>'Balance sheet'!E$35+'Balance sheet'!E$41</f>
        <v>#VALUE!</v>
      </c>
      <c r="G77" s="3" t="e">
        <f>'Balance sheet'!F$35+'Balance sheet'!F$41</f>
        <v>#VALUE!</v>
      </c>
      <c r="H77" s="3" t="e">
        <f>'Balance sheet'!G$35+'Balance sheet'!G$41</f>
        <v>#VALUE!</v>
      </c>
      <c r="I77" s="3" t="e">
        <f>'Balance sheet'!H$35+'Balance sheet'!H$41</f>
        <v>#VALUE!</v>
      </c>
      <c r="J77" s="3" t="e">
        <f>'Balance sheet'!I$35+'Balance sheet'!I$41</f>
        <v>#VALUE!</v>
      </c>
      <c r="K77" s="3" t="e">
        <f>'Balance sheet'!J$35+'Balance sheet'!J$41</f>
        <v>#VALUE!</v>
      </c>
      <c r="L77" s="3" t="e">
        <f>'Balance sheet'!K$35+'Balance sheet'!K$41</f>
        <v>#VALUE!</v>
      </c>
      <c r="M77" s="3">
        <f>'Balance sheet'!L$35+'Balance sheet'!L$41</f>
        <v>14.929</v>
      </c>
      <c r="N77" s="3">
        <f>'Balance sheet'!M$35+'Balance sheet'!M$41</f>
        <v>44.887999999999998</v>
      </c>
      <c r="O77" s="3">
        <f>'Balance sheet'!N$35+'Balance sheet'!N$41</f>
        <v>25.847000000000001</v>
      </c>
      <c r="P77" s="3">
        <f>'Balance sheet'!O$35+'Balance sheet'!O$41</f>
        <v>27</v>
      </c>
      <c r="Q77" s="3">
        <f>'Balance sheet'!P$35+'Balance sheet'!P$41</f>
        <v>0</v>
      </c>
      <c r="R77" s="3">
        <f>'Balance sheet'!Q$35+'Balance sheet'!Q$41</f>
        <v>0</v>
      </c>
      <c r="S77" s="3">
        <f>'Balance sheet'!R$35+'Balance sheet'!R$41</f>
        <v>0</v>
      </c>
      <c r="T77" s="3">
        <f>'Balance sheet'!S$35+'Balance sheet'!S$41</f>
        <v>0</v>
      </c>
      <c r="U77" s="3">
        <f>'Balance sheet'!T$35+'Balance sheet'!T$41</f>
        <v>0</v>
      </c>
      <c r="V77" s="29">
        <f>'Balance sheet'!U$35+'Balance sheet'!U$41</f>
        <v>0</v>
      </c>
      <c r="W77" s="30">
        <f>'Balance sheet'!V$35+'Balance sheet'!V$41</f>
        <v>0</v>
      </c>
      <c r="X77" s="3">
        <f>'Balance sheet'!W$35+'Balance sheet'!W$41</f>
        <v>0</v>
      </c>
      <c r="Y77" s="3">
        <f>'Balance sheet'!X$35+'Balance sheet'!X$41</f>
        <v>0</v>
      </c>
      <c r="Z77" s="3">
        <f>'Balance sheet'!Y$35+'Balance sheet'!Y$41</f>
        <v>0</v>
      </c>
      <c r="AA77" s="3">
        <f>'Balance sheet'!Z$35+'Balance sheet'!Z$41</f>
        <v>0</v>
      </c>
      <c r="AB77" s="3">
        <f>'Balance sheet'!AA$35+'Balance sheet'!AA$41</f>
        <v>0</v>
      </c>
    </row>
    <row r="78" spans="1:30" x14ac:dyDescent="0.35">
      <c r="C78" s="3"/>
      <c r="D78" s="3"/>
      <c r="E78" s="3"/>
      <c r="F78" s="3"/>
      <c r="G78" s="3"/>
      <c r="H78" s="3"/>
      <c r="I78" s="3"/>
      <c r="J78" s="3"/>
      <c r="K78" s="3"/>
      <c r="L78" s="3"/>
      <c r="M78" s="3"/>
      <c r="N78" s="3"/>
      <c r="O78" s="3"/>
      <c r="P78" s="3"/>
      <c r="Q78" s="3"/>
      <c r="R78" s="3"/>
      <c r="S78" s="3"/>
      <c r="T78" s="3"/>
      <c r="U78" s="3"/>
      <c r="V78" s="29"/>
      <c r="W78" s="30"/>
      <c r="X78" s="3"/>
      <c r="Y78" s="3"/>
      <c r="Z78" s="3"/>
      <c r="AA78" s="3"/>
      <c r="AB78" s="3"/>
    </row>
    <row r="79" spans="1:30" x14ac:dyDescent="0.35">
      <c r="V79" s="17"/>
      <c r="W79" s="18"/>
    </row>
    <row r="80" spans="1:30" ht="20" thickBot="1" x14ac:dyDescent="0.5">
      <c r="B80" s="12" t="s">
        <v>103</v>
      </c>
      <c r="V80" s="17"/>
      <c r="W80" s="18"/>
    </row>
    <row r="81" spans="1:28" ht="18" thickTop="1" thickBot="1" x14ac:dyDescent="0.45">
      <c r="B81" s="14" t="s">
        <v>282</v>
      </c>
      <c r="V81" s="17"/>
      <c r="W81" s="18"/>
    </row>
    <row r="82" spans="1:28" ht="15" thickTop="1" x14ac:dyDescent="0.35">
      <c r="B82" t="s">
        <v>475</v>
      </c>
      <c r="C82" s="2"/>
      <c r="D82" s="2" t="e">
        <f>D$7/D$36</f>
        <v>#VALUE!</v>
      </c>
      <c r="E82" s="2" t="e">
        <f t="shared" ref="E82:AB82" si="40">E$7/E$36</f>
        <v>#VALUE!</v>
      </c>
      <c r="F82" s="2" t="e">
        <f t="shared" si="40"/>
        <v>#VALUE!</v>
      </c>
      <c r="G82" s="2" t="e">
        <f t="shared" si="40"/>
        <v>#VALUE!</v>
      </c>
      <c r="H82" s="2" t="e">
        <f t="shared" si="40"/>
        <v>#VALUE!</v>
      </c>
      <c r="I82" s="2" t="e">
        <f t="shared" si="40"/>
        <v>#VALUE!</v>
      </c>
      <c r="J82" s="2" t="e">
        <f t="shared" si="40"/>
        <v>#VALUE!</v>
      </c>
      <c r="K82" s="2" t="e">
        <f t="shared" si="40"/>
        <v>#VALUE!</v>
      </c>
      <c r="L82" s="2" t="e">
        <f t="shared" si="40"/>
        <v>#VALUE!</v>
      </c>
      <c r="M82" s="2">
        <f t="shared" si="40"/>
        <v>0.28730778874188972</v>
      </c>
      <c r="N82" s="2">
        <f t="shared" si="40"/>
        <v>0.69892549410008864</v>
      </c>
      <c r="O82" s="2">
        <f t="shared" si="40"/>
        <v>0.98888924537987677</v>
      </c>
      <c r="P82" s="2">
        <f t="shared" si="40"/>
        <v>1.0624358646173022</v>
      </c>
      <c r="Q82" s="2">
        <f t="shared" si="40"/>
        <v>1.4125321851729185</v>
      </c>
      <c r="R82" s="2">
        <f t="shared" si="40"/>
        <v>1.7274479823129532</v>
      </c>
      <c r="S82" s="2">
        <f t="shared" si="40"/>
        <v>2.42096881892313</v>
      </c>
      <c r="T82" s="2">
        <f t="shared" si="40"/>
        <v>3.1604412773607486</v>
      </c>
      <c r="U82" s="2">
        <f t="shared" si="40"/>
        <v>3.8918235748774879</v>
      </c>
      <c r="V82" s="31">
        <f t="shared" si="40"/>
        <v>4.8793860130565037</v>
      </c>
      <c r="W82" s="136">
        <f t="shared" si="40"/>
        <v>6.2958419186586205</v>
      </c>
      <c r="X82" s="137">
        <f t="shared" si="40"/>
        <v>7.6015574289316881</v>
      </c>
      <c r="Y82" s="137">
        <f t="shared" si="40"/>
        <v>8.8459069622110214</v>
      </c>
      <c r="Z82" s="137">
        <f t="shared" si="40"/>
        <v>9.9074157976763466</v>
      </c>
      <c r="AA82" s="137">
        <f t="shared" si="40"/>
        <v>11.096305693397507</v>
      </c>
      <c r="AB82" s="137">
        <f t="shared" si="40"/>
        <v>12.42786237660521</v>
      </c>
    </row>
    <row r="83" spans="1:28" x14ac:dyDescent="0.35">
      <c r="A83" s="58" t="str">
        <f>_xlfn.XLOOKUP($B83,'Line item mapping'!$B:$B,'Line item mapping'!$A:$A)</f>
        <v>ff_eps_secs</v>
      </c>
      <c r="B83" t="s">
        <v>98</v>
      </c>
      <c r="C83" s="2" t="e" cm="1">
        <f t="array" ref="C83:V83">GET_FINANCIALS_LINE_ITEM(A83)</f>
        <v>#VALUE!</v>
      </c>
      <c r="D83" s="2" t="e">
        <v>#VALUE!</v>
      </c>
      <c r="E83" s="2" t="e">
        <v>#VALUE!</v>
      </c>
      <c r="F83" s="2" t="e">
        <v>#VALUE!</v>
      </c>
      <c r="G83" s="2" t="e">
        <v>#VALUE!</v>
      </c>
      <c r="H83" s="2" t="e">
        <v>#VALUE!</v>
      </c>
      <c r="I83" s="2" t="e">
        <v>#VALUE!</v>
      </c>
      <c r="J83" s="2" t="e">
        <v>#VALUE!</v>
      </c>
      <c r="K83" s="2" t="e">
        <v>#VALUE!</v>
      </c>
      <c r="L83" s="2">
        <v>0</v>
      </c>
      <c r="M83" s="2">
        <v>1.6799999999999999E-2</v>
      </c>
      <c r="N83" s="2">
        <v>-0.14599999999999999</v>
      </c>
      <c r="O83" s="2">
        <v>0.115</v>
      </c>
      <c r="P83" s="2">
        <v>0.1925</v>
      </c>
      <c r="Q83" s="2">
        <v>0.2266</v>
      </c>
      <c r="R83" s="2">
        <v>0.49459999999999998</v>
      </c>
      <c r="S83" s="2">
        <v>0.27629999999999999</v>
      </c>
      <c r="T83" s="2">
        <v>0.10680000000000001</v>
      </c>
      <c r="U83" s="2">
        <v>0.35780000000000001</v>
      </c>
      <c r="V83" s="31">
        <v>0.78310000000000002</v>
      </c>
      <c r="W83" s="40"/>
      <c r="X83" s="38"/>
      <c r="Y83" s="38"/>
      <c r="Z83" s="38"/>
      <c r="AA83" s="38"/>
      <c r="AB83" s="38"/>
    </row>
    <row r="84" spans="1:28" x14ac:dyDescent="0.35">
      <c r="B84" t="s">
        <v>99</v>
      </c>
      <c r="C84" s="2"/>
      <c r="D84" s="2" t="e">
        <f>D$28/D$36</f>
        <v>#VALUE!</v>
      </c>
      <c r="E84" s="2" t="e">
        <f t="shared" ref="E84:AB84" si="41">E$28/E$36</f>
        <v>#VALUE!</v>
      </c>
      <c r="F84" s="2" t="e">
        <f t="shared" si="41"/>
        <v>#VALUE!</v>
      </c>
      <c r="G84" s="2" t="e">
        <f t="shared" si="41"/>
        <v>#VALUE!</v>
      </c>
      <c r="H84" s="2" t="e">
        <f t="shared" si="41"/>
        <v>#VALUE!</v>
      </c>
      <c r="I84" s="2" t="e">
        <f t="shared" si="41"/>
        <v>#VALUE!</v>
      </c>
      <c r="J84" s="2" t="e">
        <f t="shared" si="41"/>
        <v>#VALUE!</v>
      </c>
      <c r="K84" s="2" t="e">
        <f t="shared" si="41"/>
        <v>#VALUE!</v>
      </c>
      <c r="L84" s="2" t="e">
        <f t="shared" si="41"/>
        <v>#VALUE!</v>
      </c>
      <c r="M84" s="2">
        <f t="shared" si="41"/>
        <v>2.2278078270449031E-2</v>
      </c>
      <c r="N84" s="2">
        <f t="shared" si="41"/>
        <v>-9.2054156100317711E-2</v>
      </c>
      <c r="O84" s="2">
        <f t="shared" si="41"/>
        <v>0.16298126283367556</v>
      </c>
      <c r="P84" s="2">
        <f t="shared" si="41"/>
        <v>0.19619583968658524</v>
      </c>
      <c r="Q84" s="2">
        <f t="shared" si="41"/>
        <v>0.23145119071784953</v>
      </c>
      <c r="R84" s="2">
        <f t="shared" si="41"/>
        <v>0.50068599293344629</v>
      </c>
      <c r="S84" s="2">
        <f t="shared" si="41"/>
        <v>0.27875194755265981</v>
      </c>
      <c r="T84" s="2">
        <f t="shared" si="41"/>
        <v>0.10693414391090324</v>
      </c>
      <c r="U84" s="2">
        <f t="shared" si="41"/>
        <v>0.35784171093692974</v>
      </c>
      <c r="V84" s="31">
        <f t="shared" si="41"/>
        <v>0.78449984332994716</v>
      </c>
      <c r="W84" s="32">
        <f t="shared" si="41"/>
        <v>0.47062378147819395</v>
      </c>
      <c r="X84" s="2">
        <f t="shared" ca="1" si="41"/>
        <v>0.51717007804924986</v>
      </c>
      <c r="Y84" s="2">
        <f t="shared" ca="1" si="41"/>
        <v>0.5773904527535032</v>
      </c>
      <c r="Z84" s="2">
        <f t="shared" ca="1" si="41"/>
        <v>0.63014571693445998</v>
      </c>
      <c r="AA84" s="2">
        <f t="shared" ca="1" si="41"/>
        <v>0.6932400317142593</v>
      </c>
      <c r="AB84" s="2">
        <f t="shared" ca="1" si="41"/>
        <v>0.76422593832516394</v>
      </c>
    </row>
    <row r="85" spans="1:28" x14ac:dyDescent="0.35">
      <c r="B85" t="s">
        <v>409</v>
      </c>
      <c r="C85" s="2"/>
      <c r="D85" s="2" t="e">
        <f>'Cash flow statement'!D$55/'Income statement'!D$36</f>
        <v>#VALUE!</v>
      </c>
      <c r="E85" s="2" t="e">
        <f>'Cash flow statement'!E$55/'Income statement'!E$36</f>
        <v>#VALUE!</v>
      </c>
      <c r="F85" s="2" t="e">
        <f>'Cash flow statement'!F$55/'Income statement'!F$36</f>
        <v>#VALUE!</v>
      </c>
      <c r="G85" s="2" t="e">
        <f>'Cash flow statement'!G$55/'Income statement'!G$36</f>
        <v>#VALUE!</v>
      </c>
      <c r="H85" s="2" t="e">
        <f>'Cash flow statement'!H$55/'Income statement'!H$36</f>
        <v>#VALUE!</v>
      </c>
      <c r="I85" s="2" t="e">
        <f>'Cash flow statement'!I$55/'Income statement'!I$36</f>
        <v>#VALUE!</v>
      </c>
      <c r="J85" s="2" t="e">
        <f>'Cash flow statement'!J$55/'Income statement'!J$36</f>
        <v>#VALUE!</v>
      </c>
      <c r="K85" s="2" t="e">
        <f>'Cash flow statement'!K$55/'Income statement'!K$36</f>
        <v>#VALUE!</v>
      </c>
      <c r="L85" s="2" t="e">
        <f>'Cash flow statement'!L$55/'Income statement'!L$36</f>
        <v>#VALUE!</v>
      </c>
      <c r="M85" s="2">
        <f>'Cash flow statement'!M$55/'Income statement'!M$36</f>
        <v>4.652911360794483E-2</v>
      </c>
      <c r="N85" s="2">
        <f>'Cash flow statement'!N$55/'Income statement'!N$36</f>
        <v>0.11027073228225286</v>
      </c>
      <c r="O85" s="2">
        <f>'Cash flow statement'!O$55/'Income statement'!O$36</f>
        <v>0.21660356776180698</v>
      </c>
      <c r="P85" s="2">
        <f>'Cash flow statement'!P$55/'Income statement'!P$36</f>
        <v>0.2595933176774366</v>
      </c>
      <c r="Q85" s="2">
        <f>'Cash flow statement'!Q$55/'Income statement'!Q$36</f>
        <v>0.38952339234393535</v>
      </c>
      <c r="R85" s="2">
        <f>'Cash flow statement'!R$55/'Income statement'!R$36</f>
        <v>0.64053557038659414</v>
      </c>
      <c r="S85" s="2">
        <f>'Cash flow statement'!S$55/'Income statement'!S$36</f>
        <v>0.98398251755326682</v>
      </c>
      <c r="T85" s="2">
        <f>'Cash flow statement'!T$55/'Income statement'!T$36</f>
        <v>1.1036941705517971</v>
      </c>
      <c r="U85" s="2">
        <f>'Cash flow statement'!U$55/'Income statement'!U$36</f>
        <v>1.3316535130741012</v>
      </c>
      <c r="V85" s="31">
        <f>'Cash flow statement'!V$55/'Income statement'!V$36</f>
        <v>1.6798123152640538</v>
      </c>
      <c r="W85" s="32">
        <f ca="1">'Cash flow statement'!W$55/'Income statement'!W$36</f>
        <v>-0.58583831499069516</v>
      </c>
      <c r="X85" s="2">
        <f ca="1">'Cash flow statement'!X$55/'Income statement'!X$36</f>
        <v>-0.12965909963709252</v>
      </c>
      <c r="Y85" s="2">
        <f ca="1">'Cash flow statement'!Y$55/'Income statement'!Y$36</f>
        <v>-7.3220292275790161E-2</v>
      </c>
      <c r="Z85" s="2">
        <f ca="1">'Cash flow statement'!Z$55/'Income statement'!Z$36</f>
        <v>2.6316915625857591E-2</v>
      </c>
      <c r="AA85" s="2">
        <f ca="1">'Cash flow statement'!AA$55/'Income statement'!AA$36</f>
        <v>3.8130042074506265E-2</v>
      </c>
      <c r="AB85" s="2">
        <f ca="1">'Cash flow statement'!AB$55/'Income statement'!AB$36</f>
        <v>4.4780068606841666E-2</v>
      </c>
    </row>
    <row r="86" spans="1:28" x14ac:dyDescent="0.35">
      <c r="B86" t="s">
        <v>410</v>
      </c>
      <c r="C86" s="2"/>
      <c r="D86" s="2" t="e">
        <f>'Cash flow statement'!D$56/'Income statement'!D$36</f>
        <v>#VALUE!</v>
      </c>
      <c r="E86" s="2" t="e">
        <f>'Cash flow statement'!E$56/'Income statement'!E$36</f>
        <v>#VALUE!</v>
      </c>
      <c r="F86" s="2" t="e">
        <f>'Cash flow statement'!F$56/'Income statement'!F$36</f>
        <v>#VALUE!</v>
      </c>
      <c r="G86" s="2" t="e">
        <f>'Cash flow statement'!G$56/'Income statement'!G$36</f>
        <v>#VALUE!</v>
      </c>
      <c r="H86" s="2" t="e">
        <f>'Cash flow statement'!H$56/'Income statement'!H$36</f>
        <v>#VALUE!</v>
      </c>
      <c r="I86" s="2" t="e">
        <f>'Cash flow statement'!I$56/'Income statement'!I$36</f>
        <v>#VALUE!</v>
      </c>
      <c r="J86" s="2" t="e">
        <f>'Cash flow statement'!J$56/'Income statement'!J$36</f>
        <v>#VALUE!</v>
      </c>
      <c r="K86" s="2" t="e">
        <f>'Cash flow statement'!K$56/'Income statement'!K$36</f>
        <v>#VALUE!</v>
      </c>
      <c r="L86" s="2" t="e">
        <f>'Cash flow statement'!L$56/'Income statement'!L$36</f>
        <v>#VALUE!</v>
      </c>
      <c r="M86" s="2">
        <f>'Cash flow statement'!M$56/'Income statement'!M$36</f>
        <v>0.16695929264286571</v>
      </c>
      <c r="N86" s="2">
        <f>'Cash flow statement'!N$56/'Income statement'!N$36</f>
        <v>3.8243960631530009E-2</v>
      </c>
      <c r="O86" s="2">
        <f>'Cash flow statement'!O$56/'Income statement'!O$36</f>
        <v>0.34440531955852166</v>
      </c>
      <c r="P86" s="2">
        <f>'Cash flow statement'!P$56/'Income statement'!P$36</f>
        <v>0.35379970839964814</v>
      </c>
      <c r="Q86" s="2">
        <f>'Cash flow statement'!Q$56/'Income statement'!Q$36</f>
        <v>0.60129007788544753</v>
      </c>
      <c r="R86" s="2">
        <f>'Cash flow statement'!R$56/'Income statement'!R$36</f>
        <v>0.54425532574333113</v>
      </c>
      <c r="S86" s="2">
        <f>'Cash flow statement'!S$56/'Income statement'!S$36</f>
        <v>1.1803671516157102</v>
      </c>
      <c r="T86" s="2">
        <f>'Cash flow statement'!T$56/'Income statement'!T$36</f>
        <v>1.2700595413960429</v>
      </c>
      <c r="U86" s="2">
        <f>'Cash flow statement'!U$56/'Income statement'!U$36</f>
        <v>1.4474696207505797</v>
      </c>
      <c r="V86" s="31">
        <f>'Cash flow statement'!V$56/'Income statement'!V$36</f>
        <v>1.8985541449706913</v>
      </c>
      <c r="W86" s="32">
        <f ca="1">'Cash flow statement'!W$56/'Income statement'!W$36</f>
        <v>7.9318523322971707E-2</v>
      </c>
      <c r="X86" s="2">
        <f ca="1">'Cash flow statement'!X$56/'Income statement'!X$36</f>
        <v>0.22494860778846035</v>
      </c>
      <c r="Y86" s="2">
        <f ca="1">'Cash flow statement'!Y$56/'Income statement'!Y$36</f>
        <v>0.26472157313098599</v>
      </c>
      <c r="Z86" s="2">
        <f ca="1">'Cash flow statement'!Z$56/'Income statement'!Z$36</f>
        <v>0.3146026957937022</v>
      </c>
      <c r="AA86" s="2">
        <f ca="1">'Cash flow statement'!AA$56/'Income statement'!AA$36</f>
        <v>0.36101011586249215</v>
      </c>
      <c r="AB86" s="2">
        <f ca="1">'Cash flow statement'!AB$56/'Income statement'!AB$36</f>
        <v>0.40640575124938622</v>
      </c>
    </row>
    <row r="87" spans="1:28" x14ac:dyDescent="0.35">
      <c r="B87" t="s">
        <v>100</v>
      </c>
      <c r="C87" s="2"/>
      <c r="D87" s="2" t="e">
        <f>-D$32/D$36</f>
        <v>#VALUE!</v>
      </c>
      <c r="E87" s="2" t="e">
        <f t="shared" ref="E87:AB87" si="42">-E$32/E$36</f>
        <v>#VALUE!</v>
      </c>
      <c r="F87" s="2" t="e">
        <f t="shared" si="42"/>
        <v>#VALUE!</v>
      </c>
      <c r="G87" s="2" t="e">
        <f t="shared" si="42"/>
        <v>#VALUE!</v>
      </c>
      <c r="H87" s="2" t="e">
        <f t="shared" si="42"/>
        <v>#VALUE!</v>
      </c>
      <c r="I87" s="2" t="e">
        <f t="shared" si="42"/>
        <v>#VALUE!</v>
      </c>
      <c r="J87" s="2" t="e">
        <f t="shared" si="42"/>
        <v>#VALUE!</v>
      </c>
      <c r="K87" s="2" t="e">
        <f t="shared" si="42"/>
        <v>#VALUE!</v>
      </c>
      <c r="L87" s="2" t="e">
        <f t="shared" si="42"/>
        <v>#VALUE!</v>
      </c>
      <c r="M87" s="2">
        <f t="shared" si="42"/>
        <v>0</v>
      </c>
      <c r="N87" s="2">
        <f t="shared" si="42"/>
        <v>0</v>
      </c>
      <c r="O87" s="2">
        <f t="shared" si="42"/>
        <v>0</v>
      </c>
      <c r="P87" s="2">
        <f t="shared" si="42"/>
        <v>0</v>
      </c>
      <c r="Q87" s="2">
        <f t="shared" si="42"/>
        <v>0</v>
      </c>
      <c r="R87" s="2">
        <f t="shared" si="42"/>
        <v>0</v>
      </c>
      <c r="S87" s="2">
        <f t="shared" si="42"/>
        <v>0</v>
      </c>
      <c r="T87" s="2">
        <f t="shared" si="42"/>
        <v>0</v>
      </c>
      <c r="U87" s="2">
        <f t="shared" si="42"/>
        <v>0</v>
      </c>
      <c r="V87" s="31">
        <f t="shared" si="42"/>
        <v>0</v>
      </c>
      <c r="W87" s="32">
        <f t="shared" ca="1" si="42"/>
        <v>0</v>
      </c>
      <c r="X87" s="2">
        <f t="shared" ca="1" si="42"/>
        <v>0</v>
      </c>
      <c r="Y87" s="2">
        <f t="shared" ca="1" si="42"/>
        <v>0</v>
      </c>
      <c r="Z87" s="2">
        <f t="shared" ca="1" si="42"/>
        <v>0</v>
      </c>
      <c r="AA87" s="2">
        <f t="shared" ca="1" si="42"/>
        <v>0</v>
      </c>
      <c r="AB87" s="2">
        <f t="shared" ca="1" si="42"/>
        <v>0</v>
      </c>
    </row>
    <row r="88" spans="1:28" x14ac:dyDescent="0.35">
      <c r="B88" t="s">
        <v>284</v>
      </c>
      <c r="C88" s="2"/>
      <c r="D88" s="2" t="e">
        <f>'Cash flow statement'!D$52/D$36</f>
        <v>#VALUE!</v>
      </c>
      <c r="E88" s="2" t="e">
        <f>'Cash flow statement'!E$52/E$36</f>
        <v>#VALUE!</v>
      </c>
      <c r="F88" s="2" t="e">
        <f>'Cash flow statement'!F$52/F$36</f>
        <v>#VALUE!</v>
      </c>
      <c r="G88" s="2" t="e">
        <f>'Cash flow statement'!G$52/G$36</f>
        <v>#VALUE!</v>
      </c>
      <c r="H88" s="2" t="e">
        <f>'Cash flow statement'!H$52/H$36</f>
        <v>#VALUE!</v>
      </c>
      <c r="I88" s="2" t="e">
        <f>'Cash flow statement'!I$52/I$36</f>
        <v>#VALUE!</v>
      </c>
      <c r="J88" s="2" t="e">
        <f>'Cash flow statement'!J$52/J$36</f>
        <v>#VALUE!</v>
      </c>
      <c r="K88" s="2" t="e">
        <f>'Cash flow statement'!K$52/K$36</f>
        <v>#VALUE!</v>
      </c>
      <c r="L88" s="2" t="e">
        <f>'Cash flow statement'!L$52/L$36</f>
        <v>#VALUE!</v>
      </c>
      <c r="M88" s="2">
        <f>'Cash flow statement'!M$52/M$36</f>
        <v>-1.5079926627109002E-5</v>
      </c>
      <c r="N88" s="2">
        <f>'Cash flow statement'!N$52/N$36</f>
        <v>-0.29061449205958423</v>
      </c>
      <c r="O88" s="2">
        <f>'Cash flow statement'!O$52/O$36</f>
        <v>-3.0678901437371661E-2</v>
      </c>
      <c r="P88" s="2">
        <f>'Cash flow statement'!P$52/P$36</f>
        <v>-3.8172934590256988E-2</v>
      </c>
      <c r="Q88" s="2">
        <f>'Cash flow statement'!Q$52/Q$36</f>
        <v>-9.9616448893684761E-2</v>
      </c>
      <c r="R88" s="2">
        <f>'Cash flow statement'!R$52/R$36</f>
        <v>-0.20211376738227574</v>
      </c>
      <c r="S88" s="2">
        <f>'Cash flow statement'!S$52/S$36</f>
        <v>-0.18353533922826326</v>
      </c>
      <c r="T88" s="2">
        <f>'Cash flow statement'!T$52/T$36</f>
        <v>-0.16142178243603933</v>
      </c>
      <c r="U88" s="2">
        <f>'Cash flow statement'!U$52/U$36</f>
        <v>1.0950628282773742</v>
      </c>
      <c r="V88" s="31">
        <f>'Cash flow statement'!V$52/V$36</f>
        <v>-6.283965967672081E-2</v>
      </c>
      <c r="W88" s="32">
        <f ca="1">'Cash flow statement'!W$52/W$36</f>
        <v>0</v>
      </c>
      <c r="X88" s="2">
        <f ca="1">'Cash flow statement'!X$52/X$36</f>
        <v>0</v>
      </c>
      <c r="Y88" s="2">
        <f ca="1">'Cash flow statement'!Y$52/Y$36</f>
        <v>0</v>
      </c>
      <c r="Z88" s="2">
        <f ca="1">'Cash flow statement'!Z$52/Z$36</f>
        <v>0</v>
      </c>
      <c r="AA88" s="2">
        <f ca="1">'Cash flow statement'!AA$52/AA$36</f>
        <v>0</v>
      </c>
      <c r="AB88" s="2">
        <f ca="1">'Cash flow statement'!AB$52/AB$36</f>
        <v>0</v>
      </c>
    </row>
    <row r="89" spans="1:28" x14ac:dyDescent="0.35">
      <c r="B89" t="s">
        <v>251</v>
      </c>
      <c r="C89" s="2" t="e">
        <f>'Balance sheet'!C$62/'Income statement'!C$35</f>
        <v>#VALUE!</v>
      </c>
      <c r="D89" s="2" t="e">
        <f>'Balance sheet'!D$62/'Income statement'!D$35</f>
        <v>#VALUE!</v>
      </c>
      <c r="E89" s="2" t="e">
        <f>'Balance sheet'!E$62/'Income statement'!E$35</f>
        <v>#VALUE!</v>
      </c>
      <c r="F89" s="2" t="e">
        <f>'Balance sheet'!F$62/'Income statement'!F$35</f>
        <v>#VALUE!</v>
      </c>
      <c r="G89" s="2" t="e">
        <f>'Balance sheet'!G$62/'Income statement'!G$35</f>
        <v>#VALUE!</v>
      </c>
      <c r="H89" s="2" t="e">
        <f>'Balance sheet'!H$62/'Income statement'!H$35</f>
        <v>#VALUE!</v>
      </c>
      <c r="I89" s="2" t="e">
        <f>'Balance sheet'!I$62/'Income statement'!I$35</f>
        <v>#VALUE!</v>
      </c>
      <c r="J89" s="2" t="e">
        <f>'Balance sheet'!J$62/'Income statement'!J$35</f>
        <v>#VALUE!</v>
      </c>
      <c r="K89" s="2" t="e">
        <f>'Balance sheet'!K$62/'Income statement'!K$35</f>
        <v>#VALUE!</v>
      </c>
      <c r="L89" s="2">
        <f>'Balance sheet'!L$62/'Income statement'!L$35</f>
        <v>5.4956279271394237E-2</v>
      </c>
      <c r="M89" s="2">
        <f>'Balance sheet'!M$62/'Income statement'!M$35</f>
        <v>9.7099647551954896E-2</v>
      </c>
      <c r="N89" s="2">
        <f>'Balance sheet'!N$62/'Income statement'!N$35</f>
        <v>0.8841356673960612</v>
      </c>
      <c r="O89" s="2">
        <f>'Balance sheet'!O$62/'Income statement'!O$35</f>
        <v>0.5474487016524423</v>
      </c>
      <c r="P89" s="2">
        <f>'Balance sheet'!P$62/'Income statement'!P$35</f>
        <v>0.84394121372262165</v>
      </c>
      <c r="Q89" s="2">
        <f>'Balance sheet'!Q$62/'Income statement'!Q$35</f>
        <v>1.2622578755804712</v>
      </c>
      <c r="R89" s="2">
        <f>'Balance sheet'!R$62/'Income statement'!R$35</f>
        <v>2.044663999346779</v>
      </c>
      <c r="S89" s="2">
        <f>'Balance sheet'!S$62/'Income statement'!S$35</f>
        <v>3.0348056324467443</v>
      </c>
      <c r="T89" s="2">
        <f>'Balance sheet'!T$62/'Income statement'!T$35</f>
        <v>4.1942191328699305</v>
      </c>
      <c r="U89" s="2">
        <f>'Balance sheet'!U$62/'Income statement'!U$35</f>
        <v>4.2930733213110432</v>
      </c>
      <c r="V89" s="31">
        <f>'Balance sheet'!V$62/'Income statement'!V$35</f>
        <v>5.8465504737769063</v>
      </c>
      <c r="W89" s="32">
        <f ca="1">'Balance sheet'!W$62/'Income statement'!W$35</f>
        <v>6.3463041633686794</v>
      </c>
      <c r="X89" s="2">
        <f ca="1">'Balance sheet'!X$62/'Income statement'!X$35</f>
        <v>6.8634742414179302</v>
      </c>
      <c r="Y89" s="2">
        <f ca="1">'Balance sheet'!Y$62/'Income statement'!Y$35</f>
        <v>7.4408646941714336</v>
      </c>
      <c r="Z89" s="2">
        <f ca="1">'Balance sheet'!Z$62/'Income statement'!Z$35</f>
        <v>8.0710104111058936</v>
      </c>
      <c r="AA89" s="2">
        <f ca="1">'Balance sheet'!AA$62/'Income statement'!AA$35</f>
        <v>8.7642504428201526</v>
      </c>
      <c r="AB89" s="2">
        <f ca="1">'Balance sheet'!AB$62/'Income statement'!AB$35</f>
        <v>9.5284763811453157</v>
      </c>
    </row>
    <row r="90" spans="1:28" x14ac:dyDescent="0.35">
      <c r="B90" t="s">
        <v>252</v>
      </c>
      <c r="C90" s="2" t="e">
        <f>'Balance sheet'!C$31/'Income statement'!C$35</f>
        <v>#VALUE!</v>
      </c>
      <c r="D90" s="2" t="e">
        <f>'Balance sheet'!D$31/'Income statement'!D$35</f>
        <v>#VALUE!</v>
      </c>
      <c r="E90" s="2" t="e">
        <f>'Balance sheet'!E$31/'Income statement'!E$35</f>
        <v>#VALUE!</v>
      </c>
      <c r="F90" s="2" t="e">
        <f>'Balance sheet'!F$31/'Income statement'!F$35</f>
        <v>#VALUE!</v>
      </c>
      <c r="G90" s="2" t="e">
        <f>'Balance sheet'!G$31/'Income statement'!G$35</f>
        <v>#VALUE!</v>
      </c>
      <c r="H90" s="2" t="e">
        <f>'Balance sheet'!H$31/'Income statement'!H$35</f>
        <v>#VALUE!</v>
      </c>
      <c r="I90" s="2" t="e">
        <f>'Balance sheet'!I$31/'Income statement'!I$35</f>
        <v>#VALUE!</v>
      </c>
      <c r="J90" s="2" t="e">
        <f>'Balance sheet'!J$31/'Income statement'!J$35</f>
        <v>#VALUE!</v>
      </c>
      <c r="K90" s="2" t="e">
        <f>'Balance sheet'!K$31/'Income statement'!K$35</f>
        <v>#VALUE!</v>
      </c>
      <c r="L90" s="2">
        <f>'Balance sheet'!L$31/'Income statement'!L$35</f>
        <v>0.25695692308372836</v>
      </c>
      <c r="M90" s="2">
        <f>'Balance sheet'!M$31/'Income statement'!M$35</f>
        <v>0.52837046916064523</v>
      </c>
      <c r="N90" s="2">
        <f>'Balance sheet'!N$31/'Income statement'!N$35</f>
        <v>2.9408971553610503</v>
      </c>
      <c r="O90" s="2">
        <f>'Balance sheet'!O$31/'Income statement'!O$35</f>
        <v>1.8094334483384782</v>
      </c>
      <c r="P90" s="2">
        <f>'Balance sheet'!P$31/'Income statement'!P$35</f>
        <v>2.4411416592055555</v>
      </c>
      <c r="Q90" s="2">
        <f>'Balance sheet'!Q$31/'Income statement'!Q$35</f>
        <v>3.6162008952851106</v>
      </c>
      <c r="R90" s="2">
        <f>'Balance sheet'!R$31/'Income statement'!R$35</f>
        <v>5.621060259655426</v>
      </c>
      <c r="S90" s="2">
        <f>'Balance sheet'!S$31/'Income statement'!S$35</f>
        <v>7.1756328479159146</v>
      </c>
      <c r="T90" s="2">
        <f>'Balance sheet'!T$31/'Income statement'!T$35</f>
        <v>8.7626724008601293</v>
      </c>
      <c r="U90" s="2">
        <f>'Balance sheet'!U$31/'Income statement'!U$35</f>
        <v>9.7738163308555688</v>
      </c>
      <c r="V90" s="31">
        <f>'Balance sheet'!V$31/'Income statement'!V$35</f>
        <v>12.177044731871758</v>
      </c>
      <c r="W90" s="32">
        <f ca="1">'Balance sheet'!W$31/'Income statement'!W$35</f>
        <v>6.9227679307916343</v>
      </c>
      <c r="X90" s="2">
        <f ca="1">'Balance sheet'!X$31/'Income statement'!X$35</f>
        <v>7.4399380088408851</v>
      </c>
      <c r="Y90" s="2">
        <f ca="1">'Balance sheet'!Y$31/'Income statement'!Y$35</f>
        <v>8.0173284615943885</v>
      </c>
      <c r="Z90" s="2">
        <f ca="1">'Balance sheet'!Z$31/'Income statement'!Z$35</f>
        <v>8.6474741785288494</v>
      </c>
      <c r="AA90" s="2">
        <f ca="1">'Balance sheet'!AA$31/'Income statement'!AA$35</f>
        <v>9.3407142102431067</v>
      </c>
      <c r="AB90" s="2">
        <f ca="1">'Balance sheet'!AB$31/'Income statement'!AB$35</f>
        <v>10.104940148568271</v>
      </c>
    </row>
    <row r="91" spans="1:28" x14ac:dyDescent="0.35">
      <c r="C91" s="2"/>
      <c r="D91" s="2"/>
      <c r="E91" s="2"/>
      <c r="F91" s="2"/>
      <c r="G91" s="2"/>
      <c r="H91" s="2"/>
      <c r="I91" s="2"/>
      <c r="J91" s="2"/>
      <c r="K91" s="2"/>
      <c r="L91" s="2"/>
      <c r="M91" s="2"/>
      <c r="N91" s="2"/>
      <c r="O91" s="2"/>
      <c r="P91" s="2"/>
      <c r="Q91" s="2"/>
      <c r="R91" s="2"/>
      <c r="S91" s="2"/>
      <c r="T91" s="2"/>
      <c r="U91" s="2"/>
      <c r="V91" s="31"/>
      <c r="W91" s="32"/>
      <c r="X91" s="2"/>
      <c r="Y91" s="2"/>
      <c r="Z91" s="2"/>
      <c r="AA91" s="2"/>
      <c r="AB91" s="2"/>
    </row>
    <row r="92" spans="1:28" ht="17.5" thickBot="1" x14ac:dyDescent="0.45">
      <c r="B92" s="14" t="s">
        <v>110</v>
      </c>
      <c r="V92" s="17"/>
      <c r="W92" s="18"/>
    </row>
    <row r="93" spans="1:28" ht="15" thickTop="1" x14ac:dyDescent="0.35">
      <c r="B93" t="s">
        <v>104</v>
      </c>
      <c r="C93" s="13" t="e">
        <f t="shared" ref="C93:V93" si="43">C$9/C$7</f>
        <v>#VALUE!</v>
      </c>
      <c r="D93" s="13" t="e">
        <f t="shared" si="43"/>
        <v>#VALUE!</v>
      </c>
      <c r="E93" s="13" t="e">
        <f t="shared" si="43"/>
        <v>#VALUE!</v>
      </c>
      <c r="F93" s="13" t="e">
        <f t="shared" si="43"/>
        <v>#VALUE!</v>
      </c>
      <c r="G93" s="13" t="e">
        <f t="shared" si="43"/>
        <v>#VALUE!</v>
      </c>
      <c r="H93" s="13" t="e">
        <f t="shared" si="43"/>
        <v>#VALUE!</v>
      </c>
      <c r="I93" s="13" t="e">
        <f t="shared" si="43"/>
        <v>#VALUE!</v>
      </c>
      <c r="J93" s="13" t="e">
        <f t="shared" si="43"/>
        <v>#VALUE!</v>
      </c>
      <c r="K93" s="13" t="e">
        <f t="shared" si="43"/>
        <v>#VALUE!</v>
      </c>
      <c r="L93" s="13">
        <f t="shared" si="43"/>
        <v>0.71807937505611918</v>
      </c>
      <c r="M93" s="13">
        <f t="shared" si="43"/>
        <v>0.79908847560228846</v>
      </c>
      <c r="N93" s="13">
        <f t="shared" si="43"/>
        <v>0.80349487005115172</v>
      </c>
      <c r="O93" s="13">
        <f t="shared" si="43"/>
        <v>0.78511892595152122</v>
      </c>
      <c r="P93" s="13">
        <f t="shared" si="43"/>
        <v>0.7609481786907023</v>
      </c>
      <c r="Q93" s="13">
        <f t="shared" si="43"/>
        <v>0.76374236451264488</v>
      </c>
      <c r="R93" s="13">
        <f t="shared" si="43"/>
        <v>0.78611849053805294</v>
      </c>
      <c r="S93" s="13">
        <f t="shared" si="43"/>
        <v>0.81482648497618404</v>
      </c>
      <c r="T93" s="13">
        <f t="shared" si="43"/>
        <v>0.82182539556786527</v>
      </c>
      <c r="U93" s="13">
        <f t="shared" si="43"/>
        <v>0.81214005302859027</v>
      </c>
      <c r="V93" s="33">
        <f t="shared" si="43"/>
        <v>0.80693471246069759</v>
      </c>
      <c r="W93" s="40"/>
      <c r="X93" s="38"/>
      <c r="Y93" s="38"/>
      <c r="Z93" s="38"/>
      <c r="AA93" s="38"/>
      <c r="AB93" s="38"/>
    </row>
    <row r="94" spans="1:28" x14ac:dyDescent="0.35">
      <c r="B94" t="s">
        <v>106</v>
      </c>
      <c r="C94" s="13" t="e">
        <f t="shared" ref="C94:AB94" si="44">C$24/C$7</f>
        <v>#VALUE!</v>
      </c>
      <c r="D94" s="13" t="e">
        <f t="shared" si="44"/>
        <v>#VALUE!</v>
      </c>
      <c r="E94" s="13" t="e">
        <f t="shared" si="44"/>
        <v>#VALUE!</v>
      </c>
      <c r="F94" s="13" t="e">
        <f t="shared" si="44"/>
        <v>#VALUE!</v>
      </c>
      <c r="G94" s="13" t="e">
        <f t="shared" si="44"/>
        <v>#VALUE!</v>
      </c>
      <c r="H94" s="13" t="e">
        <f t="shared" si="44"/>
        <v>#VALUE!</v>
      </c>
      <c r="I94" s="13" t="e">
        <f t="shared" si="44"/>
        <v>#VALUE!</v>
      </c>
      <c r="J94" s="13" t="e">
        <f t="shared" si="44"/>
        <v>#VALUE!</v>
      </c>
      <c r="K94" s="13" t="e">
        <f t="shared" si="44"/>
        <v>#VALUE!</v>
      </c>
      <c r="L94" s="13">
        <f t="shared" si="44"/>
        <v>1.1223848433150768E-4</v>
      </c>
      <c r="M94" s="13">
        <f t="shared" si="44"/>
        <v>0.14186363874940952</v>
      </c>
      <c r="N94" s="13">
        <f t="shared" si="44"/>
        <v>0.10093334516030476</v>
      </c>
      <c r="O94" s="13">
        <f t="shared" si="44"/>
        <v>0.16481245356356075</v>
      </c>
      <c r="P94" s="13">
        <f t="shared" si="44"/>
        <v>0.18466605488441085</v>
      </c>
      <c r="Q94" s="13">
        <f t="shared" si="44"/>
        <v>0.16385551645997778</v>
      </c>
      <c r="R94" s="13">
        <f t="shared" si="44"/>
        <v>0.28984142970432986</v>
      </c>
      <c r="S94" s="13">
        <f t="shared" si="44"/>
        <v>0.11514065995969801</v>
      </c>
      <c r="T94" s="13">
        <f t="shared" si="44"/>
        <v>3.3835194052459286E-2</v>
      </c>
      <c r="U94" s="13">
        <f t="shared" si="44"/>
        <v>9.1947053624648015E-2</v>
      </c>
      <c r="V94" s="33">
        <f t="shared" si="44"/>
        <v>0.16077839327135496</v>
      </c>
      <c r="W94" s="34">
        <f t="shared" si="44"/>
        <v>7.4751524507537845E-2</v>
      </c>
      <c r="X94" s="13">
        <f t="shared" ca="1" si="44"/>
        <v>6.8034752468078399E-2</v>
      </c>
      <c r="Y94" s="13">
        <f t="shared" ca="1" si="44"/>
        <v>6.5272046746598977E-2</v>
      </c>
      <c r="Z94" s="13">
        <f t="shared" ca="1" si="44"/>
        <v>6.3603439060491679E-2</v>
      </c>
      <c r="AA94" s="13">
        <f t="shared" ca="1" si="44"/>
        <v>6.2474849816615004E-2</v>
      </c>
      <c r="AB94" s="13">
        <f t="shared" ca="1" si="44"/>
        <v>6.1492951496130072E-2</v>
      </c>
    </row>
    <row r="95" spans="1:28" x14ac:dyDescent="0.35">
      <c r="B95" t="s">
        <v>113</v>
      </c>
      <c r="C95" s="13" t="e">
        <f t="shared" ref="C95:AB95" si="45">C$28/C$7</f>
        <v>#VALUE!</v>
      </c>
      <c r="D95" s="13" t="e">
        <f t="shared" si="45"/>
        <v>#VALUE!</v>
      </c>
      <c r="E95" s="13" t="e">
        <f t="shared" si="45"/>
        <v>#VALUE!</v>
      </c>
      <c r="F95" s="13" t="e">
        <f t="shared" si="45"/>
        <v>#VALUE!</v>
      </c>
      <c r="G95" s="13" t="e">
        <f t="shared" si="45"/>
        <v>#VALUE!</v>
      </c>
      <c r="H95" s="13" t="e">
        <f t="shared" si="45"/>
        <v>#VALUE!</v>
      </c>
      <c r="I95" s="13" t="e">
        <f t="shared" si="45"/>
        <v>#VALUE!</v>
      </c>
      <c r="J95" s="13" t="e">
        <f t="shared" si="45"/>
        <v>#VALUE!</v>
      </c>
      <c r="K95" s="13" t="e">
        <f t="shared" si="45"/>
        <v>#VALUE!</v>
      </c>
      <c r="L95" s="13">
        <f t="shared" si="45"/>
        <v>0</v>
      </c>
      <c r="M95" s="13">
        <f t="shared" si="45"/>
        <v>7.7540808649859155E-2</v>
      </c>
      <c r="N95" s="13">
        <f t="shared" si="45"/>
        <v>-0.13170811034564325</v>
      </c>
      <c r="O95" s="13">
        <f t="shared" si="45"/>
        <v>0.16481245356356075</v>
      </c>
      <c r="P95" s="13">
        <f t="shared" si="45"/>
        <v>0.18466605488441085</v>
      </c>
      <c r="Q95" s="13">
        <f t="shared" si="45"/>
        <v>0.16385551645997778</v>
      </c>
      <c r="R95" s="13">
        <f t="shared" si="45"/>
        <v>0.28984142970432986</v>
      </c>
      <c r="S95" s="13">
        <f t="shared" si="45"/>
        <v>0.11514065995969801</v>
      </c>
      <c r="T95" s="13">
        <f t="shared" si="45"/>
        <v>3.3835194052459286E-2</v>
      </c>
      <c r="U95" s="13">
        <f t="shared" si="45"/>
        <v>9.1947053624648015E-2</v>
      </c>
      <c r="V95" s="33">
        <f t="shared" si="45"/>
        <v>0.16077839327135496</v>
      </c>
      <c r="W95" s="34">
        <f t="shared" si="45"/>
        <v>7.4751524507537845E-2</v>
      </c>
      <c r="X95" s="13">
        <f t="shared" ca="1" si="45"/>
        <v>6.8034752468078399E-2</v>
      </c>
      <c r="Y95" s="13">
        <f t="shared" ca="1" si="45"/>
        <v>6.5272046746598977E-2</v>
      </c>
      <c r="Z95" s="13">
        <f t="shared" ca="1" si="45"/>
        <v>6.3603439060491679E-2</v>
      </c>
      <c r="AA95" s="13">
        <f t="shared" ca="1" si="45"/>
        <v>6.2474849816615004E-2</v>
      </c>
      <c r="AB95" s="13">
        <f t="shared" ca="1" si="45"/>
        <v>6.1492951496130072E-2</v>
      </c>
    </row>
    <row r="96" spans="1:28" x14ac:dyDescent="0.35">
      <c r="B96" t="s">
        <v>109</v>
      </c>
      <c r="C96" s="13" t="e">
        <f t="shared" ref="C96:AB96" si="46">1-C$58</f>
        <v>#DIV/0!</v>
      </c>
      <c r="D96" s="13" t="e">
        <f t="shared" si="46"/>
        <v>#VALUE!</v>
      </c>
      <c r="E96" s="13" t="e">
        <f t="shared" si="46"/>
        <v>#VALUE!</v>
      </c>
      <c r="F96" s="13" t="e">
        <f t="shared" si="46"/>
        <v>#VALUE!</v>
      </c>
      <c r="G96" s="13" t="e">
        <f t="shared" si="46"/>
        <v>#VALUE!</v>
      </c>
      <c r="H96" s="13" t="e">
        <f t="shared" si="46"/>
        <v>#VALUE!</v>
      </c>
      <c r="I96" s="13" t="e">
        <f t="shared" si="46"/>
        <v>#VALUE!</v>
      </c>
      <c r="J96" s="13" t="e">
        <f t="shared" si="46"/>
        <v>#VALUE!</v>
      </c>
      <c r="K96" s="13" t="e">
        <f t="shared" si="46"/>
        <v>#VALUE!</v>
      </c>
      <c r="L96" s="13" t="e">
        <f t="shared" si="46"/>
        <v>#VALUE!</v>
      </c>
      <c r="M96" s="13">
        <f t="shared" si="46"/>
        <v>1</v>
      </c>
      <c r="N96" s="13">
        <f t="shared" si="46"/>
        <v>1</v>
      </c>
      <c r="O96" s="13">
        <f t="shared" si="46"/>
        <v>1</v>
      </c>
      <c r="P96" s="13">
        <f t="shared" si="46"/>
        <v>1</v>
      </c>
      <c r="Q96" s="13">
        <f t="shared" si="46"/>
        <v>1</v>
      </c>
      <c r="R96" s="13">
        <f t="shared" si="46"/>
        <v>1</v>
      </c>
      <c r="S96" s="13">
        <f t="shared" si="46"/>
        <v>1</v>
      </c>
      <c r="T96" s="13">
        <f t="shared" si="46"/>
        <v>1</v>
      </c>
      <c r="U96" s="13">
        <f t="shared" si="46"/>
        <v>1</v>
      </c>
      <c r="V96" s="33">
        <f t="shared" si="46"/>
        <v>1</v>
      </c>
      <c r="W96" s="34">
        <f t="shared" si="46"/>
        <v>1</v>
      </c>
      <c r="X96" s="13">
        <f t="shared" si="46"/>
        <v>1</v>
      </c>
      <c r="Y96" s="13">
        <f t="shared" si="46"/>
        <v>1</v>
      </c>
      <c r="Z96" s="13">
        <f t="shared" si="46"/>
        <v>1</v>
      </c>
      <c r="AA96" s="13">
        <f t="shared" si="46"/>
        <v>1</v>
      </c>
      <c r="AB96" s="13">
        <f t="shared" si="46"/>
        <v>1</v>
      </c>
    </row>
    <row r="97" spans="2:28" x14ac:dyDescent="0.35">
      <c r="B97" t="s">
        <v>253</v>
      </c>
      <c r="C97" s="13" t="e">
        <f>C$24/AVERAGE('Balance sheet'!B$62:C$62)</f>
        <v>#VALUE!</v>
      </c>
      <c r="D97" s="13" t="e">
        <f>D$24/AVERAGE('Balance sheet'!C$62:D$62)</f>
        <v>#VALUE!</v>
      </c>
      <c r="E97" s="13" t="e">
        <f>E$24/AVERAGE('Balance sheet'!D$62:E$62)</f>
        <v>#VALUE!</v>
      </c>
      <c r="F97" s="13" t="e">
        <f>F$24/AVERAGE('Balance sheet'!E$62:F$62)</f>
        <v>#VALUE!</v>
      </c>
      <c r="G97" s="13" t="e">
        <f>G$24/AVERAGE('Balance sheet'!F$62:G$62)</f>
        <v>#VALUE!</v>
      </c>
      <c r="H97" s="13" t="e">
        <f>H$24/AVERAGE('Balance sheet'!G$62:H$62)</f>
        <v>#VALUE!</v>
      </c>
      <c r="I97" s="13" t="e">
        <f>I$24/AVERAGE('Balance sheet'!H$62:I$62)</f>
        <v>#VALUE!</v>
      </c>
      <c r="J97" s="13" t="e">
        <f>J$24/AVERAGE('Balance sheet'!I$62:J$62)</f>
        <v>#VALUE!</v>
      </c>
      <c r="K97" s="13" t="e">
        <f>K$24/AVERAGE('Balance sheet'!J$62:K$62)</f>
        <v>#VALUE!</v>
      </c>
      <c r="L97" s="13" t="e">
        <f>L$24/AVERAGE('Balance sheet'!K$62:L$62)</f>
        <v>#VALUE!</v>
      </c>
      <c r="M97" s="13">
        <f>M$24/AVERAGE('Balance sheet'!L$62:M$62)</f>
        <v>0.53609917355371883</v>
      </c>
      <c r="N97" s="13">
        <f>N$24/AVERAGE('Balance sheet'!M$62:N$62)</f>
        <v>0.20456020853516035</v>
      </c>
      <c r="O97" s="13">
        <f>O$24/AVERAGE('Balance sheet'!N$62:O$62)</f>
        <v>0.25222192431058282</v>
      </c>
      <c r="P97" s="13">
        <f>P$24/AVERAGE('Balance sheet'!O$62:P$62)</f>
        <v>0.28085716561778051</v>
      </c>
      <c r="Q97" s="13">
        <f>Q$24/AVERAGE('Balance sheet'!P$62:Q$62)</f>
        <v>0.21884612703694609</v>
      </c>
      <c r="R97" s="13">
        <f>R$24/AVERAGE('Balance sheet'!Q$62:R$62)</f>
        <v>0.30193853869756865</v>
      </c>
      <c r="S97" s="13">
        <f>S$24/AVERAGE('Balance sheet'!R$62:S$62)</f>
        <v>0.10956918999829794</v>
      </c>
      <c r="T97" s="13">
        <f>T$24/AVERAGE('Balance sheet'!S$62:T$62)</f>
        <v>2.9578086341860849E-2</v>
      </c>
      <c r="U97" s="13">
        <f>U$24/AVERAGE('Balance sheet'!T$62:U$62)</f>
        <v>8.4323862253431983E-2</v>
      </c>
      <c r="V97" s="33">
        <f>V$24/AVERAGE('Balance sheet'!U$62:V$62)</f>
        <v>0.15469823737140981</v>
      </c>
      <c r="W97" s="34">
        <f ca="1">W$24/AVERAGE('Balance sheet'!V$62:W$62)</f>
        <v>7.7196652545079389E-2</v>
      </c>
      <c r="X97" s="13">
        <f ca="1">X$24/AVERAGE('Balance sheet'!W$62:X$62)</f>
        <v>7.8301098201897387E-2</v>
      </c>
      <c r="Y97" s="13">
        <f ca="1">Y$24/AVERAGE('Balance sheet'!X$62:Y$62)</f>
        <v>8.0729414390056001E-2</v>
      </c>
      <c r="Z97" s="13">
        <f ca="1">Z$24/AVERAGE('Balance sheet'!Y$62:Z$62)</f>
        <v>8.1246878621408808E-2</v>
      </c>
      <c r="AA97" s="13">
        <f ca="1">AA$24/AVERAGE('Balance sheet'!Z$62:AA$62)</f>
        <v>8.235572204425845E-2</v>
      </c>
      <c r="AB97" s="13">
        <f ca="1">AB$24/AVERAGE('Balance sheet'!AA$62:AB$62)</f>
        <v>8.3555168748701225E-2</v>
      </c>
    </row>
    <row r="98" spans="2:28" x14ac:dyDescent="0.35">
      <c r="B98" t="s">
        <v>257</v>
      </c>
      <c r="C98" s="13"/>
      <c r="D98" s="13" t="e">
        <f>D$75/'Balance sheet'!D$64</f>
        <v>#VALUE!</v>
      </c>
      <c r="E98" s="13" t="e">
        <f>E$75/'Balance sheet'!E$64</f>
        <v>#VALUE!</v>
      </c>
      <c r="F98" s="13" t="e">
        <f>F$75/'Balance sheet'!F$64</f>
        <v>#VALUE!</v>
      </c>
      <c r="G98" s="13" t="e">
        <f>G$75/'Balance sheet'!G$64</f>
        <v>#VALUE!</v>
      </c>
      <c r="H98" s="13" t="e">
        <f>H$75/'Balance sheet'!H$64</f>
        <v>#VALUE!</v>
      </c>
      <c r="I98" s="13" t="e">
        <f>I$75/'Balance sheet'!I$64</f>
        <v>#VALUE!</v>
      </c>
      <c r="J98" s="13" t="e">
        <f>J$75/'Balance sheet'!J$64</f>
        <v>#VALUE!</v>
      </c>
      <c r="K98" s="13" t="e">
        <f>K$75/'Balance sheet'!K$64</f>
        <v>#VALUE!</v>
      </c>
      <c r="L98" s="13" t="e">
        <f>L$75/'Balance sheet'!L$64</f>
        <v>#VALUE!</v>
      </c>
      <c r="M98" s="13">
        <f>M$75/'Balance sheet'!M$64</f>
        <v>0.41556034603075109</v>
      </c>
      <c r="N98" s="13">
        <f>N$75/'Balance sheet'!N$64</f>
        <v>0.39435994940893948</v>
      </c>
      <c r="O98" s="13">
        <f>O$75/'Balance sheet'!O$64</f>
        <v>0.65226804646536451</v>
      </c>
      <c r="P98" s="13">
        <f>P$75/'Balance sheet'!P$64</f>
        <v>0.58862810659825504</v>
      </c>
      <c r="Q98" s="13">
        <f>Q$75/'Balance sheet'!Q$64</f>
        <v>0.38383008883306857</v>
      </c>
      <c r="R98" s="13">
        <f>R$75/'Balance sheet'!R$64</f>
        <v>0.6504657874140759</v>
      </c>
      <c r="S98" s="13">
        <f>S$75/'Balance sheet'!S$64</f>
        <v>0.29426977260744125</v>
      </c>
      <c r="T98" s="13">
        <f>T$75/'Balance sheet'!T$64</f>
        <v>7.7001436318417923E-2</v>
      </c>
      <c r="U98" s="13">
        <f>U$75/'Balance sheet'!U$64</f>
        <v>0.18429376296391839</v>
      </c>
      <c r="V98" s="33">
        <f>V$75/'Balance sheet'!V$64</f>
        <v>0.36540833405850087</v>
      </c>
      <c r="W98" s="34">
        <f ca="1">W$75/'Balance sheet'!W$64</f>
        <v>0.12539949426157743</v>
      </c>
      <c r="X98" s="13">
        <f ca="1">X$75/'Balance sheet'!X$64</f>
        <v>0.11378380133175728</v>
      </c>
      <c r="Y98" s="13">
        <f ca="1">Y$75/'Balance sheet'!Y$64</f>
        <v>0.11133616269319005</v>
      </c>
      <c r="Z98" s="13">
        <f ca="1">Z$75/'Balance sheet'!Z$64</f>
        <v>0.10806712602597067</v>
      </c>
      <c r="AA98" s="13">
        <f ca="1">AA$75/'Balance sheet'!AA$64</f>
        <v>0.10674829707601091</v>
      </c>
      <c r="AB98" s="13">
        <f ca="1">AB$75/'Balance sheet'!AB$64</f>
        <v>0.10590864482203581</v>
      </c>
    </row>
    <row r="99" spans="2:28" x14ac:dyDescent="0.35">
      <c r="B99" t="s">
        <v>272</v>
      </c>
      <c r="C99" s="13"/>
      <c r="D99" s="13" t="e">
        <f>D$15/'Balance sheet'!D$66</f>
        <v>#VALUE!</v>
      </c>
      <c r="E99" s="13" t="e">
        <f>E$15/'Balance sheet'!E$66</f>
        <v>#VALUE!</v>
      </c>
      <c r="F99" s="13" t="e">
        <f>F$15/'Balance sheet'!F$66</f>
        <v>#VALUE!</v>
      </c>
      <c r="G99" s="13" t="e">
        <f>G$15/'Balance sheet'!G$66</f>
        <v>#VALUE!</v>
      </c>
      <c r="H99" s="13" t="e">
        <f>H$15/'Balance sheet'!H$66</f>
        <v>#VALUE!</v>
      </c>
      <c r="I99" s="13" t="e">
        <f>I$15/'Balance sheet'!I$66</f>
        <v>#VALUE!</v>
      </c>
      <c r="J99" s="13" t="e">
        <f>J$15/'Balance sheet'!J$66</f>
        <v>#VALUE!</v>
      </c>
      <c r="K99" s="13" t="e">
        <f>K$15/'Balance sheet'!K$66</f>
        <v>#VALUE!</v>
      </c>
      <c r="L99" s="13" t="e">
        <f>L$15/'Balance sheet'!L$66</f>
        <v>#VALUE!</v>
      </c>
      <c r="M99" s="13">
        <f>M$15/'Balance sheet'!M$66</f>
        <v>0.61801264693829994</v>
      </c>
      <c r="N99" s="13">
        <f>N$15/'Balance sheet'!N$66</f>
        <v>0.41028018717187853</v>
      </c>
      <c r="O99" s="13">
        <f>O$15/'Balance sheet'!O$66</f>
        <v>0.30407037871473019</v>
      </c>
      <c r="P99" s="13">
        <f>P$15/'Balance sheet'!P$66</f>
        <v>0.32264785107866956</v>
      </c>
      <c r="Q99" s="13">
        <f>Q$15/'Balance sheet'!Q$66</f>
        <v>0.19240422103951715</v>
      </c>
      <c r="R99" s="13">
        <f>R$15/'Balance sheet'!R$66</f>
        <v>0.14441574204493163</v>
      </c>
      <c r="S99" s="13">
        <f>S$15/'Balance sheet'!S$66</f>
        <v>8.5796407696016888E-2</v>
      </c>
      <c r="T99" s="13">
        <f>T$15/'Balance sheet'!T$66</f>
        <v>5.7773092157165751E-2</v>
      </c>
      <c r="U99" s="13">
        <f>U$15/'Balance sheet'!U$66</f>
        <v>9.0232961540945664E-2</v>
      </c>
      <c r="V99" s="33">
        <f>V$15/'Balance sheet'!V$66</f>
        <v>0.16552369512147866</v>
      </c>
      <c r="W99" s="34">
        <f ca="1">W$15/'Balance sheet'!W$66</f>
        <v>6.7854406316859822E-2</v>
      </c>
      <c r="X99" s="13">
        <f ca="1">X$15/'Balance sheet'!X$66</f>
        <v>7.5830425933146747E-2</v>
      </c>
      <c r="Y99" s="13">
        <f ca="1">Y$15/'Balance sheet'!Y$66</f>
        <v>8.1521560963966969E-2</v>
      </c>
      <c r="Z99" s="13">
        <f ca="1">Z$15/'Balance sheet'!Z$66</f>
        <v>8.4225917629403249E-2</v>
      </c>
      <c r="AA99" s="13">
        <f ca="1">AA$15/'Balance sheet'!AA$66</f>
        <v>8.6945993998988905E-2</v>
      </c>
      <c r="AB99" s="13">
        <f ca="1">AB$15/'Balance sheet'!AB$66</f>
        <v>8.9648092139822277E-2</v>
      </c>
    </row>
    <row r="100" spans="2:28" x14ac:dyDescent="0.35">
      <c r="B100" t="s">
        <v>235</v>
      </c>
      <c r="C100" s="13"/>
      <c r="D100" s="13" t="e">
        <f>D$24/AVERAGE('Balance sheet'!C$31:D$31)</f>
        <v>#VALUE!</v>
      </c>
      <c r="E100" s="13" t="e">
        <f>E$24/AVERAGE('Balance sheet'!D$31:E$31)</f>
        <v>#VALUE!</v>
      </c>
      <c r="F100" s="13" t="e">
        <f>F$24/AVERAGE('Balance sheet'!E$31:F$31)</f>
        <v>#VALUE!</v>
      </c>
      <c r="G100" s="13" t="e">
        <f>G$24/AVERAGE('Balance sheet'!F$31:G$31)</f>
        <v>#VALUE!</v>
      </c>
      <c r="H100" s="13" t="e">
        <f>H$24/AVERAGE('Balance sheet'!G$31:H$31)</f>
        <v>#VALUE!</v>
      </c>
      <c r="I100" s="13" t="e">
        <f>I$24/AVERAGE('Balance sheet'!H$31:I$31)</f>
        <v>#VALUE!</v>
      </c>
      <c r="J100" s="13" t="e">
        <f>J$24/AVERAGE('Balance sheet'!I$31:J$31)</f>
        <v>#VALUE!</v>
      </c>
      <c r="K100" s="13" t="e">
        <f>K$24/AVERAGE('Balance sheet'!J$31:K$31)</f>
        <v>#VALUE!</v>
      </c>
      <c r="L100" s="13" t="e">
        <f>L$24/AVERAGE('Balance sheet'!K$31:L$31)</f>
        <v>#VALUE!</v>
      </c>
      <c r="M100" s="13">
        <f>M$24/AVERAGE('Balance sheet'!L$31:M$31)</f>
        <v>0.10380009345016737</v>
      </c>
      <c r="N100" s="13">
        <f>N$24/AVERAGE('Balance sheet'!M$31:N$31)</f>
        <v>5.4777594728171335E-2</v>
      </c>
      <c r="O100" s="13">
        <f>O$24/AVERAGE('Balance sheet'!N$31:O$31)</f>
        <v>7.6115556354700478E-2</v>
      </c>
      <c r="P100" s="13">
        <f>P$24/AVERAGE('Balance sheet'!O$31:P$31)</f>
        <v>9.2050488868094374E-2</v>
      </c>
      <c r="Q100" s="13">
        <f>Q$24/AVERAGE('Balance sheet'!P$31:Q$31)</f>
        <v>7.6102539386004447E-2</v>
      </c>
      <c r="R100" s="13">
        <f>R$24/AVERAGE('Balance sheet'!Q$31:R$31)</f>
        <v>0.10811916635842447</v>
      </c>
      <c r="S100" s="13">
        <f>S$24/AVERAGE('Balance sheet'!R$31:S$31)</f>
        <v>4.3519926204216242E-2</v>
      </c>
      <c r="T100" s="13">
        <f>T$24/AVERAGE('Balance sheet'!S$31:T$31)</f>
        <v>1.3416655577223428E-2</v>
      </c>
      <c r="U100" s="13">
        <f>U$24/AVERAGE('Balance sheet'!T$31:U$31)</f>
        <v>3.8608897307539698E-2</v>
      </c>
      <c r="V100" s="33">
        <f>V$24/AVERAGE('Balance sheet'!U$31:V$31)</f>
        <v>7.1464218711678365E-2</v>
      </c>
      <c r="W100" s="34">
        <f ca="1">W$24/AVERAGE('Balance sheet'!V$31:W$31)</f>
        <v>4.9280460472596842E-2</v>
      </c>
      <c r="X100" s="13">
        <f ca="1">X$24/AVERAGE('Balance sheet'!W$31:X$31)</f>
        <v>7.2015688439623096E-2</v>
      </c>
      <c r="Y100" s="13">
        <f ca="1">Y$24/AVERAGE('Balance sheet'!X$31:Y$31)</f>
        <v>7.470796390265555E-2</v>
      </c>
      <c r="Z100" s="13">
        <f ca="1">Z$24/AVERAGE('Balance sheet'!Y$31:Z$31)</f>
        <v>7.5625944158172156E-2</v>
      </c>
      <c r="AA100" s="13">
        <f ca="1">AA$24/AVERAGE('Balance sheet'!Z$31:AA$31)</f>
        <v>7.7077248328905945E-2</v>
      </c>
      <c r="AB100" s="13">
        <f ca="1">AB$24/AVERAGE('Balance sheet'!AA$31:AB$31)</f>
        <v>7.8601205618865827E-2</v>
      </c>
    </row>
    <row r="101" spans="2:28" x14ac:dyDescent="0.35">
      <c r="V101" s="17"/>
      <c r="W101" s="18"/>
    </row>
    <row r="102" spans="2:28" ht="17.5" thickBot="1" x14ac:dyDescent="0.45">
      <c r="B102" s="14" t="s">
        <v>111</v>
      </c>
      <c r="V102" s="17"/>
      <c r="W102" s="18"/>
    </row>
    <row r="103" spans="2:28" ht="15" thickTop="1" x14ac:dyDescent="0.35">
      <c r="B103" t="s">
        <v>90</v>
      </c>
      <c r="D103" s="13" t="e">
        <f t="shared" ref="D103:V103" si="47">D$9/C$9-1</f>
        <v>#VALUE!</v>
      </c>
      <c r="E103" s="13" t="e">
        <f t="shared" si="47"/>
        <v>#VALUE!</v>
      </c>
      <c r="F103" s="13" t="e">
        <f t="shared" si="47"/>
        <v>#VALUE!</v>
      </c>
      <c r="G103" s="13" t="e">
        <f t="shared" si="47"/>
        <v>#VALUE!</v>
      </c>
      <c r="H103" s="13" t="e">
        <f t="shared" si="47"/>
        <v>#VALUE!</v>
      </c>
      <c r="I103" s="13" t="e">
        <f t="shared" si="47"/>
        <v>#VALUE!</v>
      </c>
      <c r="J103" s="13" t="e">
        <f t="shared" si="47"/>
        <v>#VALUE!</v>
      </c>
      <c r="K103" s="13" t="e">
        <f t="shared" si="47"/>
        <v>#VALUE!</v>
      </c>
      <c r="L103" s="13" t="e">
        <f t="shared" si="47"/>
        <v>#VALUE!</v>
      </c>
      <c r="M103" s="13">
        <f t="shared" si="47"/>
        <v>1.8555753540279469</v>
      </c>
      <c r="N103" s="13">
        <f t="shared" si="47"/>
        <v>0.78495188676147021</v>
      </c>
      <c r="O103" s="13">
        <f t="shared" si="47"/>
        <v>0.48412756823060388</v>
      </c>
      <c r="P103" s="13">
        <f t="shared" si="47"/>
        <v>0.50089054370689357</v>
      </c>
      <c r="Q103" s="13">
        <f t="shared" si="47"/>
        <v>0.39009790856727489</v>
      </c>
      <c r="R103" s="13">
        <f t="shared" si="47"/>
        <v>0.30174220306687949</v>
      </c>
      <c r="S103" s="13">
        <f t="shared" si="47"/>
        <v>0.48338686682257559</v>
      </c>
      <c r="T103" s="13">
        <f t="shared" si="47"/>
        <v>0.33003868037455653</v>
      </c>
      <c r="U103" s="13">
        <f t="shared" si="47"/>
        <v>0.21890655462599629</v>
      </c>
      <c r="V103" s="33">
        <f t="shared" si="47"/>
        <v>0.24820723786192156</v>
      </c>
      <c r="W103" s="40"/>
      <c r="X103" s="38"/>
      <c r="Y103" s="38"/>
      <c r="Z103" s="38"/>
      <c r="AA103" s="38"/>
      <c r="AB103" s="38"/>
    </row>
    <row r="104" spans="2:28" x14ac:dyDescent="0.35">
      <c r="B104" t="s">
        <v>112</v>
      </c>
      <c r="D104" s="13" t="e">
        <f t="shared" ref="D104:AB104" si="48">D$15/C$15-1</f>
        <v>#VALUE!</v>
      </c>
      <c r="E104" s="13" t="e">
        <f t="shared" si="48"/>
        <v>#VALUE!</v>
      </c>
      <c r="F104" s="13" t="e">
        <f t="shared" si="48"/>
        <v>#VALUE!</v>
      </c>
      <c r="G104" s="13" t="e">
        <f t="shared" si="48"/>
        <v>#VALUE!</v>
      </c>
      <c r="H104" s="13" t="e">
        <f t="shared" si="48"/>
        <v>#VALUE!</v>
      </c>
      <c r="I104" s="13" t="e">
        <f t="shared" si="48"/>
        <v>#VALUE!</v>
      </c>
      <c r="J104" s="13" t="e">
        <f t="shared" si="48"/>
        <v>#VALUE!</v>
      </c>
      <c r="K104" s="13" t="e">
        <f t="shared" si="48"/>
        <v>#VALUE!</v>
      </c>
      <c r="L104" s="13" t="e">
        <f t="shared" si="48"/>
        <v>#VALUE!</v>
      </c>
      <c r="M104" s="13">
        <f t="shared" si="48"/>
        <v>49.337696335078533</v>
      </c>
      <c r="N104" s="13">
        <f t="shared" si="48"/>
        <v>0.49560559571480578</v>
      </c>
      <c r="O104" s="13">
        <f t="shared" si="48"/>
        <v>0.23189262491741713</v>
      </c>
      <c r="P104" s="13">
        <f t="shared" si="48"/>
        <v>0.51466354296037031</v>
      </c>
      <c r="Q104" s="13">
        <f t="shared" si="48"/>
        <v>4.5404992406101297E-2</v>
      </c>
      <c r="R104" s="13">
        <f t="shared" si="48"/>
        <v>0.28532211487040526</v>
      </c>
      <c r="S104" s="13">
        <f t="shared" si="48"/>
        <v>-0.13446549428603127</v>
      </c>
      <c r="T104" s="13">
        <f t="shared" si="48"/>
        <v>-8.9434932741533579E-2</v>
      </c>
      <c r="U104" s="13">
        <f t="shared" si="48"/>
        <v>0.76395023492353986</v>
      </c>
      <c r="V104" s="33">
        <f t="shared" si="48"/>
        <v>1.1307212689545092</v>
      </c>
      <c r="W104" s="34">
        <f t="shared" si="48"/>
        <v>-0.51020381792915981</v>
      </c>
      <c r="X104" s="13">
        <f t="shared" si="48"/>
        <v>0.20739331246602521</v>
      </c>
      <c r="Y104" s="13">
        <f t="shared" si="48"/>
        <v>0.16369665623301266</v>
      </c>
      <c r="Z104" s="13">
        <f t="shared" si="48"/>
        <v>0.12000000000000011</v>
      </c>
      <c r="AA104" s="13">
        <f t="shared" si="48"/>
        <v>0.12000000000000011</v>
      </c>
      <c r="AB104" s="13">
        <f t="shared" si="48"/>
        <v>0.12000000000000011</v>
      </c>
    </row>
    <row r="105" spans="2:28" ht="15" thickBot="1" x14ac:dyDescent="0.4">
      <c r="B105" t="s">
        <v>95</v>
      </c>
      <c r="D105" s="13" t="e">
        <f t="shared" ref="D105:AB105" si="49">D$24/C$24-1</f>
        <v>#VALUE!</v>
      </c>
      <c r="E105" s="13" t="e">
        <f t="shared" si="49"/>
        <v>#VALUE!</v>
      </c>
      <c r="F105" s="13" t="e">
        <f t="shared" si="49"/>
        <v>#VALUE!</v>
      </c>
      <c r="G105" s="13" t="e">
        <f t="shared" si="49"/>
        <v>#VALUE!</v>
      </c>
      <c r="H105" s="13" t="e">
        <f t="shared" si="49"/>
        <v>#VALUE!</v>
      </c>
      <c r="I105" s="13" t="e">
        <f t="shared" si="49"/>
        <v>#VALUE!</v>
      </c>
      <c r="J105" s="13" t="e">
        <f t="shared" si="49"/>
        <v>#VALUE!</v>
      </c>
      <c r="K105" s="13" t="e">
        <f t="shared" si="49"/>
        <v>#VALUE!</v>
      </c>
      <c r="L105" s="13" t="e">
        <f t="shared" si="49"/>
        <v>#VALUE!</v>
      </c>
      <c r="M105" s="13">
        <f t="shared" si="49"/>
        <v>3242.3999999999969</v>
      </c>
      <c r="N105" s="13">
        <f t="shared" si="49"/>
        <v>0.26299562187827608</v>
      </c>
      <c r="O105" s="13">
        <f t="shared" si="49"/>
        <v>1.4801288936627279</v>
      </c>
      <c r="P105" s="13">
        <f t="shared" si="49"/>
        <v>0.73510768140477944</v>
      </c>
      <c r="Q105" s="13">
        <f t="shared" si="49"/>
        <v>0.22893124574540513</v>
      </c>
      <c r="R105" s="13">
        <f t="shared" si="49"/>
        <v>1.2370889418194575</v>
      </c>
      <c r="S105" s="13">
        <f t="shared" si="49"/>
        <v>-0.4314802510760698</v>
      </c>
      <c r="T105" s="13">
        <f t="shared" si="49"/>
        <v>-0.61248384895689667</v>
      </c>
      <c r="U105" s="13">
        <f t="shared" si="49"/>
        <v>2.3518778683150696</v>
      </c>
      <c r="V105" s="33">
        <f t="shared" si="49"/>
        <v>1.19669162847882</v>
      </c>
      <c r="W105" s="34">
        <f t="shared" si="49"/>
        <v>-0.399054200982352</v>
      </c>
      <c r="X105" s="13">
        <f t="shared" ca="1" si="49"/>
        <v>9.8903409481045479E-2</v>
      </c>
      <c r="Y105" s="13">
        <f t="shared" ca="1" si="49"/>
        <v>0.1164421092020691</v>
      </c>
      <c r="Z105" s="13">
        <f t="shared" ca="1" si="49"/>
        <v>9.1368438687154496E-2</v>
      </c>
      <c r="AA105" s="13">
        <f t="shared" ca="1" si="49"/>
        <v>0.10012654705762536</v>
      </c>
      <c r="AB105" s="13">
        <f t="shared" ca="1" si="49"/>
        <v>0.10239729871826508</v>
      </c>
    </row>
    <row r="106" spans="2:28" ht="15.5" thickTop="1" thickBot="1" x14ac:dyDescent="0.4">
      <c r="B106" t="s">
        <v>98</v>
      </c>
      <c r="D106" s="13" t="e">
        <f t="shared" ref="D106:V106" si="50">D$83/C$83-1</f>
        <v>#VALUE!</v>
      </c>
      <c r="E106" s="13" t="e">
        <f t="shared" si="50"/>
        <v>#VALUE!</v>
      </c>
      <c r="F106" s="13" t="e">
        <f t="shared" si="50"/>
        <v>#VALUE!</v>
      </c>
      <c r="G106" s="13" t="e">
        <f t="shared" si="50"/>
        <v>#VALUE!</v>
      </c>
      <c r="H106" s="13" t="e">
        <f t="shared" si="50"/>
        <v>#VALUE!</v>
      </c>
      <c r="I106" s="13" t="e">
        <f t="shared" si="50"/>
        <v>#VALUE!</v>
      </c>
      <c r="J106" s="13" t="e">
        <f t="shared" si="50"/>
        <v>#VALUE!</v>
      </c>
      <c r="K106" s="13" t="e">
        <f t="shared" si="50"/>
        <v>#VALUE!</v>
      </c>
      <c r="L106" s="13" t="e">
        <f t="shared" si="50"/>
        <v>#VALUE!</v>
      </c>
      <c r="M106" s="13" t="e">
        <f t="shared" si="50"/>
        <v>#DIV/0!</v>
      </c>
      <c r="N106" s="13">
        <f t="shared" si="50"/>
        <v>-9.6904761904761898</v>
      </c>
      <c r="O106" s="13">
        <f t="shared" si="50"/>
        <v>-1.7876712328767124</v>
      </c>
      <c r="P106" s="13">
        <f t="shared" si="50"/>
        <v>0.67391304347826075</v>
      </c>
      <c r="Q106" s="13">
        <f t="shared" si="50"/>
        <v>0.17714285714285705</v>
      </c>
      <c r="R106" s="13">
        <f t="shared" si="50"/>
        <v>1.1827007943512799</v>
      </c>
      <c r="S106" s="13">
        <f t="shared" si="50"/>
        <v>-0.44136676101900529</v>
      </c>
      <c r="T106" s="13">
        <f t="shared" si="50"/>
        <v>-0.61346362649294239</v>
      </c>
      <c r="U106" s="13">
        <f t="shared" si="50"/>
        <v>2.3501872659176031</v>
      </c>
      <c r="V106" s="33">
        <f t="shared" si="50"/>
        <v>1.188652878703186</v>
      </c>
      <c r="W106" s="116">
        <f t="shared" ref="W106:AB106" si="51">W$84/V$84-1</f>
        <v>-0.40009703573610822</v>
      </c>
      <c r="X106" s="13">
        <f t="shared" ca="1" si="51"/>
        <v>9.8903409481045479E-2</v>
      </c>
      <c r="Y106" s="13">
        <f t="shared" ca="1" si="51"/>
        <v>0.1164421092020691</v>
      </c>
      <c r="Z106" s="13">
        <f t="shared" ca="1" si="51"/>
        <v>9.1368438687154496E-2</v>
      </c>
      <c r="AA106" s="13">
        <f t="shared" ca="1" si="51"/>
        <v>0.10012654705762536</v>
      </c>
      <c r="AB106" s="13">
        <f t="shared" ca="1" si="51"/>
        <v>0.10239729871826531</v>
      </c>
    </row>
    <row r="107" spans="2:28" ht="15" thickTop="1" x14ac:dyDescent="0.35">
      <c r="B107" t="s">
        <v>100</v>
      </c>
      <c r="D107" s="13" t="e">
        <f t="shared" ref="D107:AB107" si="52">D$87/C$87-1</f>
        <v>#VALUE!</v>
      </c>
      <c r="E107" s="13" t="e">
        <f t="shared" si="52"/>
        <v>#VALUE!</v>
      </c>
      <c r="F107" s="13" t="e">
        <f t="shared" si="52"/>
        <v>#VALUE!</v>
      </c>
      <c r="G107" s="13" t="e">
        <f t="shared" si="52"/>
        <v>#VALUE!</v>
      </c>
      <c r="H107" s="13" t="e">
        <f t="shared" si="52"/>
        <v>#VALUE!</v>
      </c>
      <c r="I107" s="13" t="e">
        <f t="shared" si="52"/>
        <v>#VALUE!</v>
      </c>
      <c r="J107" s="13" t="e">
        <f t="shared" si="52"/>
        <v>#VALUE!</v>
      </c>
      <c r="K107" s="13" t="e">
        <f t="shared" si="52"/>
        <v>#VALUE!</v>
      </c>
      <c r="L107" s="13" t="e">
        <f t="shared" si="52"/>
        <v>#VALUE!</v>
      </c>
      <c r="M107" s="13" t="e">
        <f t="shared" si="52"/>
        <v>#VALUE!</v>
      </c>
      <c r="N107" s="13" t="e">
        <f t="shared" si="52"/>
        <v>#DIV/0!</v>
      </c>
      <c r="O107" s="13" t="e">
        <f t="shared" si="52"/>
        <v>#DIV/0!</v>
      </c>
      <c r="P107" s="13" t="e">
        <f t="shared" si="52"/>
        <v>#DIV/0!</v>
      </c>
      <c r="Q107" s="13" t="e">
        <f t="shared" si="52"/>
        <v>#DIV/0!</v>
      </c>
      <c r="R107" s="13" t="e">
        <f t="shared" si="52"/>
        <v>#DIV/0!</v>
      </c>
      <c r="S107" s="13" t="e">
        <f t="shared" si="52"/>
        <v>#DIV/0!</v>
      </c>
      <c r="T107" s="13" t="e">
        <f t="shared" si="52"/>
        <v>#DIV/0!</v>
      </c>
      <c r="U107" s="13" t="e">
        <f t="shared" si="52"/>
        <v>#DIV/0!</v>
      </c>
      <c r="V107" s="33" t="e">
        <f t="shared" si="52"/>
        <v>#DIV/0!</v>
      </c>
      <c r="W107" s="34" t="e">
        <f t="shared" ca="1" si="52"/>
        <v>#DIV/0!</v>
      </c>
      <c r="X107" s="13" t="e">
        <f t="shared" ca="1" si="52"/>
        <v>#DIV/0!</v>
      </c>
      <c r="Y107" s="13" t="e">
        <f t="shared" ca="1" si="52"/>
        <v>#DIV/0!</v>
      </c>
      <c r="Z107" s="13" t="e">
        <f t="shared" ca="1" si="52"/>
        <v>#DIV/0!</v>
      </c>
      <c r="AA107" s="13" t="e">
        <f t="shared" ca="1" si="52"/>
        <v>#DIV/0!</v>
      </c>
      <c r="AB107" s="13" t="e">
        <f t="shared" ca="1" si="52"/>
        <v>#DIV/0!</v>
      </c>
    </row>
    <row r="108" spans="2:28" x14ac:dyDescent="0.35"/>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29B9F-CB6D-4F13-ADEF-3FDC2C4A9F8D}">
  <sheetPr codeName="Sheet5">
    <tabColor theme="8" tint="0.79998168889431442"/>
  </sheetPr>
  <dimension ref="A1:AB71"/>
  <sheetViews>
    <sheetView showGridLines="0" zoomScale="85" zoomScaleNormal="85" workbookViewId="0">
      <pane xSplit="2" ySplit="7" topLeftCell="C8" activePane="bottomRight" state="frozen"/>
      <selection activeCell="P52" sqref="P52"/>
      <selection pane="topRight" activeCell="P52" sqref="P52"/>
      <selection pane="bottomLeft" activeCell="P52" sqref="P52"/>
      <selection pane="bottomRight" activeCell="W27" sqref="W27"/>
    </sheetView>
  </sheetViews>
  <sheetFormatPr defaultRowHeight="14.5" outlineLevelCol="1" x14ac:dyDescent="0.35"/>
  <cols>
    <col min="1" max="1" width="15.453125" style="58" customWidth="1" outlineLevel="1"/>
    <col min="2" max="2" width="33" bestFit="1" customWidth="1"/>
    <col min="3" max="28" width="10.81640625" bestFit="1" customWidth="1"/>
  </cols>
  <sheetData>
    <row r="1" spans="1:28" ht="23.5" x14ac:dyDescent="0.55000000000000004">
      <c r="B1" s="5" t="str">
        <f>'Start Here'!$H$5</f>
        <v>Trade Desk, Inc. Class A</v>
      </c>
    </row>
    <row r="2" spans="1:28" ht="20" thickBot="1" x14ac:dyDescent="0.5">
      <c r="B2" s="12" t="str" cm="1">
        <f t="array" aca="1" ref="B2" ca="1">_xlfn.TEXTAFTER(CELL("filename"), "]")</f>
        <v>Raw daily returns</v>
      </c>
    </row>
    <row r="3" spans="1:28" ht="15" thickTop="1" x14ac:dyDescent="0.35">
      <c r="V3" s="17"/>
      <c r="W3" s="18"/>
    </row>
    <row r="4" spans="1:28" x14ac:dyDescent="0.35">
      <c r="V4" s="17"/>
      <c r="W4" s="18"/>
    </row>
    <row r="5" spans="1:28" ht="20" thickBot="1" x14ac:dyDescent="0.5">
      <c r="B5" s="12" t="s">
        <v>114</v>
      </c>
      <c r="V5" s="17"/>
      <c r="W5" s="18"/>
    </row>
    <row r="6" spans="1:28" ht="15.5" thickTop="1" thickBot="1" x14ac:dyDescent="0.4">
      <c r="A6" s="58" t="s">
        <v>86</v>
      </c>
      <c r="B6" s="15"/>
      <c r="C6" s="15"/>
      <c r="D6" s="15"/>
      <c r="E6" s="15"/>
      <c r="F6" s="15"/>
      <c r="G6" s="15"/>
      <c r="H6" s="15"/>
      <c r="I6" s="15"/>
      <c r="J6" s="15"/>
      <c r="K6" s="15"/>
      <c r="L6" s="15"/>
      <c r="M6" s="15"/>
      <c r="N6" s="15"/>
      <c r="O6" s="15"/>
      <c r="P6" s="15"/>
      <c r="Q6" s="15"/>
      <c r="R6" s="15"/>
      <c r="S6" s="15"/>
      <c r="T6" s="15"/>
      <c r="U6" s="15"/>
      <c r="V6" s="19"/>
      <c r="W6" s="20"/>
      <c r="X6" s="15"/>
      <c r="Y6" s="15"/>
      <c r="Z6" s="15"/>
      <c r="AA6" s="15"/>
      <c r="AB6" s="15"/>
    </row>
    <row r="7" spans="1:28" s="1" customFormat="1" ht="15.5" thickTop="1" thickBot="1" x14ac:dyDescent="0.4">
      <c r="A7" s="58" t="str">
        <f>_xlfn.XLOOKUP($B7,'Line item mapping'!$B:$B,'Line item mapping'!$A:$A)</f>
        <v>date</v>
      </c>
      <c r="B7" s="1" t="s">
        <v>51</v>
      </c>
      <c r="C7" s="4" t="e" cm="1">
        <f t="array" ref="C7:V7">GET_FINANCIALS_LINE_ITEM(A7)</f>
        <v>#VALUE!</v>
      </c>
      <c r="D7" s="4" t="e">
        <v>#VALUE!</v>
      </c>
      <c r="E7" s="4" t="e">
        <v>#VALUE!</v>
      </c>
      <c r="F7" s="4" t="e">
        <v>#VALUE!</v>
      </c>
      <c r="G7" s="4" t="e">
        <v>#VALUE!</v>
      </c>
      <c r="H7" s="4" t="e">
        <v>#VALUE!</v>
      </c>
      <c r="I7" s="4" t="e">
        <v>#VALUE!</v>
      </c>
      <c r="J7" s="4" t="e">
        <v>#VALUE!</v>
      </c>
      <c r="K7" s="4" t="e">
        <v>#VALUE!</v>
      </c>
      <c r="L7" s="4">
        <v>42004</v>
      </c>
      <c r="M7" s="4">
        <v>42369</v>
      </c>
      <c r="N7" s="4">
        <v>42735</v>
      </c>
      <c r="O7" s="4">
        <v>43100</v>
      </c>
      <c r="P7" s="4">
        <v>43465</v>
      </c>
      <c r="Q7" s="4">
        <v>43830</v>
      </c>
      <c r="R7" s="4">
        <v>44196</v>
      </c>
      <c r="S7" s="4">
        <v>44561</v>
      </c>
      <c r="T7" s="4">
        <v>44926</v>
      </c>
      <c r="U7" s="4">
        <v>45291</v>
      </c>
      <c r="V7" s="21">
        <v>45657</v>
      </c>
      <c r="W7" s="114">
        <f>EOMONTH($V7,12)</f>
        <v>46022</v>
      </c>
      <c r="X7" s="4">
        <f t="shared" ref="X7:AB7" si="0">EOMONTH($V7,12)</f>
        <v>46022</v>
      </c>
      <c r="Y7" s="4">
        <f t="shared" si="0"/>
        <v>46022</v>
      </c>
      <c r="Z7" s="4">
        <f t="shared" si="0"/>
        <v>46022</v>
      </c>
      <c r="AA7" s="4">
        <f t="shared" si="0"/>
        <v>46022</v>
      </c>
      <c r="AB7" s="4">
        <f t="shared" si="0"/>
        <v>46022</v>
      </c>
    </row>
    <row r="8" spans="1:28" ht="15" thickTop="1" x14ac:dyDescent="0.35">
      <c r="C8" s="8"/>
      <c r="D8" s="8"/>
      <c r="E8" s="8"/>
      <c r="F8" s="8"/>
      <c r="G8" s="8"/>
      <c r="H8" s="8"/>
      <c r="I8" s="8"/>
      <c r="J8" s="8"/>
      <c r="K8" s="8"/>
      <c r="L8" s="8"/>
      <c r="M8" s="8"/>
      <c r="N8" s="8"/>
      <c r="O8" s="8"/>
      <c r="P8" s="8"/>
      <c r="Q8" s="8"/>
      <c r="R8" s="8"/>
      <c r="S8" s="8"/>
      <c r="T8" s="8"/>
      <c r="U8" s="8"/>
      <c r="V8" s="23"/>
      <c r="W8" s="24"/>
      <c r="X8" s="8"/>
      <c r="Y8" s="8"/>
      <c r="Z8" s="8"/>
      <c r="AA8" s="8"/>
      <c r="AB8" s="8"/>
    </row>
    <row r="9" spans="1:28" x14ac:dyDescent="0.35">
      <c r="B9" s="1" t="s">
        <v>125</v>
      </c>
      <c r="C9" s="8"/>
      <c r="D9" s="8"/>
      <c r="E9" s="8"/>
      <c r="F9" s="8"/>
      <c r="G9" s="8"/>
      <c r="H9" s="8"/>
      <c r="I9" s="8"/>
      <c r="J9" s="8"/>
      <c r="K9" s="8"/>
      <c r="L9" s="8"/>
      <c r="M9" s="8"/>
      <c r="N9" s="8"/>
      <c r="O9" s="8"/>
      <c r="P9" s="8"/>
      <c r="Q9" s="8"/>
      <c r="R9" s="8"/>
      <c r="S9" s="8"/>
      <c r="T9" s="8"/>
      <c r="U9" s="8"/>
      <c r="V9" s="23"/>
      <c r="W9" s="24"/>
      <c r="X9" s="8"/>
      <c r="Y9" s="8"/>
      <c r="Z9" s="8"/>
      <c r="AA9" s="8"/>
      <c r="AB9" s="8"/>
    </row>
    <row r="10" spans="1:28" ht="15" thickBot="1" x14ac:dyDescent="0.4">
      <c r="B10" s="35" t="s">
        <v>124</v>
      </c>
      <c r="C10" s="8"/>
      <c r="D10" s="8"/>
      <c r="E10" s="8"/>
      <c r="F10" s="8"/>
      <c r="G10" s="8"/>
      <c r="H10" s="8"/>
      <c r="I10" s="8"/>
      <c r="J10" s="8"/>
      <c r="K10" s="8"/>
      <c r="L10" s="8"/>
      <c r="M10" s="8"/>
      <c r="N10" s="8"/>
      <c r="O10" s="8"/>
      <c r="P10" s="8"/>
      <c r="Q10" s="8"/>
      <c r="R10" s="8"/>
      <c r="S10" s="8"/>
      <c r="T10" s="8"/>
      <c r="U10" s="8"/>
      <c r="V10" s="23"/>
      <c r="W10" s="24"/>
      <c r="X10" s="8"/>
      <c r="Y10" s="8"/>
      <c r="Z10" s="8"/>
      <c r="AA10" s="8"/>
      <c r="AB10" s="8"/>
    </row>
    <row r="11" spans="1:28" ht="15.5" thickTop="1" thickBot="1" x14ac:dyDescent="0.4">
      <c r="A11" s="58" t="s">
        <v>10</v>
      </c>
      <c r="B11" t="s">
        <v>60</v>
      </c>
      <c r="C11" s="8" t="e" cm="1">
        <f t="array" ref="C11:V11">GET_FINANCIALS_LINE_ITEM(A11)</f>
        <v>#VALUE!</v>
      </c>
      <c r="D11" s="8" t="e">
        <v>#VALUE!</v>
      </c>
      <c r="E11" s="8" t="e">
        <v>#VALUE!</v>
      </c>
      <c r="F11" s="8" t="e">
        <v>#VALUE!</v>
      </c>
      <c r="G11" s="8" t="e">
        <v>#VALUE!</v>
      </c>
      <c r="H11" s="8" t="e">
        <v>#VALUE!</v>
      </c>
      <c r="I11" s="8" t="e">
        <v>#VALUE!</v>
      </c>
      <c r="J11" s="8" t="e">
        <v>#VALUE!</v>
      </c>
      <c r="K11" s="8" t="e">
        <v>#VALUE!</v>
      </c>
      <c r="L11" s="8">
        <v>17.315000000000001</v>
      </c>
      <c r="M11" s="8">
        <v>4.0469999999999997</v>
      </c>
      <c r="N11" s="8">
        <v>133.4</v>
      </c>
      <c r="O11" s="8">
        <v>155.94999999999999</v>
      </c>
      <c r="P11" s="8">
        <v>207.232</v>
      </c>
      <c r="Q11" s="8">
        <v>254.988</v>
      </c>
      <c r="R11" s="8">
        <v>624.03800000000001</v>
      </c>
      <c r="S11" s="8">
        <v>958.779</v>
      </c>
      <c r="T11" s="8">
        <v>1446.586</v>
      </c>
      <c r="U11" s="8">
        <v>1380.288</v>
      </c>
      <c r="V11" s="23">
        <v>1921.489</v>
      </c>
      <c r="W11" s="117">
        <f ca="1">V$11+'Cash flow statement'!W$34</f>
        <v>1627.4426895866104</v>
      </c>
      <c r="X11" s="8">
        <f ca="1">W$11+'Cash flow statement'!X$34</f>
        <v>1562.3636756603623</v>
      </c>
      <c r="Y11" s="8">
        <f ca="1">X$11+'Cash flow statement'!Y$34</f>
        <v>1525.6126536801287</v>
      </c>
      <c r="Z11" s="8">
        <f ca="1">Y$11+'Cash flow statement'!Z$34</f>
        <v>1538.8217452387216</v>
      </c>
      <c r="AA11" s="8">
        <f ca="1">Z$11+'Cash flow statement'!AA$34</f>
        <v>1557.960128476926</v>
      </c>
      <c r="AB11" s="8">
        <f ca="1">AA$11+'Cash flow statement'!AB$34</f>
        <v>1580.4363196323463</v>
      </c>
    </row>
    <row r="12" spans="1:28" ht="15" thickTop="1" x14ac:dyDescent="0.35">
      <c r="B12" s="37" t="s">
        <v>142</v>
      </c>
      <c r="C12" s="38"/>
      <c r="D12" s="38"/>
      <c r="E12" s="38"/>
      <c r="F12" s="38"/>
      <c r="G12" s="38"/>
      <c r="H12" s="38"/>
      <c r="I12" s="38"/>
      <c r="J12" s="38"/>
      <c r="K12" s="38"/>
      <c r="L12" s="38"/>
      <c r="M12" s="38"/>
      <c r="N12" s="38"/>
      <c r="O12" s="38"/>
      <c r="P12" s="38"/>
      <c r="Q12" s="38"/>
      <c r="R12" s="38"/>
      <c r="S12" s="38"/>
      <c r="T12" s="38"/>
      <c r="U12" s="38"/>
      <c r="V12" s="39"/>
      <c r="W12" s="40"/>
      <c r="X12" s="38"/>
      <c r="Y12" s="38"/>
      <c r="Z12" s="38"/>
      <c r="AA12" s="38"/>
      <c r="AB12" s="38"/>
    </row>
    <row r="13" spans="1:28" x14ac:dyDescent="0.35">
      <c r="A13" s="58" t="s">
        <v>37</v>
      </c>
      <c r="B13" s="41" t="s">
        <v>136</v>
      </c>
      <c r="C13" s="38" t="e" cm="1">
        <f t="array" ref="C13:V13">GET_FINANCIALS_LINE_ITEM(A13)</f>
        <v>#VALUE!</v>
      </c>
      <c r="D13" s="38" t="e">
        <v>#VALUE!</v>
      </c>
      <c r="E13" s="38" t="e">
        <v>#VALUE!</v>
      </c>
      <c r="F13" s="38" t="e">
        <v>#VALUE!</v>
      </c>
      <c r="G13" s="38" t="e">
        <v>#VALUE!</v>
      </c>
      <c r="H13" s="38" t="e">
        <v>#VALUE!</v>
      </c>
      <c r="I13" s="38" t="e">
        <v>#VALUE!</v>
      </c>
      <c r="J13" s="38" t="e">
        <v>#VALUE!</v>
      </c>
      <c r="K13" s="38" t="e">
        <v>#VALUE!</v>
      </c>
      <c r="L13" s="38">
        <v>0</v>
      </c>
      <c r="M13" s="38">
        <v>0</v>
      </c>
      <c r="N13" s="38">
        <v>0</v>
      </c>
      <c r="O13" s="38">
        <v>0</v>
      </c>
      <c r="P13" s="38">
        <v>0</v>
      </c>
      <c r="Q13" s="38">
        <v>0</v>
      </c>
      <c r="R13" s="38">
        <v>0</v>
      </c>
      <c r="S13" s="38">
        <v>0</v>
      </c>
      <c r="T13" s="38">
        <v>0</v>
      </c>
      <c r="U13" s="38">
        <v>0</v>
      </c>
      <c r="V13" s="39">
        <v>0</v>
      </c>
      <c r="W13" s="40"/>
      <c r="X13" s="38"/>
      <c r="Y13" s="38"/>
      <c r="Z13" s="38"/>
      <c r="AA13" s="38"/>
      <c r="AB13" s="38"/>
    </row>
    <row r="14" spans="1:28" x14ac:dyDescent="0.35">
      <c r="A14" s="58" t="s">
        <v>38</v>
      </c>
      <c r="B14" s="41" t="s">
        <v>143</v>
      </c>
      <c r="C14" s="38" t="e" cm="1">
        <f t="array" ref="C14:V14">GET_FINANCIALS_LINE_ITEM(A14)</f>
        <v>#VALUE!</v>
      </c>
      <c r="D14" s="38" t="e">
        <v>#VALUE!</v>
      </c>
      <c r="E14" s="38" t="e">
        <v>#VALUE!</v>
      </c>
      <c r="F14" s="38" t="e">
        <v>#VALUE!</v>
      </c>
      <c r="G14" s="38" t="e">
        <v>#VALUE!</v>
      </c>
      <c r="H14" s="38" t="e">
        <v>#VALUE!</v>
      </c>
      <c r="I14" s="38" t="e">
        <v>#VALUE!</v>
      </c>
      <c r="J14" s="38" t="e">
        <v>#VALUE!</v>
      </c>
      <c r="K14" s="38" t="e">
        <v>#VALUE!</v>
      </c>
      <c r="L14" s="38">
        <v>0</v>
      </c>
      <c r="M14" s="38">
        <v>0</v>
      </c>
      <c r="N14" s="38">
        <v>0</v>
      </c>
      <c r="O14" s="38">
        <v>0</v>
      </c>
      <c r="P14" s="38">
        <v>0</v>
      </c>
      <c r="Q14" s="38">
        <v>0</v>
      </c>
      <c r="R14" s="38">
        <v>0</v>
      </c>
      <c r="S14" s="38">
        <v>0</v>
      </c>
      <c r="T14" s="38">
        <v>0</v>
      </c>
      <c r="U14" s="38">
        <v>0</v>
      </c>
      <c r="V14" s="39">
        <v>0</v>
      </c>
      <c r="W14" s="40"/>
      <c r="X14" s="38"/>
      <c r="Y14" s="38"/>
      <c r="Z14" s="38"/>
      <c r="AA14" s="38"/>
      <c r="AB14" s="38"/>
    </row>
    <row r="15" spans="1:28" x14ac:dyDescent="0.35">
      <c r="B15" s="41" t="s">
        <v>144</v>
      </c>
      <c r="C15" s="38" t="e">
        <f>C$16-SUM(C$13:C$14)</f>
        <v>#VALUE!</v>
      </c>
      <c r="D15" s="38" t="e">
        <f t="shared" ref="D15:V15" si="1">D$16-SUM(D$13:D$14)</f>
        <v>#VALUE!</v>
      </c>
      <c r="E15" s="38" t="e">
        <f t="shared" si="1"/>
        <v>#VALUE!</v>
      </c>
      <c r="F15" s="38" t="e">
        <f t="shared" si="1"/>
        <v>#VALUE!</v>
      </c>
      <c r="G15" s="38" t="e">
        <f t="shared" si="1"/>
        <v>#VALUE!</v>
      </c>
      <c r="H15" s="38" t="e">
        <f t="shared" si="1"/>
        <v>#VALUE!</v>
      </c>
      <c r="I15" s="38" t="e">
        <f t="shared" si="1"/>
        <v>#VALUE!</v>
      </c>
      <c r="J15" s="38" t="e">
        <f t="shared" si="1"/>
        <v>#VALUE!</v>
      </c>
      <c r="K15" s="38" t="e">
        <f t="shared" si="1"/>
        <v>#VALUE!</v>
      </c>
      <c r="L15" s="38">
        <f t="shared" si="1"/>
        <v>0</v>
      </c>
      <c r="M15" s="38">
        <f t="shared" si="1"/>
        <v>0</v>
      </c>
      <c r="N15" s="38">
        <f t="shared" si="1"/>
        <v>0</v>
      </c>
      <c r="O15" s="38">
        <f t="shared" si="1"/>
        <v>0</v>
      </c>
      <c r="P15" s="38">
        <f t="shared" si="1"/>
        <v>0</v>
      </c>
      <c r="Q15" s="38">
        <f t="shared" si="1"/>
        <v>0</v>
      </c>
      <c r="R15" s="38">
        <f t="shared" si="1"/>
        <v>0</v>
      </c>
      <c r="S15" s="38">
        <f t="shared" si="1"/>
        <v>0</v>
      </c>
      <c r="T15" s="38">
        <f t="shared" si="1"/>
        <v>0</v>
      </c>
      <c r="U15" s="38">
        <f t="shared" si="1"/>
        <v>0</v>
      </c>
      <c r="V15" s="39">
        <f t="shared" si="1"/>
        <v>0</v>
      </c>
      <c r="W15" s="40"/>
      <c r="X15" s="38"/>
      <c r="Y15" s="38"/>
      <c r="Z15" s="38"/>
      <c r="AA15" s="38"/>
      <c r="AB15" s="38"/>
    </row>
    <row r="16" spans="1:28" x14ac:dyDescent="0.35">
      <c r="A16" s="58" t="s">
        <v>11</v>
      </c>
      <c r="B16" s="42" t="s">
        <v>145</v>
      </c>
      <c r="C16" s="43" t="e" cm="1">
        <f t="array" ref="C16:V16">GET_FINANCIALS_LINE_ITEM(A16)</f>
        <v>#VALUE!</v>
      </c>
      <c r="D16" s="43" t="e">
        <v>#VALUE!</v>
      </c>
      <c r="E16" s="43" t="e">
        <v>#VALUE!</v>
      </c>
      <c r="F16" s="43" t="e">
        <v>#VALUE!</v>
      </c>
      <c r="G16" s="43" t="e">
        <v>#VALUE!</v>
      </c>
      <c r="H16" s="43" t="e">
        <v>#VALUE!</v>
      </c>
      <c r="I16" s="43" t="e">
        <v>#VALUE!</v>
      </c>
      <c r="J16" s="43" t="e">
        <v>#VALUE!</v>
      </c>
      <c r="K16" s="43" t="e">
        <v>#VALUE!</v>
      </c>
      <c r="L16" s="43">
        <v>0</v>
      </c>
      <c r="M16" s="43">
        <v>0</v>
      </c>
      <c r="N16" s="43">
        <v>0</v>
      </c>
      <c r="O16" s="43">
        <v>0</v>
      </c>
      <c r="P16" s="43">
        <v>0</v>
      </c>
      <c r="Q16" s="43">
        <v>0</v>
      </c>
      <c r="R16" s="43">
        <v>0</v>
      </c>
      <c r="S16" s="43">
        <v>0</v>
      </c>
      <c r="T16" s="43">
        <v>0</v>
      </c>
      <c r="U16" s="43">
        <v>0</v>
      </c>
      <c r="V16" s="44">
        <v>0</v>
      </c>
      <c r="W16" s="40"/>
      <c r="X16" s="38"/>
      <c r="Y16" s="38"/>
      <c r="Z16" s="38"/>
      <c r="AA16" s="38"/>
      <c r="AB16" s="38"/>
    </row>
    <row r="17" spans="1:28" x14ac:dyDescent="0.35">
      <c r="A17" s="58" t="s">
        <v>25</v>
      </c>
      <c r="B17" t="s">
        <v>67</v>
      </c>
      <c r="C17" s="8" t="e" cm="1">
        <f t="array" ref="C17:V17">GET_FINANCIALS_LINE_ITEM(A17)</f>
        <v>#VALUE!</v>
      </c>
      <c r="D17" s="8" t="e">
        <v>#VALUE!</v>
      </c>
      <c r="E17" s="8" t="e">
        <v>#VALUE!</v>
      </c>
      <c r="F17" s="8" t="e">
        <v>#VALUE!</v>
      </c>
      <c r="G17" s="8" t="e">
        <v>#VALUE!</v>
      </c>
      <c r="H17" s="8" t="e">
        <v>#VALUE!</v>
      </c>
      <c r="I17" s="8" t="e">
        <v>#VALUE!</v>
      </c>
      <c r="J17" s="8" t="e">
        <v>#VALUE!</v>
      </c>
      <c r="K17" s="8" t="e">
        <v>#VALUE!</v>
      </c>
      <c r="L17" s="8">
        <v>78.364000000000004</v>
      </c>
      <c r="M17" s="8">
        <v>191.94300000000001</v>
      </c>
      <c r="N17" s="8">
        <v>377.24</v>
      </c>
      <c r="O17" s="8">
        <v>599.56500000000005</v>
      </c>
      <c r="P17" s="8">
        <v>834.76400000000001</v>
      </c>
      <c r="Q17" s="8">
        <v>1166.376</v>
      </c>
      <c r="R17" s="8">
        <v>1584.1089999999999</v>
      </c>
      <c r="S17" s="8">
        <v>2020.72</v>
      </c>
      <c r="T17" s="8">
        <v>2347.1950000000002</v>
      </c>
      <c r="U17" s="8">
        <v>2870.3130000000001</v>
      </c>
      <c r="V17" s="23">
        <v>3330.3429999999998</v>
      </c>
      <c r="W17" s="40"/>
      <c r="X17" s="38"/>
      <c r="Y17" s="38"/>
      <c r="Z17" s="38"/>
      <c r="AA17" s="38"/>
      <c r="AB17" s="38"/>
    </row>
    <row r="18" spans="1:28" x14ac:dyDescent="0.35">
      <c r="B18" t="s">
        <v>171</v>
      </c>
      <c r="C18" s="38"/>
      <c r="D18" s="38"/>
      <c r="E18" s="38"/>
      <c r="F18" s="38"/>
      <c r="G18" s="38"/>
      <c r="H18" s="38"/>
      <c r="I18" s="38"/>
      <c r="J18" s="38"/>
      <c r="K18" s="38"/>
      <c r="L18" s="38"/>
      <c r="M18" s="38"/>
      <c r="N18" s="38"/>
      <c r="O18" s="38"/>
      <c r="P18" s="38"/>
      <c r="Q18" s="38"/>
      <c r="R18" s="38"/>
      <c r="S18" s="38"/>
      <c r="T18" s="38"/>
      <c r="U18" s="38"/>
      <c r="V18" s="39"/>
      <c r="W18" s="24">
        <f>W$70*'Income statement'!W$7</f>
        <v>1144.2742412183316</v>
      </c>
      <c r="X18" s="8">
        <f>X$70*'Income statement'!X$7</f>
        <v>1381.5890664741491</v>
      </c>
      <c r="Y18" s="8">
        <f>Y$70*'Income statement'!Y$7</f>
        <v>1607.7505769440568</v>
      </c>
      <c r="Z18" s="8">
        <f>Z$70*'Income statement'!Z$7</f>
        <v>1800.6806461773438</v>
      </c>
      <c r="AA18" s="8">
        <f>AA$70*'Income statement'!AA$7</f>
        <v>2016.7623237186251</v>
      </c>
      <c r="AB18" s="8">
        <f>AB$70*'Income statement'!AB$7</f>
        <v>2258.7738025648605</v>
      </c>
    </row>
    <row r="19" spans="1:28" x14ac:dyDescent="0.35">
      <c r="B19" t="s">
        <v>170</v>
      </c>
      <c r="C19" s="38"/>
      <c r="D19" s="38"/>
      <c r="E19" s="38"/>
      <c r="F19" s="38"/>
      <c r="G19" s="38"/>
      <c r="H19" s="38"/>
      <c r="I19" s="38"/>
      <c r="J19" s="38"/>
      <c r="K19" s="38"/>
      <c r="L19" s="38"/>
      <c r="M19" s="38"/>
      <c r="N19" s="38"/>
      <c r="O19" s="38"/>
      <c r="P19" s="38"/>
      <c r="Q19" s="38"/>
      <c r="R19" s="38"/>
      <c r="S19" s="38"/>
      <c r="T19" s="38"/>
      <c r="U19" s="38"/>
      <c r="V19" s="39"/>
      <c r="W19" s="24">
        <f>W$71*'Income statement'!W$7</f>
        <v>-181.42618696822453</v>
      </c>
      <c r="X19" s="8">
        <f>X$71*'Income statement'!X$7</f>
        <v>-219.05276485164507</v>
      </c>
      <c r="Y19" s="8">
        <f>Y$71*'Income statement'!Y$7</f>
        <v>-254.91096999645575</v>
      </c>
      <c r="Z19" s="8">
        <f>Z$71*'Income statement'!Z$7</f>
        <v>-285.50028639603045</v>
      </c>
      <c r="AA19" s="8">
        <f>AA$71*'Income statement'!AA$7</f>
        <v>-319.76032076355415</v>
      </c>
      <c r="AB19" s="8">
        <f>AB$71*'Income statement'!AB$7</f>
        <v>-358.13155925518066</v>
      </c>
    </row>
    <row r="20" spans="1:28" x14ac:dyDescent="0.35">
      <c r="B20" t="s">
        <v>119</v>
      </c>
      <c r="C20" s="8" t="e">
        <f>C$21-SUM(C$11,C$16:C$17)</f>
        <v>#VALUE!</v>
      </c>
      <c r="D20" s="8" t="e">
        <f t="shared" ref="D20:V20" si="2">D$21-SUM(D$11,D$16:D$17)</f>
        <v>#VALUE!</v>
      </c>
      <c r="E20" s="8" t="e">
        <f t="shared" si="2"/>
        <v>#VALUE!</v>
      </c>
      <c r="F20" s="8" t="e">
        <f t="shared" si="2"/>
        <v>#VALUE!</v>
      </c>
      <c r="G20" s="8" t="e">
        <f t="shared" si="2"/>
        <v>#VALUE!</v>
      </c>
      <c r="H20" s="8" t="e">
        <f t="shared" si="2"/>
        <v>#VALUE!</v>
      </c>
      <c r="I20" s="8" t="e">
        <f t="shared" si="2"/>
        <v>#VALUE!</v>
      </c>
      <c r="J20" s="8" t="e">
        <f t="shared" si="2"/>
        <v>#VALUE!</v>
      </c>
      <c r="K20" s="8" t="e">
        <f t="shared" si="2"/>
        <v>#VALUE!</v>
      </c>
      <c r="L20" s="8">
        <f t="shared" si="2"/>
        <v>1.4119999999999919</v>
      </c>
      <c r="M20" s="8">
        <f t="shared" si="2"/>
        <v>3.8119999999999834</v>
      </c>
      <c r="N20" s="8">
        <f t="shared" si="2"/>
        <v>5.7630000000000337</v>
      </c>
      <c r="O20" s="8">
        <f t="shared" si="2"/>
        <v>10.297999999999888</v>
      </c>
      <c r="P20" s="8">
        <f t="shared" si="2"/>
        <v>14.526999999999816</v>
      </c>
      <c r="Q20" s="8">
        <f t="shared" si="2"/>
        <v>27.856999999999971</v>
      </c>
      <c r="R20" s="8">
        <f t="shared" si="2"/>
        <v>102.17000000000007</v>
      </c>
      <c r="S20" s="8">
        <f t="shared" si="2"/>
        <v>112.15000000000009</v>
      </c>
      <c r="T20" s="8">
        <f t="shared" si="2"/>
        <v>51.83600000000024</v>
      </c>
      <c r="U20" s="8">
        <f t="shared" si="2"/>
        <v>63.352999999999156</v>
      </c>
      <c r="V20" s="23">
        <f t="shared" si="2"/>
        <v>84.625999999999294</v>
      </c>
      <c r="W20" s="40"/>
      <c r="X20" s="38"/>
      <c r="Y20" s="38"/>
      <c r="Z20" s="38"/>
      <c r="AA20" s="38"/>
      <c r="AB20" s="38"/>
    </row>
    <row r="21" spans="1:28" x14ac:dyDescent="0.35">
      <c r="A21" s="58" t="s">
        <v>12</v>
      </c>
      <c r="B21" s="6" t="s">
        <v>61</v>
      </c>
      <c r="C21" s="9" t="e" cm="1">
        <f t="array" ref="C21:V21">GET_FINANCIALS_LINE_ITEM(A21)</f>
        <v>#VALUE!</v>
      </c>
      <c r="D21" s="9" t="e">
        <v>#VALUE!</v>
      </c>
      <c r="E21" s="9" t="e">
        <v>#VALUE!</v>
      </c>
      <c r="F21" s="9" t="e">
        <v>#VALUE!</v>
      </c>
      <c r="G21" s="9" t="e">
        <v>#VALUE!</v>
      </c>
      <c r="H21" s="9" t="e">
        <v>#VALUE!</v>
      </c>
      <c r="I21" s="9" t="e">
        <v>#VALUE!</v>
      </c>
      <c r="J21" s="9" t="e">
        <v>#VALUE!</v>
      </c>
      <c r="K21" s="9" t="e">
        <v>#VALUE!</v>
      </c>
      <c r="L21" s="9">
        <v>97.090999999999994</v>
      </c>
      <c r="M21" s="9">
        <v>199.80199999999999</v>
      </c>
      <c r="N21" s="9">
        <v>516.40300000000002</v>
      </c>
      <c r="O21" s="9">
        <v>765.81299999999999</v>
      </c>
      <c r="P21" s="9">
        <v>1056.5229999999999</v>
      </c>
      <c r="Q21" s="9">
        <v>1449.221</v>
      </c>
      <c r="R21" s="9">
        <v>2310.317</v>
      </c>
      <c r="S21" s="9">
        <v>3091.6489999999999</v>
      </c>
      <c r="T21" s="9">
        <v>3845.6170000000002</v>
      </c>
      <c r="U21" s="9">
        <v>4313.9539999999997</v>
      </c>
      <c r="V21" s="25">
        <v>5336.4579999999996</v>
      </c>
      <c r="W21" s="26">
        <f ca="1">W$11+W$18+W$19</f>
        <v>2590.2907438367174</v>
      </c>
      <c r="X21" s="9">
        <f t="shared" ref="X21:AB21" ca="1" si="3">SUM(X$11,X$16:X$20)</f>
        <v>2724.8999772828665</v>
      </c>
      <c r="Y21" s="9">
        <f t="shared" ca="1" si="3"/>
        <v>2878.4522606277296</v>
      </c>
      <c r="Z21" s="9">
        <f t="shared" ca="1" si="3"/>
        <v>3054.0021050200353</v>
      </c>
      <c r="AA21" s="9">
        <f t="shared" ca="1" si="3"/>
        <v>3254.962131431997</v>
      </c>
      <c r="AB21" s="9">
        <f t="shared" ca="1" si="3"/>
        <v>3481.0785629420266</v>
      </c>
    </row>
    <row r="22" spans="1:28" x14ac:dyDescent="0.35">
      <c r="C22" s="8"/>
      <c r="D22" s="8"/>
      <c r="E22" s="8"/>
      <c r="F22" s="8"/>
      <c r="G22" s="8"/>
      <c r="H22" s="8"/>
      <c r="I22" s="8"/>
      <c r="J22" s="8"/>
      <c r="K22" s="8"/>
      <c r="L22" s="8"/>
      <c r="M22" s="8"/>
      <c r="N22" s="8"/>
      <c r="O22" s="8"/>
      <c r="P22" s="8"/>
      <c r="Q22" s="8"/>
      <c r="R22" s="8"/>
      <c r="S22" s="8"/>
      <c r="T22" s="8"/>
      <c r="U22" s="8"/>
      <c r="V22" s="23"/>
      <c r="W22" s="24"/>
      <c r="X22" s="8"/>
      <c r="Y22" s="8"/>
      <c r="Z22" s="8"/>
      <c r="AA22" s="8"/>
      <c r="AB22" s="8"/>
    </row>
    <row r="23" spans="1:28" x14ac:dyDescent="0.35">
      <c r="B23" s="35" t="s">
        <v>126</v>
      </c>
      <c r="C23" s="8"/>
      <c r="D23" s="8"/>
      <c r="E23" s="8"/>
      <c r="F23" s="8"/>
      <c r="G23" s="8"/>
      <c r="H23" s="8"/>
      <c r="I23" s="8"/>
      <c r="J23" s="8"/>
      <c r="K23" s="8"/>
      <c r="L23" s="8"/>
      <c r="M23" s="8"/>
      <c r="N23" s="8"/>
      <c r="O23" s="8"/>
      <c r="P23" s="8"/>
      <c r="Q23" s="8"/>
      <c r="R23" s="8"/>
      <c r="S23" s="8"/>
      <c r="T23" s="8"/>
      <c r="U23" s="8"/>
      <c r="V23" s="23"/>
      <c r="W23" s="24"/>
      <c r="X23" s="8"/>
      <c r="Y23" s="8"/>
      <c r="Z23" s="8"/>
      <c r="AA23" s="8"/>
      <c r="AB23" s="8"/>
    </row>
    <row r="24" spans="1:28" x14ac:dyDescent="0.35">
      <c r="A24" s="58" t="s">
        <v>24</v>
      </c>
      <c r="B24" t="s">
        <v>77</v>
      </c>
      <c r="C24" s="8" t="e" cm="1">
        <f t="array" ref="C24:V24">GET_FINANCIALS_LINE_ITEM(A24)</f>
        <v>#VALUE!</v>
      </c>
      <c r="D24" s="8" t="e">
        <v>#VALUE!</v>
      </c>
      <c r="E24" s="8" t="e">
        <v>#VALUE!</v>
      </c>
      <c r="F24" s="8" t="e">
        <v>#VALUE!</v>
      </c>
      <c r="G24" s="8" t="e">
        <v>#VALUE!</v>
      </c>
      <c r="H24" s="8" t="e">
        <v>#VALUE!</v>
      </c>
      <c r="I24" s="8" t="e">
        <v>#VALUE!</v>
      </c>
      <c r="J24" s="8" t="e">
        <v>#VALUE!</v>
      </c>
      <c r="K24" s="8" t="e">
        <v>#VALUE!</v>
      </c>
      <c r="L24" s="8">
        <v>2.379</v>
      </c>
      <c r="M24" s="8">
        <v>6.625</v>
      </c>
      <c r="N24" s="8">
        <v>14.779</v>
      </c>
      <c r="O24" s="8">
        <v>17.405000000000001</v>
      </c>
      <c r="P24" s="8">
        <v>33.045999999999999</v>
      </c>
      <c r="Q24" s="8">
        <v>237.46100000000001</v>
      </c>
      <c r="R24" s="8">
        <v>364.00599999999997</v>
      </c>
      <c r="S24" s="8">
        <v>369.947</v>
      </c>
      <c r="T24" s="8">
        <v>394.15499999999997</v>
      </c>
      <c r="U24" s="8">
        <v>359.154</v>
      </c>
      <c r="V24" s="23">
        <v>473.09300000000002</v>
      </c>
      <c r="W24" s="40"/>
      <c r="X24" s="38"/>
      <c r="Y24" s="38"/>
      <c r="Z24" s="38"/>
      <c r="AA24" s="38"/>
      <c r="AB24" s="38"/>
    </row>
    <row r="25" spans="1:28" x14ac:dyDescent="0.35">
      <c r="A25" s="58" t="s">
        <v>39</v>
      </c>
      <c r="B25" t="s">
        <v>137</v>
      </c>
      <c r="C25" s="8" t="e" cm="1">
        <f t="array" ref="C25:V25">GET_FINANCIALS_LINE_ITEM(A25)</f>
        <v>#VALUE!</v>
      </c>
      <c r="D25" s="8" t="e">
        <v>#VALUE!</v>
      </c>
      <c r="E25" s="8" t="e">
        <v>#VALUE!</v>
      </c>
      <c r="F25" s="8" t="e">
        <v>#VALUE!</v>
      </c>
      <c r="G25" s="8" t="e">
        <v>#VALUE!</v>
      </c>
      <c r="H25" s="8" t="e">
        <v>#VALUE!</v>
      </c>
      <c r="I25" s="8" t="e">
        <v>#VALUE!</v>
      </c>
      <c r="J25" s="8" t="e">
        <v>#VALUE!</v>
      </c>
      <c r="K25" s="8" t="e">
        <v>#VALUE!</v>
      </c>
      <c r="L25" s="8">
        <v>0</v>
      </c>
      <c r="M25" s="8">
        <v>0</v>
      </c>
      <c r="N25" s="8">
        <v>2.76</v>
      </c>
      <c r="O25" s="8">
        <v>4.399</v>
      </c>
      <c r="P25" s="8">
        <v>8.1010000000000009</v>
      </c>
      <c r="Q25" s="8">
        <v>9.0820000000000007</v>
      </c>
      <c r="R25" s="8">
        <v>11.505000000000001</v>
      </c>
      <c r="S25" s="8">
        <v>14.334</v>
      </c>
      <c r="T25" s="8">
        <v>18.544</v>
      </c>
      <c r="U25" s="8">
        <v>16.901</v>
      </c>
      <c r="V25" s="23">
        <v>14.621</v>
      </c>
      <c r="W25" s="40"/>
      <c r="X25" s="38"/>
      <c r="Y25" s="38"/>
      <c r="Z25" s="38"/>
      <c r="AA25" s="38"/>
      <c r="AB25" s="38"/>
    </row>
    <row r="26" spans="1:28" x14ac:dyDescent="0.35">
      <c r="A26" s="58" t="s">
        <v>13</v>
      </c>
      <c r="B26" t="s">
        <v>121</v>
      </c>
      <c r="C26" s="8" t="e" cm="1">
        <f t="array" ref="C26:V26">GET_FINANCIALS_LINE_ITEM(A26)</f>
        <v>#VALUE!</v>
      </c>
      <c r="D26" s="8" t="e">
        <v>#VALUE!</v>
      </c>
      <c r="E26" s="8" t="e">
        <v>#VALUE!</v>
      </c>
      <c r="F26" s="8" t="e">
        <v>#VALUE!</v>
      </c>
      <c r="G26" s="8" t="e">
        <v>#VALUE!</v>
      </c>
      <c r="H26" s="8" t="e">
        <v>#VALUE!</v>
      </c>
      <c r="I26" s="8" t="e">
        <v>#VALUE!</v>
      </c>
      <c r="J26" s="8" t="e">
        <v>#VALUE!</v>
      </c>
      <c r="K26" s="8" t="e">
        <v>#VALUE!</v>
      </c>
      <c r="L26" s="8">
        <v>0</v>
      </c>
      <c r="M26" s="8">
        <v>0</v>
      </c>
      <c r="N26" s="8">
        <v>2.76</v>
      </c>
      <c r="O26" s="8">
        <v>4.399</v>
      </c>
      <c r="P26" s="8">
        <v>8.1010000000000009</v>
      </c>
      <c r="Q26" s="8">
        <v>9.0820000000000007</v>
      </c>
      <c r="R26" s="8">
        <v>11.505000000000001</v>
      </c>
      <c r="S26" s="8">
        <v>14.334</v>
      </c>
      <c r="T26" s="8">
        <v>18.544</v>
      </c>
      <c r="U26" s="8">
        <v>16.901</v>
      </c>
      <c r="V26" s="23">
        <v>14.621</v>
      </c>
      <c r="W26" s="40"/>
      <c r="X26" s="38"/>
      <c r="Y26" s="38"/>
      <c r="Z26" s="38"/>
      <c r="AA26" s="38"/>
      <c r="AB26" s="38"/>
    </row>
    <row r="27" spans="1:28" x14ac:dyDescent="0.35">
      <c r="B27" t="s">
        <v>186</v>
      </c>
      <c r="C27" s="38"/>
      <c r="D27" s="38"/>
      <c r="E27" s="38"/>
      <c r="F27" s="38"/>
      <c r="G27" s="38"/>
      <c r="H27" s="38"/>
      <c r="I27" s="38"/>
      <c r="J27" s="38"/>
      <c r="K27" s="38"/>
      <c r="L27" s="38"/>
      <c r="M27" s="38"/>
      <c r="N27" s="38"/>
      <c r="O27" s="38"/>
      <c r="P27" s="38"/>
      <c r="Q27" s="38"/>
      <c r="R27" s="38"/>
      <c r="S27" s="38"/>
      <c r="T27" s="38"/>
      <c r="U27" s="38"/>
      <c r="V27" s="39"/>
      <c r="W27" s="24">
        <f ca="1">W$59</f>
        <v>611.25462705794257</v>
      </c>
      <c r="X27" s="8">
        <f t="shared" ref="X27:AB27" ca="1" si="4">X$59</f>
        <v>736.22546786658529</v>
      </c>
      <c r="Y27" s="8">
        <f t="shared" ca="1" si="4"/>
        <v>872.47931012957133</v>
      </c>
      <c r="Z27" s="8">
        <f t="shared" ca="1" si="4"/>
        <v>1013.2147245638781</v>
      </c>
      <c r="AA27" s="8">
        <f t="shared" ca="1" si="4"/>
        <v>1160.2085078300638</v>
      </c>
      <c r="AB27" s="8">
        <f t="shared" ca="1" si="4"/>
        <v>1317.6754161879542</v>
      </c>
    </row>
    <row r="28" spans="1:28" x14ac:dyDescent="0.35">
      <c r="A28" s="58" t="s">
        <v>84</v>
      </c>
      <c r="B28" t="s">
        <v>85</v>
      </c>
      <c r="C28" s="8" t="e" cm="1">
        <f t="array" ref="C28:V28">GET_FINANCIALS_LINE_ITEM(A28)</f>
        <v>#VALUE!</v>
      </c>
      <c r="D28" s="8" t="e">
        <v>#VALUE!</v>
      </c>
      <c r="E28" s="8" t="e">
        <v>#VALUE!</v>
      </c>
      <c r="F28" s="8" t="e">
        <v>#VALUE!</v>
      </c>
      <c r="G28" s="8" t="e">
        <v>#VALUE!</v>
      </c>
      <c r="H28" s="8" t="e">
        <v>#VALUE!</v>
      </c>
      <c r="I28" s="8" t="e">
        <v>#VALUE!</v>
      </c>
      <c r="J28" s="8" t="e">
        <v>#VALUE!</v>
      </c>
      <c r="K28" s="8" t="e">
        <v>#VALUE!</v>
      </c>
      <c r="L28" s="8">
        <v>0</v>
      </c>
      <c r="M28" s="8">
        <v>0</v>
      </c>
      <c r="N28" s="8">
        <v>0</v>
      </c>
      <c r="O28" s="8">
        <v>0</v>
      </c>
      <c r="P28" s="8">
        <v>0</v>
      </c>
      <c r="Q28" s="8">
        <v>0</v>
      </c>
      <c r="R28" s="8">
        <v>0</v>
      </c>
      <c r="S28" s="8">
        <v>0</v>
      </c>
      <c r="T28" s="8">
        <v>0</v>
      </c>
      <c r="U28" s="8">
        <v>0</v>
      </c>
      <c r="V28" s="23">
        <v>0</v>
      </c>
      <c r="W28" s="24">
        <f>V28</f>
        <v>0</v>
      </c>
      <c r="X28" s="8">
        <f t="shared" ref="X28:AB28" si="5">W28</f>
        <v>0</v>
      </c>
      <c r="Y28" s="8">
        <f t="shared" si="5"/>
        <v>0</v>
      </c>
      <c r="Z28" s="8">
        <f t="shared" si="5"/>
        <v>0</v>
      </c>
      <c r="AA28" s="8">
        <f t="shared" si="5"/>
        <v>0</v>
      </c>
      <c r="AB28" s="8">
        <f t="shared" si="5"/>
        <v>0</v>
      </c>
    </row>
    <row r="29" spans="1:28" x14ac:dyDescent="0.35">
      <c r="B29" t="s">
        <v>122</v>
      </c>
      <c r="C29" s="8" t="e">
        <f t="shared" ref="C29:V29" si="6">C$30-SUM(C$24:C$28)</f>
        <v>#VALUE!</v>
      </c>
      <c r="D29" s="8" t="e">
        <f t="shared" si="6"/>
        <v>#VALUE!</v>
      </c>
      <c r="E29" s="8" t="e">
        <f t="shared" si="6"/>
        <v>#VALUE!</v>
      </c>
      <c r="F29" s="8" t="e">
        <f t="shared" si="6"/>
        <v>#VALUE!</v>
      </c>
      <c r="G29" s="8" t="e">
        <f t="shared" si="6"/>
        <v>#VALUE!</v>
      </c>
      <c r="H29" s="8" t="e">
        <f t="shared" si="6"/>
        <v>#VALUE!</v>
      </c>
      <c r="I29" s="8" t="e">
        <f t="shared" si="6"/>
        <v>#VALUE!</v>
      </c>
      <c r="J29" s="8" t="e">
        <f t="shared" si="6"/>
        <v>#VALUE!</v>
      </c>
      <c r="K29" s="8" t="e">
        <f t="shared" si="6"/>
        <v>#VALUE!</v>
      </c>
      <c r="L29" s="8">
        <f t="shared" si="6"/>
        <v>2.7680000000000056</v>
      </c>
      <c r="M29" s="8">
        <f t="shared" si="6"/>
        <v>3.8010000000000161</v>
      </c>
      <c r="N29" s="8">
        <f t="shared" si="6"/>
        <v>0.89399999999998414</v>
      </c>
      <c r="O29" s="8">
        <f t="shared" si="6"/>
        <v>5.1479999999999961</v>
      </c>
      <c r="P29" s="8">
        <f t="shared" si="6"/>
        <v>12.101000000000163</v>
      </c>
      <c r="Q29" s="8">
        <f t="shared" si="6"/>
        <v>23.914999999999964</v>
      </c>
      <c r="R29" s="8">
        <f t="shared" si="6"/>
        <v>56.312000000000012</v>
      </c>
      <c r="S29" s="8">
        <f t="shared" si="6"/>
        <v>87.076000000000249</v>
      </c>
      <c r="T29" s="8">
        <f t="shared" si="6"/>
        <v>103.81899999999996</v>
      </c>
      <c r="U29" s="8">
        <f t="shared" si="6"/>
        <v>181.77700000000016</v>
      </c>
      <c r="V29" s="23">
        <f t="shared" si="6"/>
        <v>273.15800000000041</v>
      </c>
      <c r="W29" s="24">
        <f>V29</f>
        <v>273.15800000000041</v>
      </c>
      <c r="X29" s="8">
        <f t="shared" ref="X29" si="7">W29</f>
        <v>273.15800000000041</v>
      </c>
      <c r="Y29" s="8">
        <f t="shared" ref="Y29" si="8">X29</f>
        <v>273.15800000000041</v>
      </c>
      <c r="Z29" s="8">
        <f t="shared" ref="Z29" si="9">Y29</f>
        <v>273.15800000000041</v>
      </c>
      <c r="AA29" s="8">
        <f t="shared" ref="AA29" si="10">Z29</f>
        <v>273.15800000000041</v>
      </c>
      <c r="AB29" s="8">
        <f t="shared" ref="AB29" si="11">AA29</f>
        <v>273.15800000000041</v>
      </c>
    </row>
    <row r="30" spans="1:28" x14ac:dyDescent="0.35">
      <c r="B30" s="6" t="s">
        <v>123</v>
      </c>
      <c r="C30" s="9" t="e">
        <f t="shared" ref="C30:V30" si="12">C$31-C$21</f>
        <v>#VALUE!</v>
      </c>
      <c r="D30" s="9" t="e">
        <f t="shared" si="12"/>
        <v>#VALUE!</v>
      </c>
      <c r="E30" s="9" t="e">
        <f t="shared" si="12"/>
        <v>#VALUE!</v>
      </c>
      <c r="F30" s="9" t="e">
        <f t="shared" si="12"/>
        <v>#VALUE!</v>
      </c>
      <c r="G30" s="9" t="e">
        <f t="shared" si="12"/>
        <v>#VALUE!</v>
      </c>
      <c r="H30" s="9" t="e">
        <f t="shared" si="12"/>
        <v>#VALUE!</v>
      </c>
      <c r="I30" s="9" t="e">
        <f t="shared" si="12"/>
        <v>#VALUE!</v>
      </c>
      <c r="J30" s="9" t="e">
        <f t="shared" si="12"/>
        <v>#VALUE!</v>
      </c>
      <c r="K30" s="9" t="e">
        <f t="shared" si="12"/>
        <v>#VALUE!</v>
      </c>
      <c r="L30" s="9">
        <f t="shared" si="12"/>
        <v>5.1470000000000056</v>
      </c>
      <c r="M30" s="9">
        <f t="shared" si="12"/>
        <v>10.426000000000016</v>
      </c>
      <c r="N30" s="9">
        <f t="shared" si="12"/>
        <v>21.192999999999984</v>
      </c>
      <c r="O30" s="9">
        <f t="shared" si="12"/>
        <v>31.350999999999999</v>
      </c>
      <c r="P30" s="9">
        <f t="shared" si="12"/>
        <v>61.34900000000016</v>
      </c>
      <c r="Q30" s="9">
        <f t="shared" si="12"/>
        <v>279.53999999999996</v>
      </c>
      <c r="R30" s="9">
        <f t="shared" si="12"/>
        <v>443.32799999999997</v>
      </c>
      <c r="S30" s="9">
        <f t="shared" si="12"/>
        <v>485.69100000000026</v>
      </c>
      <c r="T30" s="9">
        <f t="shared" si="12"/>
        <v>535.0619999999999</v>
      </c>
      <c r="U30" s="9">
        <f t="shared" si="12"/>
        <v>574.73300000000017</v>
      </c>
      <c r="V30" s="25">
        <f t="shared" si="12"/>
        <v>775.49300000000039</v>
      </c>
      <c r="W30" s="26">
        <f t="shared" ref="W30:AB30" ca="1" si="13">SUM(W$24:W$29)</f>
        <v>884.41262705794293</v>
      </c>
      <c r="X30" s="9">
        <f t="shared" ca="1" si="13"/>
        <v>1009.3834678665858</v>
      </c>
      <c r="Y30" s="9">
        <f t="shared" ca="1" si="13"/>
        <v>1145.6373101295717</v>
      </c>
      <c r="Z30" s="9">
        <f t="shared" ca="1" si="13"/>
        <v>1286.3727245638786</v>
      </c>
      <c r="AA30" s="9">
        <f t="shared" ca="1" si="13"/>
        <v>1433.3665078300642</v>
      </c>
      <c r="AB30" s="9">
        <f t="shared" ca="1" si="13"/>
        <v>1590.8334161879545</v>
      </c>
    </row>
    <row r="31" spans="1:28" ht="15" thickBot="1" x14ac:dyDescent="0.4">
      <c r="A31" s="58" t="s">
        <v>14</v>
      </c>
      <c r="B31" s="36" t="s">
        <v>118</v>
      </c>
      <c r="C31" s="11" t="e" cm="1">
        <f t="array" ref="C31:V31">GET_FINANCIALS_LINE_ITEM(A31)</f>
        <v>#VALUE!</v>
      </c>
      <c r="D31" s="11" t="e">
        <v>#VALUE!</v>
      </c>
      <c r="E31" s="11" t="e">
        <v>#VALUE!</v>
      </c>
      <c r="F31" s="11" t="e">
        <v>#VALUE!</v>
      </c>
      <c r="G31" s="11" t="e">
        <v>#VALUE!</v>
      </c>
      <c r="H31" s="11" t="e">
        <v>#VALUE!</v>
      </c>
      <c r="I31" s="11" t="e">
        <v>#VALUE!</v>
      </c>
      <c r="J31" s="11" t="e">
        <v>#VALUE!</v>
      </c>
      <c r="K31" s="11" t="e">
        <v>#VALUE!</v>
      </c>
      <c r="L31" s="11">
        <v>102.238</v>
      </c>
      <c r="M31" s="11">
        <v>210.22800000000001</v>
      </c>
      <c r="N31" s="11">
        <v>537.596</v>
      </c>
      <c r="O31" s="11">
        <v>797.16399999999999</v>
      </c>
      <c r="P31" s="11">
        <v>1117.8720000000001</v>
      </c>
      <c r="Q31" s="11">
        <v>1728.761</v>
      </c>
      <c r="R31" s="11">
        <v>2753.645</v>
      </c>
      <c r="S31" s="11">
        <v>3577.34</v>
      </c>
      <c r="T31" s="11">
        <v>4380.6790000000001</v>
      </c>
      <c r="U31" s="11">
        <v>4888.6869999999999</v>
      </c>
      <c r="V31" s="27">
        <v>6111.951</v>
      </c>
      <c r="W31" s="28">
        <f t="shared" ref="W31:AB31" ca="1" si="14">W$21+W$30</f>
        <v>3474.7033708946601</v>
      </c>
      <c r="X31" s="11">
        <f t="shared" ca="1" si="14"/>
        <v>3734.2834451494523</v>
      </c>
      <c r="Y31" s="11">
        <f t="shared" ca="1" si="14"/>
        <v>4024.0895707573013</v>
      </c>
      <c r="Z31" s="11">
        <f t="shared" ca="1" si="14"/>
        <v>4340.3748295839141</v>
      </c>
      <c r="AA31" s="11">
        <f t="shared" ca="1" si="14"/>
        <v>4688.3286392620612</v>
      </c>
      <c r="AB31" s="11">
        <f t="shared" ca="1" si="14"/>
        <v>5071.9119791299809</v>
      </c>
    </row>
    <row r="32" spans="1:28" ht="15" thickTop="1" x14ac:dyDescent="0.35">
      <c r="C32" s="8"/>
      <c r="D32" s="8"/>
      <c r="E32" s="8"/>
      <c r="F32" s="8"/>
      <c r="G32" s="8"/>
      <c r="H32" s="8"/>
      <c r="I32" s="8"/>
      <c r="J32" s="8"/>
      <c r="K32" s="8"/>
      <c r="L32" s="8"/>
      <c r="M32" s="8"/>
      <c r="N32" s="8"/>
      <c r="O32" s="8"/>
      <c r="P32" s="8"/>
      <c r="Q32" s="8"/>
      <c r="R32" s="8"/>
      <c r="S32" s="8"/>
      <c r="T32" s="8"/>
      <c r="U32" s="8"/>
      <c r="V32" s="23"/>
      <c r="W32" s="24"/>
      <c r="X32" s="8"/>
      <c r="Y32" s="8"/>
      <c r="Z32" s="8"/>
      <c r="AA32" s="8"/>
      <c r="AB32" s="8"/>
    </row>
    <row r="33" spans="1:28" x14ac:dyDescent="0.35">
      <c r="B33" s="1" t="s">
        <v>69</v>
      </c>
      <c r="C33" s="8"/>
      <c r="D33" s="8"/>
      <c r="E33" s="8"/>
      <c r="F33" s="8"/>
      <c r="G33" s="8"/>
      <c r="H33" s="8"/>
      <c r="I33" s="8"/>
      <c r="J33" s="8"/>
      <c r="K33" s="8"/>
      <c r="L33" s="8"/>
      <c r="M33" s="8"/>
      <c r="N33" s="8"/>
      <c r="O33" s="8"/>
      <c r="P33" s="8"/>
      <c r="Q33" s="8"/>
      <c r="R33" s="8"/>
      <c r="S33" s="8"/>
      <c r="T33" s="8"/>
      <c r="U33" s="8"/>
      <c r="V33" s="23"/>
      <c r="W33" s="24"/>
      <c r="X33" s="8"/>
      <c r="Y33" s="8"/>
      <c r="Z33" s="8"/>
      <c r="AA33" s="8"/>
      <c r="AB33" s="8"/>
    </row>
    <row r="34" spans="1:28" x14ac:dyDescent="0.35">
      <c r="B34" s="35" t="s">
        <v>128</v>
      </c>
      <c r="C34" s="8"/>
      <c r="D34" s="8"/>
      <c r="E34" s="8"/>
      <c r="F34" s="8"/>
      <c r="G34" s="8"/>
      <c r="H34" s="8"/>
      <c r="I34" s="8"/>
      <c r="J34" s="8"/>
      <c r="K34" s="8"/>
      <c r="L34" s="8"/>
      <c r="M34" s="8"/>
      <c r="N34" s="8"/>
      <c r="O34" s="8"/>
      <c r="P34" s="8"/>
      <c r="Q34" s="8"/>
      <c r="R34" s="8"/>
      <c r="S34" s="8"/>
      <c r="T34" s="8"/>
      <c r="U34" s="8"/>
      <c r="V34" s="23"/>
      <c r="W34" s="24"/>
      <c r="X34" s="8"/>
      <c r="Y34" s="8"/>
      <c r="Z34" s="8"/>
      <c r="AA34" s="8"/>
      <c r="AB34" s="8"/>
    </row>
    <row r="35" spans="1:28" x14ac:dyDescent="0.35">
      <c r="A35" s="58" t="s">
        <v>48</v>
      </c>
      <c r="B35" t="s">
        <v>82</v>
      </c>
      <c r="C35" s="8" t="e" cm="1">
        <f t="array" ref="C35:V35">GET_FINANCIALS_LINE_ITEM(A35)</f>
        <v>#VALUE!</v>
      </c>
      <c r="D35" s="8" t="e">
        <v>#VALUE!</v>
      </c>
      <c r="E35" s="8" t="e">
        <v>#VALUE!</v>
      </c>
      <c r="F35" s="8" t="e">
        <v>#VALUE!</v>
      </c>
      <c r="G35" s="8" t="e">
        <v>#VALUE!</v>
      </c>
      <c r="H35" s="8" t="e">
        <v>#VALUE!</v>
      </c>
      <c r="I35" s="8" t="e">
        <v>#VALUE!</v>
      </c>
      <c r="J35" s="8" t="e">
        <v>#VALUE!</v>
      </c>
      <c r="K35" s="8" t="e">
        <v>#VALUE!</v>
      </c>
      <c r="L35" s="8">
        <v>0</v>
      </c>
      <c r="M35" s="8">
        <v>0</v>
      </c>
      <c r="N35" s="8">
        <v>0</v>
      </c>
      <c r="O35" s="8">
        <v>0</v>
      </c>
      <c r="P35" s="8">
        <v>0</v>
      </c>
      <c r="Q35" s="8">
        <v>0</v>
      </c>
      <c r="R35" s="8">
        <v>0</v>
      </c>
      <c r="S35" s="8">
        <v>0</v>
      </c>
      <c r="T35" s="8">
        <v>0</v>
      </c>
      <c r="U35" s="8">
        <v>0</v>
      </c>
      <c r="V35" s="23">
        <v>0</v>
      </c>
      <c r="W35" s="24">
        <f>V35</f>
        <v>0</v>
      </c>
      <c r="X35" s="8">
        <f t="shared" ref="X35:AB35" si="15">W35</f>
        <v>0</v>
      </c>
      <c r="Y35" s="8">
        <f t="shared" si="15"/>
        <v>0</v>
      </c>
      <c r="Z35" s="8">
        <f t="shared" si="15"/>
        <v>0</v>
      </c>
      <c r="AA35" s="8">
        <f t="shared" si="15"/>
        <v>0</v>
      </c>
      <c r="AB35" s="8">
        <f t="shared" si="15"/>
        <v>0</v>
      </c>
    </row>
    <row r="36" spans="1:28" x14ac:dyDescent="0.35">
      <c r="A36" s="58" t="s">
        <v>16</v>
      </c>
      <c r="B36" t="s">
        <v>62</v>
      </c>
      <c r="C36" s="8" t="e" cm="1">
        <f t="array" ref="C36:V36">GET_FINANCIALS_LINE_ITEM(A36)</f>
        <v>#VALUE!</v>
      </c>
      <c r="D36" s="8" t="e">
        <v>#VALUE!</v>
      </c>
      <c r="E36" s="8" t="e">
        <v>#VALUE!</v>
      </c>
      <c r="F36" s="8" t="e">
        <v>#VALUE!</v>
      </c>
      <c r="G36" s="8" t="e">
        <v>#VALUE!</v>
      </c>
      <c r="H36" s="8" t="e">
        <v>#VALUE!</v>
      </c>
      <c r="I36" s="8" t="e">
        <v>#VALUE!</v>
      </c>
      <c r="J36" s="8" t="e">
        <v>#VALUE!</v>
      </c>
      <c r="K36" s="8" t="e">
        <v>#VALUE!</v>
      </c>
      <c r="L36" s="8">
        <v>58.292999999999999</v>
      </c>
      <c r="M36" s="8">
        <v>107.983</v>
      </c>
      <c r="N36" s="8">
        <v>321.16300000000001</v>
      </c>
      <c r="O36" s="8">
        <v>490.37700000000001</v>
      </c>
      <c r="P36" s="8">
        <v>669.14700000000005</v>
      </c>
      <c r="Q36" s="8">
        <v>868.61800000000005</v>
      </c>
      <c r="R36" s="8">
        <v>1348.48</v>
      </c>
      <c r="S36" s="8">
        <v>1655.684</v>
      </c>
      <c r="T36" s="8">
        <v>1871.4190000000001</v>
      </c>
      <c r="U36" s="8">
        <v>2317.3180000000002</v>
      </c>
      <c r="V36" s="23">
        <v>2631.2130000000002</v>
      </c>
      <c r="W36" s="40"/>
      <c r="X36" s="38"/>
      <c r="Y36" s="38"/>
      <c r="Z36" s="38"/>
      <c r="AA36" s="38"/>
      <c r="AB36" s="38"/>
    </row>
    <row r="37" spans="1:28" x14ac:dyDescent="0.35">
      <c r="B37" t="s">
        <v>166</v>
      </c>
      <c r="C37" s="8" t="e">
        <f>C$38-SUM(C$35:C$36)</f>
        <v>#VALUE!</v>
      </c>
      <c r="D37" s="8" t="e">
        <f t="shared" ref="D37:V37" si="16">D$38-SUM(D$35:D$36)</f>
        <v>#VALUE!</v>
      </c>
      <c r="E37" s="8" t="e">
        <f t="shared" si="16"/>
        <v>#VALUE!</v>
      </c>
      <c r="F37" s="8" t="e">
        <f t="shared" si="16"/>
        <v>#VALUE!</v>
      </c>
      <c r="G37" s="8" t="e">
        <f t="shared" si="16"/>
        <v>#VALUE!</v>
      </c>
      <c r="H37" s="8" t="e">
        <f t="shared" si="16"/>
        <v>#VALUE!</v>
      </c>
      <c r="I37" s="8" t="e">
        <f t="shared" si="16"/>
        <v>#VALUE!</v>
      </c>
      <c r="J37" s="8" t="e">
        <f t="shared" si="16"/>
        <v>#VALUE!</v>
      </c>
      <c r="K37" s="8" t="e">
        <f t="shared" si="16"/>
        <v>#VALUE!</v>
      </c>
      <c r="L37" s="8">
        <f t="shared" si="16"/>
        <v>4.5380000000000038</v>
      </c>
      <c r="M37" s="8">
        <f t="shared" si="16"/>
        <v>10.625999999999991</v>
      </c>
      <c r="N37" s="8">
        <f t="shared" si="16"/>
        <v>22.973000000000013</v>
      </c>
      <c r="O37" s="8">
        <f t="shared" si="16"/>
        <v>28.15500000000003</v>
      </c>
      <c r="P37" s="8">
        <f t="shared" si="16"/>
        <v>44.843999999999937</v>
      </c>
      <c r="Q37" s="8">
        <f t="shared" si="16"/>
        <v>61.754999999999995</v>
      </c>
      <c r="R37" s="8">
        <f t="shared" si="16"/>
        <v>126.20299999999997</v>
      </c>
      <c r="S37" s="8">
        <f t="shared" si="16"/>
        <v>147.62100000000009</v>
      </c>
      <c r="T37" s="8">
        <f t="shared" si="16"/>
        <v>157.904</v>
      </c>
      <c r="U37" s="8">
        <f t="shared" si="16"/>
        <v>193.51999999999998</v>
      </c>
      <c r="V37" s="23">
        <f t="shared" si="16"/>
        <v>242.25199999999995</v>
      </c>
      <c r="W37" s="40"/>
      <c r="X37" s="38"/>
      <c r="Y37" s="38"/>
      <c r="Z37" s="38"/>
      <c r="AA37" s="38"/>
      <c r="AB37" s="38"/>
    </row>
    <row r="38" spans="1:28" x14ac:dyDescent="0.35">
      <c r="A38" s="58" t="s">
        <v>15</v>
      </c>
      <c r="B38" s="6" t="s">
        <v>129</v>
      </c>
      <c r="C38" s="9" t="e" cm="1">
        <f t="array" ref="C38:V38">GET_FINANCIALS_LINE_ITEM(A38)</f>
        <v>#VALUE!</v>
      </c>
      <c r="D38" s="9" t="e">
        <v>#VALUE!</v>
      </c>
      <c r="E38" s="9" t="e">
        <v>#VALUE!</v>
      </c>
      <c r="F38" s="9" t="e">
        <v>#VALUE!</v>
      </c>
      <c r="G38" s="9" t="e">
        <v>#VALUE!</v>
      </c>
      <c r="H38" s="9" t="e">
        <v>#VALUE!</v>
      </c>
      <c r="I38" s="9" t="e">
        <v>#VALUE!</v>
      </c>
      <c r="J38" s="9" t="e">
        <v>#VALUE!</v>
      </c>
      <c r="K38" s="9" t="e">
        <v>#VALUE!</v>
      </c>
      <c r="L38" s="9">
        <v>62.831000000000003</v>
      </c>
      <c r="M38" s="9">
        <v>118.60899999999999</v>
      </c>
      <c r="N38" s="9">
        <v>344.13600000000002</v>
      </c>
      <c r="O38" s="9">
        <v>518.53200000000004</v>
      </c>
      <c r="P38" s="9">
        <v>713.99099999999999</v>
      </c>
      <c r="Q38" s="9">
        <v>930.37300000000005</v>
      </c>
      <c r="R38" s="9">
        <v>1474.683</v>
      </c>
      <c r="S38" s="9">
        <v>1803.3050000000001</v>
      </c>
      <c r="T38" s="9">
        <v>2029.3230000000001</v>
      </c>
      <c r="U38" s="9">
        <v>2510.8380000000002</v>
      </c>
      <c r="V38" s="25">
        <v>2873.4650000000001</v>
      </c>
      <c r="W38" s="26">
        <f>SUM(W$35:W$37)</f>
        <v>0</v>
      </c>
      <c r="X38" s="9">
        <f t="shared" ref="X38:AB38" si="17">SUM(X$35:X$37)</f>
        <v>0</v>
      </c>
      <c r="Y38" s="9">
        <f t="shared" si="17"/>
        <v>0</v>
      </c>
      <c r="Z38" s="9">
        <f t="shared" si="17"/>
        <v>0</v>
      </c>
      <c r="AA38" s="9">
        <f t="shared" si="17"/>
        <v>0</v>
      </c>
      <c r="AB38" s="9">
        <f t="shared" si="17"/>
        <v>0</v>
      </c>
    </row>
    <row r="39" spans="1:28" x14ac:dyDescent="0.35">
      <c r="C39" s="8"/>
      <c r="D39" s="8"/>
      <c r="E39" s="8"/>
      <c r="F39" s="8"/>
      <c r="G39" s="8"/>
      <c r="H39" s="8"/>
      <c r="I39" s="8"/>
      <c r="J39" s="8"/>
      <c r="K39" s="8"/>
      <c r="L39" s="8"/>
      <c r="M39" s="8"/>
      <c r="N39" s="8"/>
      <c r="O39" s="8"/>
      <c r="P39" s="8"/>
      <c r="Q39" s="8"/>
      <c r="R39" s="8"/>
      <c r="S39" s="8"/>
      <c r="T39" s="8"/>
      <c r="U39" s="8"/>
      <c r="V39" s="23"/>
      <c r="W39" s="24"/>
      <c r="X39" s="8"/>
      <c r="Y39" s="8"/>
      <c r="Z39" s="8"/>
      <c r="AA39" s="8"/>
      <c r="AB39" s="8"/>
    </row>
    <row r="40" spans="1:28" x14ac:dyDescent="0.35">
      <c r="B40" s="35" t="s">
        <v>127</v>
      </c>
      <c r="C40" s="8"/>
      <c r="D40" s="8"/>
      <c r="E40" s="8"/>
      <c r="F40" s="8"/>
      <c r="G40" s="8"/>
      <c r="H40" s="8"/>
      <c r="I40" s="8"/>
      <c r="J40" s="8"/>
      <c r="K40" s="8"/>
      <c r="L40" s="8"/>
      <c r="M40" s="8"/>
      <c r="N40" s="8"/>
      <c r="O40" s="8"/>
      <c r="P40" s="8"/>
      <c r="Q40" s="8"/>
      <c r="R40" s="8"/>
      <c r="S40" s="8"/>
      <c r="T40" s="8"/>
      <c r="U40" s="8"/>
      <c r="V40" s="23"/>
      <c r="W40" s="24"/>
      <c r="X40" s="8"/>
      <c r="Y40" s="8"/>
      <c r="Z40" s="8"/>
      <c r="AA40" s="8"/>
      <c r="AB40" s="8"/>
    </row>
    <row r="41" spans="1:28" x14ac:dyDescent="0.35">
      <c r="A41" s="58" t="s">
        <v>47</v>
      </c>
      <c r="B41" t="s">
        <v>81</v>
      </c>
      <c r="C41" s="8" t="e" cm="1">
        <f t="array" ref="C41:V41">GET_FINANCIALS_LINE_ITEM(A41)</f>
        <v>#VALUE!</v>
      </c>
      <c r="D41" s="8" t="e">
        <v>#VALUE!</v>
      </c>
      <c r="E41" s="8" t="e">
        <v>#VALUE!</v>
      </c>
      <c r="F41" s="8" t="e">
        <v>#VALUE!</v>
      </c>
      <c r="G41" s="8" t="e">
        <v>#VALUE!</v>
      </c>
      <c r="H41" s="8" t="e">
        <v>#VALUE!</v>
      </c>
      <c r="I41" s="8" t="e">
        <v>#VALUE!</v>
      </c>
      <c r="J41" s="8" t="e">
        <v>#VALUE!</v>
      </c>
      <c r="K41" s="8" t="e">
        <v>#VALUE!</v>
      </c>
      <c r="L41" s="8">
        <v>14.929</v>
      </c>
      <c r="M41" s="8">
        <v>44.887999999999998</v>
      </c>
      <c r="N41" s="8">
        <v>25.847000000000001</v>
      </c>
      <c r="O41" s="8">
        <v>27</v>
      </c>
      <c r="P41" s="8">
        <v>0</v>
      </c>
      <c r="Q41" s="8">
        <v>0</v>
      </c>
      <c r="R41" s="8">
        <v>0</v>
      </c>
      <c r="S41" s="8">
        <v>0</v>
      </c>
      <c r="T41" s="8">
        <v>0</v>
      </c>
      <c r="U41" s="8">
        <v>0</v>
      </c>
      <c r="V41" s="23">
        <v>0</v>
      </c>
      <c r="W41" s="24">
        <f>V41</f>
        <v>0</v>
      </c>
      <c r="X41" s="8">
        <f t="shared" ref="X41:AB41" si="18">W41</f>
        <v>0</v>
      </c>
      <c r="Y41" s="8">
        <f t="shared" si="18"/>
        <v>0</v>
      </c>
      <c r="Z41" s="8">
        <f t="shared" si="18"/>
        <v>0</v>
      </c>
      <c r="AA41" s="8">
        <f t="shared" si="18"/>
        <v>0</v>
      </c>
      <c r="AB41" s="8">
        <f t="shared" si="18"/>
        <v>0</v>
      </c>
    </row>
    <row r="42" spans="1:28" x14ac:dyDescent="0.35">
      <c r="B42" t="s">
        <v>167</v>
      </c>
      <c r="C42" s="8" t="e">
        <f>C$43-C$41</f>
        <v>#VALUE!</v>
      </c>
      <c r="D42" s="8" t="e">
        <f t="shared" ref="D42:V42" si="19">D$43-D$41</f>
        <v>#VALUE!</v>
      </c>
      <c r="E42" s="8" t="e">
        <f t="shared" si="19"/>
        <v>#VALUE!</v>
      </c>
      <c r="F42" s="8" t="e">
        <f t="shared" si="19"/>
        <v>#VALUE!</v>
      </c>
      <c r="G42" s="8" t="e">
        <f t="shared" si="19"/>
        <v>#VALUE!</v>
      </c>
      <c r="H42" s="8" t="e">
        <f t="shared" si="19"/>
        <v>#VALUE!</v>
      </c>
      <c r="I42" s="8" t="e">
        <f t="shared" si="19"/>
        <v>#VALUE!</v>
      </c>
      <c r="J42" s="8" t="e">
        <f t="shared" si="19"/>
        <v>#VALUE!</v>
      </c>
      <c r="K42" s="8" t="e">
        <f t="shared" si="19"/>
        <v>#VALUE!</v>
      </c>
      <c r="L42" s="8">
        <f t="shared" si="19"/>
        <v>2.6119999999999965</v>
      </c>
      <c r="M42" s="8">
        <f t="shared" si="19"/>
        <v>8.0970000000000013</v>
      </c>
      <c r="N42" s="8">
        <f t="shared" si="19"/>
        <v>3.2329999999999828</v>
      </c>
      <c r="O42" s="8">
        <f t="shared" si="19"/>
        <v>6.0489999999999782</v>
      </c>
      <c r="P42" s="8">
        <f t="shared" si="19"/>
        <v>9.3139999999999645</v>
      </c>
      <c r="Q42" s="8">
        <f t="shared" si="19"/>
        <v>185.87099999999987</v>
      </c>
      <c r="R42" s="8">
        <f t="shared" si="19"/>
        <v>265.81700000000001</v>
      </c>
      <c r="S42" s="8">
        <f t="shared" si="19"/>
        <v>246.72900000000004</v>
      </c>
      <c r="T42" s="8">
        <f t="shared" si="19"/>
        <v>236.01700000000005</v>
      </c>
      <c r="U42" s="8">
        <f t="shared" si="19"/>
        <v>213.62999999999965</v>
      </c>
      <c r="V42" s="23">
        <f t="shared" si="19"/>
        <v>289.34099999999989</v>
      </c>
      <c r="W42" s="24">
        <f t="shared" ref="W42:AB42" si="20">V42</f>
        <v>289.34099999999989</v>
      </c>
      <c r="X42" s="8">
        <f t="shared" si="20"/>
        <v>289.34099999999989</v>
      </c>
      <c r="Y42" s="8">
        <f t="shared" si="20"/>
        <v>289.34099999999989</v>
      </c>
      <c r="Z42" s="8">
        <f t="shared" si="20"/>
        <v>289.34099999999989</v>
      </c>
      <c r="AA42" s="8">
        <f t="shared" si="20"/>
        <v>289.34099999999989</v>
      </c>
      <c r="AB42" s="8">
        <f t="shared" si="20"/>
        <v>289.34099999999989</v>
      </c>
    </row>
    <row r="43" spans="1:28" x14ac:dyDescent="0.35">
      <c r="B43" s="6" t="s">
        <v>131</v>
      </c>
      <c r="C43" s="9" t="e">
        <f t="shared" ref="C43:V43" si="21">C$44-C$38</f>
        <v>#VALUE!</v>
      </c>
      <c r="D43" s="9" t="e">
        <f t="shared" si="21"/>
        <v>#VALUE!</v>
      </c>
      <c r="E43" s="9" t="e">
        <f t="shared" si="21"/>
        <v>#VALUE!</v>
      </c>
      <c r="F43" s="9" t="e">
        <f t="shared" si="21"/>
        <v>#VALUE!</v>
      </c>
      <c r="G43" s="9" t="e">
        <f t="shared" si="21"/>
        <v>#VALUE!</v>
      </c>
      <c r="H43" s="9" t="e">
        <f t="shared" si="21"/>
        <v>#VALUE!</v>
      </c>
      <c r="I43" s="9" t="e">
        <f t="shared" si="21"/>
        <v>#VALUE!</v>
      </c>
      <c r="J43" s="9" t="e">
        <f t="shared" si="21"/>
        <v>#VALUE!</v>
      </c>
      <c r="K43" s="9" t="e">
        <f t="shared" si="21"/>
        <v>#VALUE!</v>
      </c>
      <c r="L43" s="9">
        <f t="shared" si="21"/>
        <v>17.540999999999997</v>
      </c>
      <c r="M43" s="9">
        <f t="shared" si="21"/>
        <v>52.984999999999999</v>
      </c>
      <c r="N43" s="9">
        <f t="shared" si="21"/>
        <v>29.079999999999984</v>
      </c>
      <c r="O43" s="9">
        <f t="shared" si="21"/>
        <v>33.048999999999978</v>
      </c>
      <c r="P43" s="9">
        <f t="shared" si="21"/>
        <v>9.3139999999999645</v>
      </c>
      <c r="Q43" s="9">
        <f t="shared" si="21"/>
        <v>185.87099999999987</v>
      </c>
      <c r="R43" s="9">
        <f t="shared" si="21"/>
        <v>265.81700000000001</v>
      </c>
      <c r="S43" s="9">
        <f t="shared" si="21"/>
        <v>246.72900000000004</v>
      </c>
      <c r="T43" s="9">
        <f t="shared" si="21"/>
        <v>236.01700000000005</v>
      </c>
      <c r="U43" s="9">
        <f t="shared" si="21"/>
        <v>213.62999999999965</v>
      </c>
      <c r="V43" s="25">
        <f t="shared" si="21"/>
        <v>289.34099999999989</v>
      </c>
      <c r="W43" s="26">
        <f>SUM(W$41:W$42)</f>
        <v>289.34099999999989</v>
      </c>
      <c r="X43" s="9">
        <f t="shared" ref="X43:AB43" si="22">SUM(X$41:X$42)</f>
        <v>289.34099999999989</v>
      </c>
      <c r="Y43" s="9">
        <f t="shared" si="22"/>
        <v>289.34099999999989</v>
      </c>
      <c r="Z43" s="9">
        <f t="shared" si="22"/>
        <v>289.34099999999989</v>
      </c>
      <c r="AA43" s="9">
        <f t="shared" si="22"/>
        <v>289.34099999999989</v>
      </c>
      <c r="AB43" s="9">
        <f t="shared" si="22"/>
        <v>289.34099999999989</v>
      </c>
    </row>
    <row r="44" spans="1:28" ht="15" thickBot="1" x14ac:dyDescent="0.4">
      <c r="A44" s="58" t="s">
        <v>28</v>
      </c>
      <c r="B44" s="36" t="s">
        <v>130</v>
      </c>
      <c r="C44" s="11" t="e" cm="1">
        <f t="array" ref="C44:V44">GET_FINANCIALS_LINE_ITEM(A44)</f>
        <v>#VALUE!</v>
      </c>
      <c r="D44" s="11" t="e">
        <v>#VALUE!</v>
      </c>
      <c r="E44" s="11" t="e">
        <v>#VALUE!</v>
      </c>
      <c r="F44" s="11" t="e">
        <v>#VALUE!</v>
      </c>
      <c r="G44" s="11" t="e">
        <v>#VALUE!</v>
      </c>
      <c r="H44" s="11" t="e">
        <v>#VALUE!</v>
      </c>
      <c r="I44" s="11" t="e">
        <v>#VALUE!</v>
      </c>
      <c r="J44" s="11" t="e">
        <v>#VALUE!</v>
      </c>
      <c r="K44" s="11" t="e">
        <v>#VALUE!</v>
      </c>
      <c r="L44" s="11">
        <v>80.372</v>
      </c>
      <c r="M44" s="11">
        <v>171.59399999999999</v>
      </c>
      <c r="N44" s="11">
        <v>373.21600000000001</v>
      </c>
      <c r="O44" s="11">
        <v>551.58100000000002</v>
      </c>
      <c r="P44" s="11">
        <v>723.30499999999995</v>
      </c>
      <c r="Q44" s="11">
        <v>1116.2439999999999</v>
      </c>
      <c r="R44" s="11">
        <v>1740.5</v>
      </c>
      <c r="S44" s="11">
        <v>2050.0340000000001</v>
      </c>
      <c r="T44" s="11">
        <v>2265.34</v>
      </c>
      <c r="U44" s="11">
        <v>2724.4679999999998</v>
      </c>
      <c r="V44" s="27">
        <v>3162.806</v>
      </c>
      <c r="W44" s="28">
        <f>W$38+W$43</f>
        <v>289.34099999999989</v>
      </c>
      <c r="X44" s="11">
        <f t="shared" ref="X44:AB44" si="23">X$38+X$43</f>
        <v>289.34099999999989</v>
      </c>
      <c r="Y44" s="11">
        <f t="shared" si="23"/>
        <v>289.34099999999989</v>
      </c>
      <c r="Z44" s="11">
        <f t="shared" si="23"/>
        <v>289.34099999999989</v>
      </c>
      <c r="AA44" s="11">
        <f t="shared" si="23"/>
        <v>289.34099999999989</v>
      </c>
      <c r="AB44" s="11">
        <f t="shared" si="23"/>
        <v>289.34099999999989</v>
      </c>
    </row>
    <row r="45" spans="1:28" ht="15" thickTop="1" x14ac:dyDescent="0.35">
      <c r="C45" s="8"/>
      <c r="D45" s="8"/>
      <c r="E45" s="8"/>
      <c r="F45" s="8"/>
      <c r="G45" s="8"/>
      <c r="H45" s="8"/>
      <c r="I45" s="8"/>
      <c r="J45" s="8"/>
      <c r="K45" s="8"/>
      <c r="L45" s="8"/>
      <c r="M45" s="8"/>
      <c r="N45" s="8"/>
      <c r="O45" s="8"/>
      <c r="P45" s="8"/>
      <c r="Q45" s="8"/>
      <c r="R45" s="8"/>
      <c r="S45" s="8"/>
      <c r="T45" s="8"/>
      <c r="U45" s="8"/>
      <c r="V45" s="23"/>
      <c r="W45" s="24"/>
      <c r="X45" s="8"/>
      <c r="Y45" s="8"/>
      <c r="Z45" s="8"/>
      <c r="AA45" s="8"/>
      <c r="AB45" s="8"/>
    </row>
    <row r="46" spans="1:28" x14ac:dyDescent="0.35">
      <c r="B46" s="1" t="s">
        <v>146</v>
      </c>
      <c r="C46" s="8"/>
      <c r="D46" s="8"/>
      <c r="E46" s="8"/>
      <c r="F46" s="8"/>
      <c r="G46" s="8"/>
      <c r="H46" s="8"/>
      <c r="I46" s="8"/>
      <c r="J46" s="8"/>
      <c r="K46" s="8"/>
      <c r="L46" s="8"/>
      <c r="M46" s="8"/>
      <c r="N46" s="8"/>
      <c r="O46" s="8"/>
      <c r="P46" s="8"/>
      <c r="Q46" s="8"/>
      <c r="R46" s="8"/>
      <c r="S46" s="8"/>
      <c r="T46" s="8"/>
      <c r="U46" s="8"/>
      <c r="V46" s="23"/>
      <c r="W46" s="24"/>
      <c r="X46" s="8"/>
      <c r="Y46" s="8"/>
      <c r="Z46" s="8"/>
      <c r="AA46" s="8"/>
      <c r="AB46" s="8"/>
    </row>
    <row r="47" spans="1:28" x14ac:dyDescent="0.35">
      <c r="A47" s="58" t="s">
        <v>18</v>
      </c>
      <c r="B47" t="s">
        <v>63</v>
      </c>
      <c r="C47" s="8" t="e" cm="1">
        <f t="array" ref="C47:V47">GET_FINANCIALS_LINE_ITEM(A47)</f>
        <v>#VALUE!</v>
      </c>
      <c r="D47" s="8" t="e">
        <v>#VALUE!</v>
      </c>
      <c r="E47" s="8" t="e">
        <v>#VALUE!</v>
      </c>
      <c r="F47" s="8" t="e">
        <v>#VALUE!</v>
      </c>
      <c r="G47" s="8" t="e">
        <v>#VALUE!</v>
      </c>
      <c r="H47" s="8" t="e">
        <v>#VALUE!</v>
      </c>
      <c r="I47" s="8" t="e">
        <v>#VALUE!</v>
      </c>
      <c r="J47" s="8" t="e">
        <v>#VALUE!</v>
      </c>
      <c r="K47" s="8" t="e">
        <v>#VALUE!</v>
      </c>
      <c r="L47" s="8">
        <v>-6.1310000000000002</v>
      </c>
      <c r="M47" s="8">
        <v>14.43</v>
      </c>
      <c r="N47" s="8">
        <v>164.38</v>
      </c>
      <c r="O47" s="8">
        <v>245.583</v>
      </c>
      <c r="P47" s="8">
        <v>394.56700000000001</v>
      </c>
      <c r="Q47" s="8">
        <v>612.51700000000005</v>
      </c>
      <c r="R47" s="8">
        <v>1013.145</v>
      </c>
      <c r="S47" s="8">
        <v>1527.306</v>
      </c>
      <c r="T47" s="8">
        <v>2115.3389999999999</v>
      </c>
      <c r="U47" s="8">
        <v>2164.2190000000001</v>
      </c>
      <c r="V47" s="23">
        <v>2949.145</v>
      </c>
      <c r="W47" s="24">
        <f ca="1">V$47+'Income statement'!W$33</f>
        <v>3185.3623708946611</v>
      </c>
      <c r="X47" s="8">
        <f ca="1">W$47+'Income statement'!X$33</f>
        <v>3444.9424451494529</v>
      </c>
      <c r="Y47" s="8">
        <f ca="1">X$47+'Income statement'!Y$33</f>
        <v>3734.7485707573023</v>
      </c>
      <c r="Z47" s="8">
        <f ca="1">Y$47+'Income statement'!Z$33</f>
        <v>4051.0338295839142</v>
      </c>
      <c r="AA47" s="8">
        <f ca="1">Z$47+'Income statement'!AA$33</f>
        <v>4398.9876392620617</v>
      </c>
      <c r="AB47" s="8">
        <f ca="1">AA$47+'Income statement'!AB$33</f>
        <v>4782.5709791299814</v>
      </c>
    </row>
    <row r="48" spans="1:28" x14ac:dyDescent="0.35">
      <c r="A48" s="58" t="s">
        <v>17</v>
      </c>
      <c r="B48" t="s">
        <v>139</v>
      </c>
      <c r="C48" s="8" t="e" cm="1">
        <f t="array" ref="C48:V48">GET_FINANCIALS_LINE_ITEM(A48)</f>
        <v>#VALUE!</v>
      </c>
      <c r="D48" s="8" t="e">
        <v>#VALUE!</v>
      </c>
      <c r="E48" s="8" t="e">
        <v>#VALUE!</v>
      </c>
      <c r="F48" s="8" t="e">
        <v>#VALUE!</v>
      </c>
      <c r="G48" s="8" t="e">
        <v>#VALUE!</v>
      </c>
      <c r="H48" s="8" t="e">
        <v>#VALUE!</v>
      </c>
      <c r="I48" s="8" t="e">
        <v>#VALUE!</v>
      </c>
      <c r="J48" s="8" t="e">
        <v>#VALUE!</v>
      </c>
      <c r="K48" s="8" t="e">
        <v>#VALUE!</v>
      </c>
      <c r="L48" s="8">
        <v>27.997</v>
      </c>
      <c r="M48" s="8">
        <v>24.204000000000001</v>
      </c>
      <c r="N48" s="8">
        <v>0</v>
      </c>
      <c r="O48" s="8">
        <v>0</v>
      </c>
      <c r="P48" s="8">
        <v>0</v>
      </c>
      <c r="Q48" s="8">
        <v>0</v>
      </c>
      <c r="R48" s="8">
        <v>0</v>
      </c>
      <c r="S48" s="8">
        <v>0</v>
      </c>
      <c r="T48" s="8">
        <v>0</v>
      </c>
      <c r="U48" s="8">
        <v>0</v>
      </c>
      <c r="V48" s="23">
        <v>0</v>
      </c>
      <c r="W48" s="24">
        <f>V48</f>
        <v>0</v>
      </c>
      <c r="X48" s="8">
        <f t="shared" ref="X48:AB50" si="24">W48</f>
        <v>0</v>
      </c>
      <c r="Y48" s="8">
        <f t="shared" si="24"/>
        <v>0</v>
      </c>
      <c r="Z48" s="8">
        <f t="shared" si="24"/>
        <v>0</v>
      </c>
      <c r="AA48" s="8">
        <f t="shared" si="24"/>
        <v>0</v>
      </c>
      <c r="AB48" s="8">
        <f t="shared" si="24"/>
        <v>0</v>
      </c>
    </row>
    <row r="49" spans="1:28" x14ac:dyDescent="0.35">
      <c r="A49" s="58" t="s">
        <v>23</v>
      </c>
      <c r="B49" t="s">
        <v>66</v>
      </c>
      <c r="C49" s="8" t="e" cm="1">
        <f t="array" ref="C49:V49">GET_FINANCIALS_LINE_ITEM(A49)</f>
        <v>#VALUE!</v>
      </c>
      <c r="D49" s="8" t="e">
        <v>#VALUE!</v>
      </c>
      <c r="E49" s="8" t="e">
        <v>#VALUE!</v>
      </c>
      <c r="F49" s="8" t="e">
        <v>#VALUE!</v>
      </c>
      <c r="G49" s="8" t="e">
        <v>#VALUE!</v>
      </c>
      <c r="H49" s="8" t="e">
        <v>#VALUE!</v>
      </c>
      <c r="I49" s="8" t="e">
        <v>#VALUE!</v>
      </c>
      <c r="J49" s="8" t="e">
        <v>#VALUE!</v>
      </c>
      <c r="K49" s="8" t="e">
        <v>#VALUE!</v>
      </c>
      <c r="L49" s="8">
        <v>0</v>
      </c>
      <c r="M49" s="8">
        <v>0</v>
      </c>
      <c r="N49" s="8">
        <v>0</v>
      </c>
      <c r="O49" s="8">
        <v>0</v>
      </c>
      <c r="P49" s="8">
        <v>0</v>
      </c>
      <c r="Q49" s="8">
        <v>0</v>
      </c>
      <c r="R49" s="8">
        <v>0</v>
      </c>
      <c r="S49" s="8">
        <v>0</v>
      </c>
      <c r="T49" s="8">
        <v>0</v>
      </c>
      <c r="U49" s="8">
        <v>0</v>
      </c>
      <c r="V49" s="23">
        <v>0</v>
      </c>
      <c r="W49" s="24">
        <f>V49</f>
        <v>0</v>
      </c>
      <c r="X49" s="8">
        <f t="shared" si="24"/>
        <v>0</v>
      </c>
      <c r="Y49" s="8">
        <f t="shared" si="24"/>
        <v>0</v>
      </c>
      <c r="Z49" s="8">
        <f t="shared" si="24"/>
        <v>0</v>
      </c>
      <c r="AA49" s="8">
        <f t="shared" si="24"/>
        <v>0</v>
      </c>
      <c r="AB49" s="8">
        <f t="shared" si="24"/>
        <v>0</v>
      </c>
    </row>
    <row r="50" spans="1:28" x14ac:dyDescent="0.35">
      <c r="B50" t="s">
        <v>141</v>
      </c>
      <c r="C50" s="8" t="e">
        <f>C$51-SUM(C$47:C$49)</f>
        <v>#VALUE!</v>
      </c>
      <c r="D50" s="8" t="e">
        <f t="shared" ref="D50:V50" si="25">D$51-SUM(D$47:D$49)</f>
        <v>#VALUE!</v>
      </c>
      <c r="E50" s="8" t="e">
        <f t="shared" si="25"/>
        <v>#VALUE!</v>
      </c>
      <c r="F50" s="8" t="e">
        <f t="shared" si="25"/>
        <v>#VALUE!</v>
      </c>
      <c r="G50" s="8" t="e">
        <f t="shared" si="25"/>
        <v>#VALUE!</v>
      </c>
      <c r="H50" s="8" t="e">
        <f t="shared" si="25"/>
        <v>#VALUE!</v>
      </c>
      <c r="I50" s="8" t="e">
        <f t="shared" si="25"/>
        <v>#VALUE!</v>
      </c>
      <c r="J50" s="8" t="e">
        <f t="shared" si="25"/>
        <v>#VALUE!</v>
      </c>
      <c r="K50" s="8" t="e">
        <f t="shared" si="25"/>
        <v>#VALUE!</v>
      </c>
      <c r="L50" s="8">
        <f t="shared" si="25"/>
        <v>0</v>
      </c>
      <c r="M50" s="8">
        <f t="shared" si="25"/>
        <v>0</v>
      </c>
      <c r="N50" s="8">
        <f t="shared" si="25"/>
        <v>0</v>
      </c>
      <c r="O50" s="8">
        <f t="shared" si="25"/>
        <v>0</v>
      </c>
      <c r="P50" s="8">
        <f t="shared" si="25"/>
        <v>0</v>
      </c>
      <c r="Q50" s="8">
        <f t="shared" si="25"/>
        <v>0</v>
      </c>
      <c r="R50" s="8">
        <f t="shared" si="25"/>
        <v>0</v>
      </c>
      <c r="S50" s="8">
        <f t="shared" si="25"/>
        <v>0</v>
      </c>
      <c r="T50" s="8">
        <f t="shared" si="25"/>
        <v>0</v>
      </c>
      <c r="U50" s="8">
        <f t="shared" si="25"/>
        <v>0</v>
      </c>
      <c r="V50" s="23">
        <f t="shared" si="25"/>
        <v>0</v>
      </c>
      <c r="W50" s="24">
        <f>V50</f>
        <v>0</v>
      </c>
      <c r="X50" s="8">
        <f t="shared" si="24"/>
        <v>0</v>
      </c>
      <c r="Y50" s="8">
        <f t="shared" si="24"/>
        <v>0</v>
      </c>
      <c r="Z50" s="8">
        <f t="shared" si="24"/>
        <v>0</v>
      </c>
      <c r="AA50" s="8">
        <f t="shared" si="24"/>
        <v>0</v>
      </c>
      <c r="AB50" s="8">
        <f t="shared" si="24"/>
        <v>0</v>
      </c>
    </row>
    <row r="51" spans="1:28" ht="15" thickBot="1" x14ac:dyDescent="0.4">
      <c r="B51" s="36" t="s">
        <v>140</v>
      </c>
      <c r="C51" s="11" t="e">
        <f>C$31-C$44</f>
        <v>#VALUE!</v>
      </c>
      <c r="D51" s="11" t="e">
        <f t="shared" ref="D51:V51" si="26">D$31-D$44</f>
        <v>#VALUE!</v>
      </c>
      <c r="E51" s="11" t="e">
        <f t="shared" si="26"/>
        <v>#VALUE!</v>
      </c>
      <c r="F51" s="11" t="e">
        <f t="shared" si="26"/>
        <v>#VALUE!</v>
      </c>
      <c r="G51" s="11" t="e">
        <f t="shared" si="26"/>
        <v>#VALUE!</v>
      </c>
      <c r="H51" s="11" t="e">
        <f t="shared" si="26"/>
        <v>#VALUE!</v>
      </c>
      <c r="I51" s="11" t="e">
        <f t="shared" si="26"/>
        <v>#VALUE!</v>
      </c>
      <c r="J51" s="11" t="e">
        <f t="shared" si="26"/>
        <v>#VALUE!</v>
      </c>
      <c r="K51" s="11" t="e">
        <f t="shared" si="26"/>
        <v>#VALUE!</v>
      </c>
      <c r="L51" s="11">
        <f t="shared" si="26"/>
        <v>21.866</v>
      </c>
      <c r="M51" s="11">
        <f t="shared" si="26"/>
        <v>38.634000000000015</v>
      </c>
      <c r="N51" s="11">
        <f t="shared" si="26"/>
        <v>164.38</v>
      </c>
      <c r="O51" s="11">
        <f t="shared" si="26"/>
        <v>245.58299999999997</v>
      </c>
      <c r="P51" s="11">
        <f t="shared" si="26"/>
        <v>394.56700000000012</v>
      </c>
      <c r="Q51" s="11">
        <f t="shared" si="26"/>
        <v>612.51700000000005</v>
      </c>
      <c r="R51" s="11">
        <f t="shared" si="26"/>
        <v>1013.145</v>
      </c>
      <c r="S51" s="11">
        <f t="shared" si="26"/>
        <v>1527.306</v>
      </c>
      <c r="T51" s="11">
        <f t="shared" si="26"/>
        <v>2115.3389999999999</v>
      </c>
      <c r="U51" s="11">
        <f t="shared" si="26"/>
        <v>2164.2190000000001</v>
      </c>
      <c r="V51" s="27">
        <f t="shared" si="26"/>
        <v>2949.145</v>
      </c>
      <c r="W51" s="28">
        <f ca="1">SUM(W$47:W$50)</f>
        <v>3185.3623708946611</v>
      </c>
      <c r="X51" s="11">
        <f t="shared" ref="X51:AB51" ca="1" si="27">SUM(X$47:X$50)</f>
        <v>3444.9424451494529</v>
      </c>
      <c r="Y51" s="11">
        <f t="shared" ca="1" si="27"/>
        <v>3734.7485707573023</v>
      </c>
      <c r="Z51" s="11">
        <f t="shared" ca="1" si="27"/>
        <v>4051.0338295839142</v>
      </c>
      <c r="AA51" s="11">
        <f t="shared" ca="1" si="27"/>
        <v>4398.9876392620617</v>
      </c>
      <c r="AB51" s="11">
        <f t="shared" ca="1" si="27"/>
        <v>4782.5709791299814</v>
      </c>
    </row>
    <row r="52" spans="1:28" s="48" customFormat="1" ht="15" thickTop="1" x14ac:dyDescent="0.35">
      <c r="A52" s="59"/>
      <c r="B52" s="48" t="s">
        <v>190</v>
      </c>
      <c r="C52" s="48" t="e">
        <f>C$31-C$44-C$51</f>
        <v>#VALUE!</v>
      </c>
      <c r="D52" s="48" t="e">
        <f t="shared" ref="D52:AB52" si="28">D$31-D$44-D$51</f>
        <v>#VALUE!</v>
      </c>
      <c r="E52" s="48" t="e">
        <f t="shared" si="28"/>
        <v>#VALUE!</v>
      </c>
      <c r="F52" s="48" t="e">
        <f t="shared" si="28"/>
        <v>#VALUE!</v>
      </c>
      <c r="G52" s="48" t="e">
        <f t="shared" si="28"/>
        <v>#VALUE!</v>
      </c>
      <c r="H52" s="48" t="e">
        <f t="shared" si="28"/>
        <v>#VALUE!</v>
      </c>
      <c r="I52" s="48" t="e">
        <f t="shared" si="28"/>
        <v>#VALUE!</v>
      </c>
      <c r="J52" s="48" t="e">
        <f t="shared" si="28"/>
        <v>#VALUE!</v>
      </c>
      <c r="K52" s="48" t="e">
        <f t="shared" si="28"/>
        <v>#VALUE!</v>
      </c>
      <c r="L52" s="48">
        <f t="shared" si="28"/>
        <v>0</v>
      </c>
      <c r="M52" s="48">
        <f t="shared" si="28"/>
        <v>0</v>
      </c>
      <c r="N52" s="48">
        <f t="shared" si="28"/>
        <v>0</v>
      </c>
      <c r="O52" s="48">
        <f t="shared" si="28"/>
        <v>0</v>
      </c>
      <c r="P52" s="48">
        <f t="shared" si="28"/>
        <v>0</v>
      </c>
      <c r="Q52" s="48">
        <f t="shared" si="28"/>
        <v>0</v>
      </c>
      <c r="R52" s="48">
        <f t="shared" si="28"/>
        <v>0</v>
      </c>
      <c r="S52" s="48">
        <f t="shared" si="28"/>
        <v>0</v>
      </c>
      <c r="T52" s="48">
        <f t="shared" si="28"/>
        <v>0</v>
      </c>
      <c r="U52" s="48">
        <f t="shared" si="28"/>
        <v>0</v>
      </c>
      <c r="V52" s="49">
        <f t="shared" si="28"/>
        <v>0</v>
      </c>
      <c r="W52" s="50">
        <f t="shared" ca="1" si="28"/>
        <v>0</v>
      </c>
      <c r="X52" s="48">
        <f t="shared" ca="1" si="28"/>
        <v>0</v>
      </c>
      <c r="Y52" s="48">
        <f t="shared" ca="1" si="28"/>
        <v>0</v>
      </c>
      <c r="Z52" s="48">
        <f t="shared" ca="1" si="28"/>
        <v>0</v>
      </c>
      <c r="AA52" s="48">
        <f t="shared" ca="1" si="28"/>
        <v>0</v>
      </c>
      <c r="AB52" s="48">
        <f t="shared" ca="1" si="28"/>
        <v>0</v>
      </c>
    </row>
    <row r="53" spans="1:28" x14ac:dyDescent="0.35">
      <c r="V53" s="17"/>
      <c r="W53" s="18"/>
    </row>
    <row r="54" spans="1:28" x14ac:dyDescent="0.35">
      <c r="B54" s="101"/>
      <c r="C54" s="101"/>
      <c r="D54" s="101"/>
      <c r="E54" s="101"/>
      <c r="F54" s="101"/>
      <c r="G54" s="101"/>
      <c r="H54" s="101"/>
      <c r="I54" s="101"/>
      <c r="J54" s="101"/>
      <c r="K54" s="101"/>
      <c r="L54" s="101"/>
      <c r="M54" s="101"/>
      <c r="N54" s="101"/>
      <c r="O54" s="101"/>
      <c r="P54" s="101"/>
      <c r="Q54" s="101"/>
      <c r="R54" s="101"/>
      <c r="S54" s="101"/>
      <c r="T54" s="101"/>
      <c r="U54" s="101"/>
      <c r="V54" s="102"/>
      <c r="W54" s="103"/>
      <c r="X54" s="101"/>
      <c r="Y54" s="101"/>
      <c r="Z54" s="101"/>
      <c r="AA54" s="101"/>
      <c r="AB54" s="101"/>
    </row>
    <row r="55" spans="1:28" x14ac:dyDescent="0.35">
      <c r="V55" s="17"/>
      <c r="W55" s="18"/>
    </row>
    <row r="56" spans="1:28" ht="20" thickBot="1" x14ac:dyDescent="0.5">
      <c r="B56" s="12" t="s">
        <v>148</v>
      </c>
      <c r="V56" s="17"/>
      <c r="W56" s="18"/>
    </row>
    <row r="57" spans="1:28" ht="15" thickTop="1" x14ac:dyDescent="0.35">
      <c r="B57" t="s">
        <v>168</v>
      </c>
      <c r="C57" s="45" t="e">
        <f t="shared" ref="C57:AB57" si="29">C$16+C$17+C$18-C$36</f>
        <v>#VALUE!</v>
      </c>
      <c r="D57" s="45" t="e">
        <f t="shared" si="29"/>
        <v>#VALUE!</v>
      </c>
      <c r="E57" s="45" t="e">
        <f t="shared" si="29"/>
        <v>#VALUE!</v>
      </c>
      <c r="F57" s="45" t="e">
        <f t="shared" si="29"/>
        <v>#VALUE!</v>
      </c>
      <c r="G57" s="45" t="e">
        <f t="shared" si="29"/>
        <v>#VALUE!</v>
      </c>
      <c r="H57" s="45" t="e">
        <f t="shared" si="29"/>
        <v>#VALUE!</v>
      </c>
      <c r="I57" s="45" t="e">
        <f t="shared" si="29"/>
        <v>#VALUE!</v>
      </c>
      <c r="J57" s="45" t="e">
        <f t="shared" si="29"/>
        <v>#VALUE!</v>
      </c>
      <c r="K57" s="45" t="e">
        <f t="shared" si="29"/>
        <v>#VALUE!</v>
      </c>
      <c r="L57" s="45">
        <f t="shared" si="29"/>
        <v>20.071000000000005</v>
      </c>
      <c r="M57" s="45">
        <f t="shared" si="29"/>
        <v>83.960000000000008</v>
      </c>
      <c r="N57" s="45">
        <f t="shared" si="29"/>
        <v>56.076999999999998</v>
      </c>
      <c r="O57" s="45">
        <f t="shared" si="29"/>
        <v>109.18800000000005</v>
      </c>
      <c r="P57" s="45">
        <f t="shared" si="29"/>
        <v>165.61699999999996</v>
      </c>
      <c r="Q57" s="45">
        <f t="shared" si="29"/>
        <v>297.75799999999992</v>
      </c>
      <c r="R57" s="45">
        <f t="shared" si="29"/>
        <v>235.62899999999991</v>
      </c>
      <c r="S57" s="45">
        <f t="shared" si="29"/>
        <v>365.03600000000006</v>
      </c>
      <c r="T57" s="45">
        <f t="shared" si="29"/>
        <v>475.77600000000007</v>
      </c>
      <c r="U57" s="45">
        <f t="shared" si="29"/>
        <v>552.99499999999989</v>
      </c>
      <c r="V57" s="46">
        <f t="shared" si="29"/>
        <v>699.12999999999965</v>
      </c>
      <c r="W57" s="47">
        <f t="shared" si="29"/>
        <v>1144.2742412183316</v>
      </c>
      <c r="X57" s="45">
        <f t="shared" si="29"/>
        <v>1381.5890664741491</v>
      </c>
      <c r="Y57" s="45">
        <f t="shared" si="29"/>
        <v>1607.7505769440568</v>
      </c>
      <c r="Z57" s="45">
        <f t="shared" si="29"/>
        <v>1800.6806461773438</v>
      </c>
      <c r="AA57" s="45">
        <f t="shared" si="29"/>
        <v>2016.7623237186251</v>
      </c>
      <c r="AB57" s="45">
        <f t="shared" si="29"/>
        <v>2258.7738025648605</v>
      </c>
    </row>
    <row r="58" spans="1:28" ht="15" thickBot="1" x14ac:dyDescent="0.4">
      <c r="B58" t="s">
        <v>169</v>
      </c>
      <c r="C58" s="45" t="e">
        <f t="shared" ref="C58:U58" si="30">C$20-C$37</f>
        <v>#VALUE!</v>
      </c>
      <c r="D58" s="45" t="e">
        <f t="shared" si="30"/>
        <v>#VALUE!</v>
      </c>
      <c r="E58" s="45" t="e">
        <f t="shared" si="30"/>
        <v>#VALUE!</v>
      </c>
      <c r="F58" s="45" t="e">
        <f t="shared" si="30"/>
        <v>#VALUE!</v>
      </c>
      <c r="G58" s="45" t="e">
        <f t="shared" si="30"/>
        <v>#VALUE!</v>
      </c>
      <c r="H58" s="45" t="e">
        <f t="shared" si="30"/>
        <v>#VALUE!</v>
      </c>
      <c r="I58" s="45" t="e">
        <f t="shared" si="30"/>
        <v>#VALUE!</v>
      </c>
      <c r="J58" s="45" t="e">
        <f t="shared" si="30"/>
        <v>#VALUE!</v>
      </c>
      <c r="K58" s="45" t="e">
        <f t="shared" si="30"/>
        <v>#VALUE!</v>
      </c>
      <c r="L58" s="45">
        <f t="shared" si="30"/>
        <v>-3.1260000000000119</v>
      </c>
      <c r="M58" s="45">
        <f t="shared" si="30"/>
        <v>-6.8140000000000072</v>
      </c>
      <c r="N58" s="45">
        <f t="shared" si="30"/>
        <v>-17.20999999999998</v>
      </c>
      <c r="O58" s="45">
        <f t="shared" si="30"/>
        <v>-17.857000000000141</v>
      </c>
      <c r="P58" s="45">
        <f t="shared" si="30"/>
        <v>-30.317000000000121</v>
      </c>
      <c r="Q58" s="45">
        <f t="shared" si="30"/>
        <v>-33.898000000000025</v>
      </c>
      <c r="R58" s="45">
        <f t="shared" si="30"/>
        <v>-24.032999999999902</v>
      </c>
      <c r="S58" s="45">
        <f t="shared" si="30"/>
        <v>-35.471000000000004</v>
      </c>
      <c r="T58" s="45">
        <f t="shared" si="30"/>
        <v>-106.06799999999976</v>
      </c>
      <c r="U58" s="45">
        <f t="shared" si="30"/>
        <v>-130.16700000000083</v>
      </c>
      <c r="V58" s="46">
        <f>V$20-V$37</f>
        <v>-157.62600000000066</v>
      </c>
      <c r="W58" s="47">
        <f t="shared" ref="W58:AB58" si="31">W$20+W$19-W$37</f>
        <v>-181.42618696822453</v>
      </c>
      <c r="X58" s="45">
        <f t="shared" si="31"/>
        <v>-219.05276485164507</v>
      </c>
      <c r="Y58" s="45">
        <f t="shared" si="31"/>
        <v>-254.91096999645575</v>
      </c>
      <c r="Z58" s="45">
        <f t="shared" si="31"/>
        <v>-285.50028639603045</v>
      </c>
      <c r="AA58" s="45">
        <f t="shared" si="31"/>
        <v>-319.76032076355415</v>
      </c>
      <c r="AB58" s="45">
        <f t="shared" si="31"/>
        <v>-358.13155925518066</v>
      </c>
    </row>
    <row r="59" spans="1:28" ht="15.5" thickTop="1" thickBot="1" x14ac:dyDescent="0.4">
      <c r="B59" t="s">
        <v>187</v>
      </c>
      <c r="C59" s="45" t="e">
        <f>C$24+C$25+C$26</f>
        <v>#VALUE!</v>
      </c>
      <c r="D59" s="45" t="e">
        <f t="shared" ref="D59:V59" si="32">D$24+D$25+D$26</f>
        <v>#VALUE!</v>
      </c>
      <c r="E59" s="45" t="e">
        <f t="shared" si="32"/>
        <v>#VALUE!</v>
      </c>
      <c r="F59" s="45" t="e">
        <f t="shared" si="32"/>
        <v>#VALUE!</v>
      </c>
      <c r="G59" s="45" t="e">
        <f t="shared" si="32"/>
        <v>#VALUE!</v>
      </c>
      <c r="H59" s="45" t="e">
        <f t="shared" si="32"/>
        <v>#VALUE!</v>
      </c>
      <c r="I59" s="45" t="e">
        <f t="shared" si="32"/>
        <v>#VALUE!</v>
      </c>
      <c r="J59" s="45" t="e">
        <f t="shared" si="32"/>
        <v>#VALUE!</v>
      </c>
      <c r="K59" s="45" t="e">
        <f t="shared" si="32"/>
        <v>#VALUE!</v>
      </c>
      <c r="L59" s="45">
        <f t="shared" si="32"/>
        <v>2.379</v>
      </c>
      <c r="M59" s="45">
        <f t="shared" si="32"/>
        <v>6.625</v>
      </c>
      <c r="N59" s="45">
        <f t="shared" si="32"/>
        <v>20.298999999999999</v>
      </c>
      <c r="O59" s="45">
        <f t="shared" si="32"/>
        <v>26.203000000000003</v>
      </c>
      <c r="P59" s="45">
        <f t="shared" si="32"/>
        <v>49.247999999999998</v>
      </c>
      <c r="Q59" s="45">
        <f t="shared" si="32"/>
        <v>255.625</v>
      </c>
      <c r="R59" s="45">
        <f t="shared" si="32"/>
        <v>387.01599999999996</v>
      </c>
      <c r="S59" s="45">
        <f t="shared" si="32"/>
        <v>398.61500000000001</v>
      </c>
      <c r="T59" s="45">
        <f t="shared" si="32"/>
        <v>431.24299999999994</v>
      </c>
      <c r="U59" s="45">
        <f t="shared" si="32"/>
        <v>392.95600000000002</v>
      </c>
      <c r="V59" s="46">
        <f t="shared" si="32"/>
        <v>502.33499999999998</v>
      </c>
      <c r="W59" s="117">
        <f ca="1">V$59+'Cash flow statement'!W$48-'Cash flow statement'!W$14</f>
        <v>611.25462705794257</v>
      </c>
      <c r="X59" s="45">
        <f ca="1">W$59+'Cash flow statement'!X$48-'Cash flow statement'!X$14</f>
        <v>736.22546786658529</v>
      </c>
      <c r="Y59" s="45">
        <f ca="1">X$59+'Cash flow statement'!Y$48-'Cash flow statement'!Y$14</f>
        <v>872.47931012957133</v>
      </c>
      <c r="Z59" s="45">
        <f ca="1">Y$59+'Cash flow statement'!Z$48-'Cash flow statement'!Z$14</f>
        <v>1013.2147245638781</v>
      </c>
      <c r="AA59" s="45">
        <f ca="1">Z$59+'Cash flow statement'!AA$48-'Cash flow statement'!AA$14</f>
        <v>1160.2085078300638</v>
      </c>
      <c r="AB59" s="45">
        <f ca="1">AA$59+'Cash flow statement'!AB$48-'Cash flow statement'!AB$14</f>
        <v>1317.6754161879542</v>
      </c>
    </row>
    <row r="60" spans="1:28" ht="15" thickTop="1" x14ac:dyDescent="0.35">
      <c r="B60" t="s">
        <v>255</v>
      </c>
      <c r="C60" s="45" t="e">
        <f>C$11-C$35-C$41</f>
        <v>#VALUE!</v>
      </c>
      <c r="D60" s="45" t="e">
        <f t="shared" ref="D60:AB60" si="33">D$11-D$35-D$41</f>
        <v>#VALUE!</v>
      </c>
      <c r="E60" s="45" t="e">
        <f t="shared" si="33"/>
        <v>#VALUE!</v>
      </c>
      <c r="F60" s="45" t="e">
        <f t="shared" si="33"/>
        <v>#VALUE!</v>
      </c>
      <c r="G60" s="45" t="e">
        <f t="shared" si="33"/>
        <v>#VALUE!</v>
      </c>
      <c r="H60" s="45" t="e">
        <f t="shared" si="33"/>
        <v>#VALUE!</v>
      </c>
      <c r="I60" s="45" t="e">
        <f t="shared" si="33"/>
        <v>#VALUE!</v>
      </c>
      <c r="J60" s="45" t="e">
        <f t="shared" si="33"/>
        <v>#VALUE!</v>
      </c>
      <c r="K60" s="45" t="e">
        <f t="shared" si="33"/>
        <v>#VALUE!</v>
      </c>
      <c r="L60" s="45">
        <f t="shared" si="33"/>
        <v>2.386000000000001</v>
      </c>
      <c r="M60" s="45">
        <f t="shared" si="33"/>
        <v>-40.841000000000001</v>
      </c>
      <c r="N60" s="45">
        <f t="shared" si="33"/>
        <v>107.553</v>
      </c>
      <c r="O60" s="45">
        <f t="shared" si="33"/>
        <v>128.94999999999999</v>
      </c>
      <c r="P60" s="45">
        <f t="shared" si="33"/>
        <v>207.232</v>
      </c>
      <c r="Q60" s="45">
        <f t="shared" si="33"/>
        <v>254.988</v>
      </c>
      <c r="R60" s="45">
        <f t="shared" si="33"/>
        <v>624.03800000000001</v>
      </c>
      <c r="S60" s="45">
        <f t="shared" si="33"/>
        <v>958.779</v>
      </c>
      <c r="T60" s="45">
        <f t="shared" si="33"/>
        <v>1446.586</v>
      </c>
      <c r="U60" s="45">
        <f t="shared" si="33"/>
        <v>1380.288</v>
      </c>
      <c r="V60" s="46">
        <f t="shared" si="33"/>
        <v>1921.489</v>
      </c>
      <c r="W60" s="47">
        <f t="shared" ca="1" si="33"/>
        <v>1627.4426895866104</v>
      </c>
      <c r="X60" s="45">
        <f t="shared" ca="1" si="33"/>
        <v>1562.3636756603623</v>
      </c>
      <c r="Y60" s="45">
        <f t="shared" ca="1" si="33"/>
        <v>1525.6126536801287</v>
      </c>
      <c r="Z60" s="45">
        <f t="shared" ca="1" si="33"/>
        <v>1538.8217452387216</v>
      </c>
      <c r="AA60" s="45">
        <f t="shared" ca="1" si="33"/>
        <v>1557.960128476926</v>
      </c>
      <c r="AB60" s="45">
        <f t="shared" ca="1" si="33"/>
        <v>1580.4363196323463</v>
      </c>
    </row>
    <row r="61" spans="1:28" x14ac:dyDescent="0.35">
      <c r="B61" t="s">
        <v>256</v>
      </c>
      <c r="C61" s="45" t="e">
        <f>C$60+C$28</f>
        <v>#VALUE!</v>
      </c>
      <c r="D61" s="45" t="e">
        <f t="shared" ref="D61:AB61" si="34">D$60+D$28</f>
        <v>#VALUE!</v>
      </c>
      <c r="E61" s="45" t="e">
        <f t="shared" si="34"/>
        <v>#VALUE!</v>
      </c>
      <c r="F61" s="45" t="e">
        <f t="shared" si="34"/>
        <v>#VALUE!</v>
      </c>
      <c r="G61" s="45" t="e">
        <f t="shared" si="34"/>
        <v>#VALUE!</v>
      </c>
      <c r="H61" s="45" t="e">
        <f t="shared" si="34"/>
        <v>#VALUE!</v>
      </c>
      <c r="I61" s="45" t="e">
        <f t="shared" si="34"/>
        <v>#VALUE!</v>
      </c>
      <c r="J61" s="45" t="e">
        <f t="shared" si="34"/>
        <v>#VALUE!</v>
      </c>
      <c r="K61" s="45" t="e">
        <f t="shared" si="34"/>
        <v>#VALUE!</v>
      </c>
      <c r="L61" s="45">
        <f t="shared" si="34"/>
        <v>2.386000000000001</v>
      </c>
      <c r="M61" s="45">
        <f t="shared" si="34"/>
        <v>-40.841000000000001</v>
      </c>
      <c r="N61" s="45">
        <f t="shared" si="34"/>
        <v>107.553</v>
      </c>
      <c r="O61" s="45">
        <f t="shared" si="34"/>
        <v>128.94999999999999</v>
      </c>
      <c r="P61" s="45">
        <f t="shared" si="34"/>
        <v>207.232</v>
      </c>
      <c r="Q61" s="45">
        <f t="shared" si="34"/>
        <v>254.988</v>
      </c>
      <c r="R61" s="45">
        <f t="shared" si="34"/>
        <v>624.03800000000001</v>
      </c>
      <c r="S61" s="45">
        <f t="shared" si="34"/>
        <v>958.779</v>
      </c>
      <c r="T61" s="45">
        <f t="shared" si="34"/>
        <v>1446.586</v>
      </c>
      <c r="U61" s="45">
        <f t="shared" si="34"/>
        <v>1380.288</v>
      </c>
      <c r="V61" s="46">
        <f t="shared" si="34"/>
        <v>1921.489</v>
      </c>
      <c r="W61" s="47">
        <f t="shared" ca="1" si="34"/>
        <v>1627.4426895866104</v>
      </c>
      <c r="X61" s="45">
        <f t="shared" ca="1" si="34"/>
        <v>1562.3636756603623</v>
      </c>
      <c r="Y61" s="45">
        <f t="shared" ca="1" si="34"/>
        <v>1525.6126536801287</v>
      </c>
      <c r="Z61" s="45">
        <f t="shared" ca="1" si="34"/>
        <v>1538.8217452387216</v>
      </c>
      <c r="AA61" s="45">
        <f t="shared" ca="1" si="34"/>
        <v>1557.960128476926</v>
      </c>
      <c r="AB61" s="45">
        <f t="shared" ca="1" si="34"/>
        <v>1580.4363196323463</v>
      </c>
    </row>
    <row r="62" spans="1:28" x14ac:dyDescent="0.35">
      <c r="B62" t="s">
        <v>233</v>
      </c>
      <c r="C62" s="45" t="e">
        <f>C$51-C$26</f>
        <v>#VALUE!</v>
      </c>
      <c r="D62" s="45" t="e">
        <f t="shared" ref="D62:AB62" si="35">D$51-D$26</f>
        <v>#VALUE!</v>
      </c>
      <c r="E62" s="45" t="e">
        <f t="shared" si="35"/>
        <v>#VALUE!</v>
      </c>
      <c r="F62" s="45" t="e">
        <f t="shared" si="35"/>
        <v>#VALUE!</v>
      </c>
      <c r="G62" s="45" t="e">
        <f t="shared" si="35"/>
        <v>#VALUE!</v>
      </c>
      <c r="H62" s="45" t="e">
        <f t="shared" si="35"/>
        <v>#VALUE!</v>
      </c>
      <c r="I62" s="45" t="e">
        <f t="shared" si="35"/>
        <v>#VALUE!</v>
      </c>
      <c r="J62" s="45" t="e">
        <f t="shared" si="35"/>
        <v>#VALUE!</v>
      </c>
      <c r="K62" s="45" t="e">
        <f t="shared" si="35"/>
        <v>#VALUE!</v>
      </c>
      <c r="L62" s="45">
        <f t="shared" si="35"/>
        <v>21.866</v>
      </c>
      <c r="M62" s="45">
        <f t="shared" si="35"/>
        <v>38.634000000000015</v>
      </c>
      <c r="N62" s="45">
        <f t="shared" si="35"/>
        <v>161.62</v>
      </c>
      <c r="O62" s="45">
        <f t="shared" si="35"/>
        <v>241.18399999999997</v>
      </c>
      <c r="P62" s="45">
        <f t="shared" si="35"/>
        <v>386.46600000000012</v>
      </c>
      <c r="Q62" s="45">
        <f t="shared" si="35"/>
        <v>603.43500000000006</v>
      </c>
      <c r="R62" s="45">
        <f t="shared" si="35"/>
        <v>1001.64</v>
      </c>
      <c r="S62" s="45">
        <f t="shared" si="35"/>
        <v>1512.972</v>
      </c>
      <c r="T62" s="45">
        <f t="shared" si="35"/>
        <v>2096.7950000000001</v>
      </c>
      <c r="U62" s="45">
        <f t="shared" si="35"/>
        <v>2147.3180000000002</v>
      </c>
      <c r="V62" s="46">
        <f t="shared" si="35"/>
        <v>2934.5239999999999</v>
      </c>
      <c r="W62" s="47">
        <f t="shared" ca="1" si="35"/>
        <v>3185.3623708946611</v>
      </c>
      <c r="X62" s="45">
        <f t="shared" ca="1" si="35"/>
        <v>3444.9424451494529</v>
      </c>
      <c r="Y62" s="45">
        <f t="shared" ca="1" si="35"/>
        <v>3734.7485707573023</v>
      </c>
      <c r="Z62" s="45">
        <f t="shared" ca="1" si="35"/>
        <v>4051.0338295839142</v>
      </c>
      <c r="AA62" s="45">
        <f t="shared" ca="1" si="35"/>
        <v>4398.9876392620617</v>
      </c>
      <c r="AB62" s="45">
        <f t="shared" ca="1" si="35"/>
        <v>4782.5709791299814</v>
      </c>
    </row>
    <row r="63" spans="1:28" x14ac:dyDescent="0.35">
      <c r="B63" t="s">
        <v>254</v>
      </c>
      <c r="C63" s="45" t="e">
        <f>C$51-C$60</f>
        <v>#VALUE!</v>
      </c>
      <c r="D63" s="45" t="e">
        <f t="shared" ref="D63:AB63" si="36">D$51-D$60</f>
        <v>#VALUE!</v>
      </c>
      <c r="E63" s="45" t="e">
        <f t="shared" si="36"/>
        <v>#VALUE!</v>
      </c>
      <c r="F63" s="45" t="e">
        <f t="shared" si="36"/>
        <v>#VALUE!</v>
      </c>
      <c r="G63" s="45" t="e">
        <f t="shared" si="36"/>
        <v>#VALUE!</v>
      </c>
      <c r="H63" s="45" t="e">
        <f t="shared" si="36"/>
        <v>#VALUE!</v>
      </c>
      <c r="I63" s="45" t="e">
        <f t="shared" si="36"/>
        <v>#VALUE!</v>
      </c>
      <c r="J63" s="45" t="e">
        <f t="shared" si="36"/>
        <v>#VALUE!</v>
      </c>
      <c r="K63" s="45" t="e">
        <f t="shared" si="36"/>
        <v>#VALUE!</v>
      </c>
      <c r="L63" s="45">
        <f t="shared" si="36"/>
        <v>19.479999999999997</v>
      </c>
      <c r="M63" s="45">
        <f t="shared" si="36"/>
        <v>79.475000000000023</v>
      </c>
      <c r="N63" s="45">
        <f t="shared" si="36"/>
        <v>56.826999999999998</v>
      </c>
      <c r="O63" s="45">
        <f t="shared" si="36"/>
        <v>116.63299999999998</v>
      </c>
      <c r="P63" s="45">
        <f t="shared" si="36"/>
        <v>187.33500000000012</v>
      </c>
      <c r="Q63" s="45">
        <f t="shared" si="36"/>
        <v>357.52900000000005</v>
      </c>
      <c r="R63" s="45">
        <f t="shared" si="36"/>
        <v>389.10699999999997</v>
      </c>
      <c r="S63" s="45">
        <f t="shared" si="36"/>
        <v>568.52700000000004</v>
      </c>
      <c r="T63" s="45">
        <f t="shared" si="36"/>
        <v>668.75299999999993</v>
      </c>
      <c r="U63" s="45">
        <f t="shared" si="36"/>
        <v>783.93100000000004</v>
      </c>
      <c r="V63" s="46">
        <f>V$51-V$60</f>
        <v>1027.6559999999999</v>
      </c>
      <c r="W63" s="47">
        <f t="shared" ca="1" si="36"/>
        <v>1557.9196813080507</v>
      </c>
      <c r="X63" s="45">
        <f t="shared" ca="1" si="36"/>
        <v>1882.5787694890905</v>
      </c>
      <c r="Y63" s="45">
        <f t="shared" ca="1" si="36"/>
        <v>2209.1359170771739</v>
      </c>
      <c r="Z63" s="45">
        <f t="shared" ca="1" si="36"/>
        <v>2512.2120843451926</v>
      </c>
      <c r="AA63" s="45">
        <f t="shared" ca="1" si="36"/>
        <v>2841.0275107851357</v>
      </c>
      <c r="AB63" s="45">
        <f t="shared" ca="1" si="36"/>
        <v>3202.1346594976349</v>
      </c>
    </row>
    <row r="64" spans="1:28" x14ac:dyDescent="0.35">
      <c r="B64" t="s">
        <v>418</v>
      </c>
      <c r="C64" s="45"/>
      <c r="D64" s="45" t="e">
        <f t="shared" ref="D64:AA64" si="37">AVERAGE(C$63:D$63)</f>
        <v>#VALUE!</v>
      </c>
      <c r="E64" s="45" t="e">
        <f t="shared" si="37"/>
        <v>#VALUE!</v>
      </c>
      <c r="F64" s="45" t="e">
        <f t="shared" si="37"/>
        <v>#VALUE!</v>
      </c>
      <c r="G64" s="45" t="e">
        <f t="shared" si="37"/>
        <v>#VALUE!</v>
      </c>
      <c r="H64" s="45" t="e">
        <f t="shared" si="37"/>
        <v>#VALUE!</v>
      </c>
      <c r="I64" s="45" t="e">
        <f t="shared" si="37"/>
        <v>#VALUE!</v>
      </c>
      <c r="J64" s="45" t="e">
        <f t="shared" si="37"/>
        <v>#VALUE!</v>
      </c>
      <c r="K64" s="45" t="e">
        <f t="shared" si="37"/>
        <v>#VALUE!</v>
      </c>
      <c r="L64" s="45" t="e">
        <f t="shared" si="37"/>
        <v>#VALUE!</v>
      </c>
      <c r="M64" s="45">
        <f t="shared" si="37"/>
        <v>49.477500000000006</v>
      </c>
      <c r="N64" s="45">
        <f t="shared" si="37"/>
        <v>68.15100000000001</v>
      </c>
      <c r="O64" s="45">
        <f t="shared" si="37"/>
        <v>86.72999999999999</v>
      </c>
      <c r="P64" s="45">
        <f t="shared" si="37"/>
        <v>151.98400000000004</v>
      </c>
      <c r="Q64" s="45">
        <f t="shared" si="37"/>
        <v>272.43200000000007</v>
      </c>
      <c r="R64" s="45">
        <f t="shared" si="37"/>
        <v>373.31799999999998</v>
      </c>
      <c r="S64" s="45">
        <f t="shared" si="37"/>
        <v>478.81700000000001</v>
      </c>
      <c r="T64" s="45">
        <f t="shared" si="37"/>
        <v>618.64</v>
      </c>
      <c r="U64" s="45">
        <f t="shared" si="37"/>
        <v>726.34199999999998</v>
      </c>
      <c r="V64" s="46">
        <f t="shared" si="37"/>
        <v>905.79349999999999</v>
      </c>
      <c r="W64" s="47">
        <f t="shared" ca="1" si="37"/>
        <v>1292.7878406540253</v>
      </c>
      <c r="X64" s="45">
        <f t="shared" ca="1" si="37"/>
        <v>1720.2492253985706</v>
      </c>
      <c r="Y64" s="45">
        <f t="shared" ca="1" si="37"/>
        <v>2045.8573432831322</v>
      </c>
      <c r="Z64" s="45">
        <f t="shared" ca="1" si="37"/>
        <v>2360.674000711183</v>
      </c>
      <c r="AA64" s="45">
        <f t="shared" ca="1" si="37"/>
        <v>2676.6197975651639</v>
      </c>
      <c r="AB64" s="45">
        <f ca="1">AVERAGE(AA$63:AB$63)</f>
        <v>3021.5810851413853</v>
      </c>
    </row>
    <row r="65" spans="1:28" x14ac:dyDescent="0.35">
      <c r="A65" s="127"/>
      <c r="B65" t="s">
        <v>416</v>
      </c>
      <c r="C65" s="60" t="e">
        <f>'Balance sheet'!C$31-'Balance sheet'!C$38-C$29</f>
        <v>#VALUE!</v>
      </c>
      <c r="D65" s="60" t="e">
        <f>'Balance sheet'!D$31-'Balance sheet'!D$38-D$29</f>
        <v>#VALUE!</v>
      </c>
      <c r="E65" s="60" t="e">
        <f>'Balance sheet'!E$31-'Balance sheet'!E$38-E$29</f>
        <v>#VALUE!</v>
      </c>
      <c r="F65" s="60" t="e">
        <f>'Balance sheet'!F$31-'Balance sheet'!F$38-F$29</f>
        <v>#VALUE!</v>
      </c>
      <c r="G65" s="60" t="e">
        <f>'Balance sheet'!G$31-'Balance sheet'!G$38-G$29</f>
        <v>#VALUE!</v>
      </c>
      <c r="H65" s="60" t="e">
        <f>'Balance sheet'!H$31-'Balance sheet'!H$38-H$29</f>
        <v>#VALUE!</v>
      </c>
      <c r="I65" s="60" t="e">
        <f>'Balance sheet'!I$31-'Balance sheet'!I$38-I$29</f>
        <v>#VALUE!</v>
      </c>
      <c r="J65" s="60" t="e">
        <f>'Balance sheet'!J$31-'Balance sheet'!J$38-J$29</f>
        <v>#VALUE!</v>
      </c>
      <c r="K65" s="60" t="e">
        <f>'Balance sheet'!K$31-'Balance sheet'!K$38-K$29</f>
        <v>#VALUE!</v>
      </c>
      <c r="L65" s="60">
        <f>'Balance sheet'!L$31-'Balance sheet'!L$38-L$29</f>
        <v>36.638999999999989</v>
      </c>
      <c r="M65" s="60">
        <f>'Balance sheet'!M$31-'Balance sheet'!M$38-M$29</f>
        <v>87.817999999999998</v>
      </c>
      <c r="N65" s="60">
        <f>'Balance sheet'!N$31-'Balance sheet'!N$38-N$29</f>
        <v>192.566</v>
      </c>
      <c r="O65" s="60">
        <f>'Balance sheet'!O$31-'Balance sheet'!O$38-O$29</f>
        <v>273.48399999999992</v>
      </c>
      <c r="P65" s="60">
        <f>'Balance sheet'!P$31-'Balance sheet'!P$38-P$29</f>
        <v>391.77999999999992</v>
      </c>
      <c r="Q65" s="60">
        <f>'Balance sheet'!Q$31-'Balance sheet'!Q$38-Q$29</f>
        <v>774.47299999999996</v>
      </c>
      <c r="R65" s="60">
        <f>'Balance sheet'!R$31-'Balance sheet'!R$38-R$29</f>
        <v>1222.6500000000001</v>
      </c>
      <c r="S65" s="60">
        <f>'Balance sheet'!S$31-'Balance sheet'!S$38-S$29</f>
        <v>1686.9589999999998</v>
      </c>
      <c r="T65" s="60">
        <f>'Balance sheet'!T$31-'Balance sheet'!T$38-T$29</f>
        <v>2247.5369999999998</v>
      </c>
      <c r="U65" s="60">
        <f>'Balance sheet'!U$31-'Balance sheet'!U$38-U$29</f>
        <v>2196.0719999999997</v>
      </c>
      <c r="V65" s="60">
        <f>'Balance sheet'!V$31-'Balance sheet'!V$38-V$29</f>
        <v>2965.3279999999995</v>
      </c>
      <c r="W65" s="60">
        <f ca="1">'Balance sheet'!W$31-'Balance sheet'!W$38-W$29</f>
        <v>3201.5453708946598</v>
      </c>
      <c r="X65" s="60">
        <f ca="1">'Balance sheet'!X$31-'Balance sheet'!X$38-X$29</f>
        <v>3461.1254451494519</v>
      </c>
      <c r="Y65" s="60">
        <f ca="1">'Balance sheet'!Y$31-'Balance sheet'!Y$38-Y$29</f>
        <v>3750.931570757301</v>
      </c>
      <c r="Z65" s="60">
        <f ca="1">'Balance sheet'!Z$31-'Balance sheet'!Z$38-Z$29</f>
        <v>4067.2168295839137</v>
      </c>
      <c r="AA65" s="60">
        <f ca="1">'Balance sheet'!AA$31-'Balance sheet'!AA$38-AA$29</f>
        <v>4415.1706392620608</v>
      </c>
      <c r="AB65" s="60">
        <f ca="1">'Balance sheet'!AB$31-'Balance sheet'!AB$38-AB$29</f>
        <v>4798.7539791299805</v>
      </c>
    </row>
    <row r="66" spans="1:28" x14ac:dyDescent="0.35">
      <c r="B66" t="s">
        <v>417</v>
      </c>
      <c r="C66" s="45"/>
      <c r="D66" s="45" t="e">
        <f t="shared" ref="D66:AB66" si="38">AVERAGE(C$65:D$65)</f>
        <v>#VALUE!</v>
      </c>
      <c r="E66" s="45" t="e">
        <f t="shared" si="38"/>
        <v>#VALUE!</v>
      </c>
      <c r="F66" s="45" t="e">
        <f t="shared" si="38"/>
        <v>#VALUE!</v>
      </c>
      <c r="G66" s="45" t="e">
        <f t="shared" si="38"/>
        <v>#VALUE!</v>
      </c>
      <c r="H66" s="45" t="e">
        <f t="shared" si="38"/>
        <v>#VALUE!</v>
      </c>
      <c r="I66" s="45" t="e">
        <f t="shared" si="38"/>
        <v>#VALUE!</v>
      </c>
      <c r="J66" s="45" t="e">
        <f t="shared" si="38"/>
        <v>#VALUE!</v>
      </c>
      <c r="K66" s="45" t="e">
        <f t="shared" si="38"/>
        <v>#VALUE!</v>
      </c>
      <c r="L66" s="45" t="e">
        <f t="shared" si="38"/>
        <v>#VALUE!</v>
      </c>
      <c r="M66" s="45">
        <f t="shared" si="38"/>
        <v>62.228499999999997</v>
      </c>
      <c r="N66" s="45">
        <f t="shared" si="38"/>
        <v>140.19200000000001</v>
      </c>
      <c r="O66" s="45">
        <f t="shared" si="38"/>
        <v>233.02499999999998</v>
      </c>
      <c r="P66" s="45">
        <f t="shared" si="38"/>
        <v>332.63199999999995</v>
      </c>
      <c r="Q66" s="45">
        <f t="shared" si="38"/>
        <v>583.12649999999996</v>
      </c>
      <c r="R66" s="45">
        <f t="shared" si="38"/>
        <v>998.56150000000002</v>
      </c>
      <c r="S66" s="45">
        <f t="shared" si="38"/>
        <v>1454.8045</v>
      </c>
      <c r="T66" s="45">
        <f t="shared" si="38"/>
        <v>1967.2479999999998</v>
      </c>
      <c r="U66" s="45">
        <f t="shared" si="38"/>
        <v>2221.8044999999997</v>
      </c>
      <c r="V66" s="46">
        <f t="shared" si="38"/>
        <v>2580.6999999999998</v>
      </c>
      <c r="W66" s="47">
        <f t="shared" ca="1" si="38"/>
        <v>3083.4366854473296</v>
      </c>
      <c r="X66" s="45">
        <f t="shared" ca="1" si="38"/>
        <v>3331.3354080220561</v>
      </c>
      <c r="Y66" s="45">
        <f t="shared" ca="1" si="38"/>
        <v>3606.0285079533764</v>
      </c>
      <c r="Z66" s="45">
        <f t="shared" ca="1" si="38"/>
        <v>3909.0742001706076</v>
      </c>
      <c r="AA66" s="45">
        <f t="shared" ca="1" si="38"/>
        <v>4241.1937344229873</v>
      </c>
      <c r="AB66" s="45">
        <f t="shared" ca="1" si="38"/>
        <v>4606.9623091960202</v>
      </c>
    </row>
    <row r="67" spans="1:28" x14ac:dyDescent="0.35">
      <c r="V67" s="29"/>
      <c r="W67" s="18"/>
      <c r="AB67" s="13"/>
    </row>
    <row r="68" spans="1:28" ht="20" thickBot="1" x14ac:dyDescent="0.5">
      <c r="B68" s="12" t="s">
        <v>103</v>
      </c>
      <c r="V68" s="17"/>
      <c r="W68" s="18"/>
    </row>
    <row r="69" spans="1:28" ht="18" thickTop="1" thickBot="1" x14ac:dyDescent="0.45">
      <c r="B69" s="14" t="s">
        <v>110</v>
      </c>
      <c r="V69" s="17"/>
      <c r="W69" s="18"/>
    </row>
    <row r="70" spans="1:28" ht="15" thickTop="1" x14ac:dyDescent="0.35">
      <c r="B70" t="s">
        <v>172</v>
      </c>
      <c r="C70" s="13" t="e">
        <f>C$57/'Income statement'!C$7</f>
        <v>#VALUE!</v>
      </c>
      <c r="D70" s="13" t="e">
        <f>D$57/'Income statement'!D$7</f>
        <v>#VALUE!</v>
      </c>
      <c r="E70" s="13" t="e">
        <f>E$57/'Income statement'!E$7</f>
        <v>#VALUE!</v>
      </c>
      <c r="F70" s="13" t="e">
        <f>F$57/'Income statement'!F$7</f>
        <v>#VALUE!</v>
      </c>
      <c r="G70" s="13" t="e">
        <f>G$57/'Income statement'!G$7</f>
        <v>#VALUE!</v>
      </c>
      <c r="H70" s="13" t="e">
        <f>H$57/'Income statement'!H$7</f>
        <v>#VALUE!</v>
      </c>
      <c r="I70" s="13" t="e">
        <f>I$57/'Income statement'!I$7</f>
        <v>#VALUE!</v>
      </c>
      <c r="J70" s="13" t="e">
        <f>J$57/'Income statement'!J$7</f>
        <v>#VALUE!</v>
      </c>
      <c r="K70" s="13" t="e">
        <f>K$57/'Income statement'!K$7</f>
        <v>#VALUE!</v>
      </c>
      <c r="L70" s="13">
        <f>L$57/'Income statement'!L$7</f>
        <v>0.45054772380353786</v>
      </c>
      <c r="M70" s="13">
        <f>M$57/'Income statement'!M$7</f>
        <v>0.73446821911576898</v>
      </c>
      <c r="N70" s="13">
        <f>N$57/'Income statement'!N$7</f>
        <v>0.27634211485960403</v>
      </c>
      <c r="O70" s="13">
        <f>O$57/'Income statement'!O$7</f>
        <v>0.35425690341545096</v>
      </c>
      <c r="P70" s="13">
        <f>P$57/'Income statement'!P$7</f>
        <v>0.34699158170854855</v>
      </c>
      <c r="Q70" s="13">
        <f>Q$57/'Income statement'!Q$7</f>
        <v>0.45042643761969436</v>
      </c>
      <c r="R70" s="13">
        <f>R$57/'Income statement'!R$7</f>
        <v>0.28184174548133856</v>
      </c>
      <c r="S70" s="13">
        <f>S$57/'Income statement'!S$7</f>
        <v>0.30509491695132424</v>
      </c>
      <c r="T70" s="13">
        <f>T$57/'Income statement'!T$7</f>
        <v>0.30154487750309772</v>
      </c>
      <c r="U70" s="13">
        <f>U$57/'Income statement'!U$7</f>
        <v>0.28415257024232826</v>
      </c>
      <c r="V70" s="33">
        <f>V$57/'Income statement'!V$7</f>
        <v>0.28596250620186003</v>
      </c>
      <c r="W70" s="34">
        <f>_xlfn.AGGREGATE(1,2,$M70:$V70)</f>
        <v>0.36210818730990152</v>
      </c>
      <c r="X70" s="13">
        <f>W70</f>
        <v>0.36210818730990152</v>
      </c>
      <c r="Y70" s="13">
        <f t="shared" ref="Y70:AB71" si="39">X70</f>
        <v>0.36210818730990152</v>
      </c>
      <c r="Z70" s="13">
        <f t="shared" si="39"/>
        <v>0.36210818730990152</v>
      </c>
      <c r="AA70" s="13">
        <f t="shared" si="39"/>
        <v>0.36210818730990152</v>
      </c>
      <c r="AB70" s="13">
        <f t="shared" si="39"/>
        <v>0.36210818730990152</v>
      </c>
    </row>
    <row r="71" spans="1:28" x14ac:dyDescent="0.35">
      <c r="B71" t="s">
        <v>173</v>
      </c>
      <c r="C71" s="13" t="e">
        <f>C$58/'Income statement'!C$7</f>
        <v>#VALUE!</v>
      </c>
      <c r="D71" s="13" t="e">
        <f>D$58/'Income statement'!D$7</f>
        <v>#VALUE!</v>
      </c>
      <c r="E71" s="13" t="e">
        <f>E$58/'Income statement'!E$7</f>
        <v>#VALUE!</v>
      </c>
      <c r="F71" s="13" t="e">
        <f>F$58/'Income statement'!F$7</f>
        <v>#VALUE!</v>
      </c>
      <c r="G71" s="13" t="e">
        <f>G$58/'Income statement'!G$7</f>
        <v>#VALUE!</v>
      </c>
      <c r="H71" s="13" t="e">
        <f>H$58/'Income statement'!H$7</f>
        <v>#VALUE!</v>
      </c>
      <c r="I71" s="13" t="e">
        <f>I$58/'Income statement'!I$7</f>
        <v>#VALUE!</v>
      </c>
      <c r="J71" s="13" t="e">
        <f>J$58/'Income statement'!J$7</f>
        <v>#VALUE!</v>
      </c>
      <c r="K71" s="13" t="e">
        <f>K$58/'Income statement'!K$7</f>
        <v>#VALUE!</v>
      </c>
      <c r="L71" s="13">
        <f>L$58/'Income statement'!L$7</f>
        <v>-7.0171500404058812E-2</v>
      </c>
      <c r="M71" s="13">
        <f>M$58/'Income statement'!M$7</f>
        <v>-5.9607747082597126E-2</v>
      </c>
      <c r="N71" s="13">
        <f>N$58/'Income statement'!N$7</f>
        <v>-8.4809240806993591E-2</v>
      </c>
      <c r="O71" s="13">
        <f>O$58/'Income statement'!O$7</f>
        <v>-5.7936453862052199E-2</v>
      </c>
      <c r="P71" s="13">
        <f>P$58/'Income statement'!P$7</f>
        <v>-6.3518502222948789E-2</v>
      </c>
      <c r="Q71" s="13">
        <f>Q$58/'Income statement'!Q$7</f>
        <v>-5.1278405223142337E-2</v>
      </c>
      <c r="R71" s="13">
        <f>R$58/'Income statement'!R$7</f>
        <v>-2.8746472926307814E-2</v>
      </c>
      <c r="S71" s="13">
        <f>S$58/'Income statement'!S$7</f>
        <v>-2.964645075877563E-2</v>
      </c>
      <c r="T71" s="13">
        <f>T$58/'Income statement'!T$7</f>
        <v>-6.7225463384026282E-2</v>
      </c>
      <c r="U71" s="13">
        <f>U$58/'Income statement'!U$7</f>
        <v>-6.6885392473229208E-2</v>
      </c>
      <c r="V71" s="33">
        <f>V$58/'Income statement'!V$7</f>
        <v>-6.4473168084010976E-2</v>
      </c>
      <c r="W71" s="34">
        <f>_xlfn.AGGREGATE(1,2,$M71:$V71)</f>
        <v>-5.7412729682408403E-2</v>
      </c>
      <c r="X71" s="13">
        <f>W71</f>
        <v>-5.7412729682408403E-2</v>
      </c>
      <c r="Y71" s="13">
        <f t="shared" si="39"/>
        <v>-5.7412729682408403E-2</v>
      </c>
      <c r="Z71" s="13">
        <f t="shared" si="39"/>
        <v>-5.7412729682408403E-2</v>
      </c>
      <c r="AA71" s="13">
        <f t="shared" si="39"/>
        <v>-5.7412729682408403E-2</v>
      </c>
      <c r="AB71" s="13">
        <f t="shared" si="39"/>
        <v>-5.7412729682408403E-2</v>
      </c>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D1433-5259-4B3B-A3C4-9BB9E1FB4844}">
  <sheetPr codeName="Sheet6">
    <tabColor theme="8" tint="0.79998168889431442"/>
  </sheetPr>
  <dimension ref="A1:AD76"/>
  <sheetViews>
    <sheetView showGridLines="0" zoomScale="85" zoomScaleNormal="85" workbookViewId="0">
      <pane xSplit="2" ySplit="10" topLeftCell="C11" activePane="bottomRight" state="frozen"/>
      <selection activeCell="P52" sqref="P52"/>
      <selection pane="topRight" activeCell="P52" sqref="P52"/>
      <selection pane="bottomLeft" activeCell="P52" sqref="P52"/>
      <selection pane="bottomRight" activeCell="A10" sqref="A10"/>
    </sheetView>
  </sheetViews>
  <sheetFormatPr defaultRowHeight="14.5" outlineLevelRow="1" outlineLevelCol="1" x14ac:dyDescent="0.35"/>
  <cols>
    <col min="1" max="1" width="17.453125" style="58" customWidth="1" outlineLevel="1"/>
    <col min="2" max="2" width="33" bestFit="1" customWidth="1"/>
    <col min="3" max="28" width="10.81640625" bestFit="1" customWidth="1"/>
  </cols>
  <sheetData>
    <row r="1" spans="1:28" ht="23.5" x14ac:dyDescent="0.55000000000000004">
      <c r="B1" s="5" t="str">
        <f>'Start Here'!$H$5</f>
        <v>Trade Desk, Inc. Class A</v>
      </c>
    </row>
    <row r="2" spans="1:28" ht="20" outlineLevel="1" thickBot="1" x14ac:dyDescent="0.5">
      <c r="B2" s="12" t="str" cm="1">
        <f t="array" aca="1" ref="B2" ca="1">_xlfn.TEXTAFTER(CELL("filename"), "]")</f>
        <v>Raw daily returns</v>
      </c>
    </row>
    <row r="3" spans="1:28" ht="15" outlineLevel="1" thickTop="1" x14ac:dyDescent="0.35"/>
    <row r="4" spans="1:28" outlineLevel="1" x14ac:dyDescent="0.35"/>
    <row r="5" spans="1:28" ht="20" outlineLevel="1" thickBot="1" x14ac:dyDescent="0.5">
      <c r="B5" s="12" t="s">
        <v>115</v>
      </c>
    </row>
    <row r="6" spans="1:28" ht="15" outlineLevel="1" thickTop="1" x14ac:dyDescent="0.35">
      <c r="B6" t="s">
        <v>89</v>
      </c>
      <c r="C6">
        <v>1</v>
      </c>
      <c r="D6">
        <f>C$6+1</f>
        <v>2</v>
      </c>
      <c r="E6">
        <f t="shared" ref="E6:V6" si="0">D$6+1</f>
        <v>3</v>
      </c>
      <c r="F6">
        <f t="shared" si="0"/>
        <v>4</v>
      </c>
      <c r="G6">
        <f t="shared" si="0"/>
        <v>5</v>
      </c>
      <c r="H6">
        <f t="shared" si="0"/>
        <v>6</v>
      </c>
      <c r="I6">
        <f t="shared" si="0"/>
        <v>7</v>
      </c>
      <c r="J6">
        <f t="shared" si="0"/>
        <v>8</v>
      </c>
      <c r="K6">
        <f t="shared" si="0"/>
        <v>9</v>
      </c>
      <c r="L6">
        <f t="shared" si="0"/>
        <v>10</v>
      </c>
      <c r="M6">
        <f t="shared" si="0"/>
        <v>11</v>
      </c>
      <c r="N6">
        <f t="shared" si="0"/>
        <v>12</v>
      </c>
      <c r="O6">
        <f t="shared" si="0"/>
        <v>13</v>
      </c>
      <c r="P6">
        <f t="shared" si="0"/>
        <v>14</v>
      </c>
      <c r="Q6">
        <f t="shared" si="0"/>
        <v>15</v>
      </c>
      <c r="R6">
        <f t="shared" si="0"/>
        <v>16</v>
      </c>
      <c r="S6">
        <f t="shared" si="0"/>
        <v>17</v>
      </c>
      <c r="T6">
        <f t="shared" si="0"/>
        <v>18</v>
      </c>
      <c r="U6">
        <f t="shared" si="0"/>
        <v>19</v>
      </c>
      <c r="V6">
        <f t="shared" si="0"/>
        <v>20</v>
      </c>
    </row>
    <row r="8" spans="1:28" ht="20" thickBot="1" x14ac:dyDescent="0.5">
      <c r="B8" s="12" t="s">
        <v>114</v>
      </c>
    </row>
    <row r="9" spans="1:28" ht="15.5" thickTop="1" thickBot="1" x14ac:dyDescent="0.4">
      <c r="A9" s="58" t="s">
        <v>86</v>
      </c>
      <c r="B9" s="15"/>
      <c r="C9" s="15"/>
      <c r="D9" s="15"/>
      <c r="E9" s="15"/>
      <c r="F9" s="15"/>
      <c r="G9" s="15"/>
      <c r="H9" s="15"/>
      <c r="I9" s="15"/>
      <c r="J9" s="15"/>
      <c r="K9" s="15"/>
      <c r="L9" s="15"/>
      <c r="M9" s="15"/>
      <c r="N9" s="15"/>
      <c r="O9" s="15"/>
      <c r="P9" s="15"/>
      <c r="Q9" s="15"/>
      <c r="R9" s="15"/>
      <c r="S9" s="15"/>
      <c r="T9" s="15"/>
      <c r="U9" s="15"/>
      <c r="X9" s="15"/>
      <c r="Y9" s="15"/>
      <c r="Z9" s="15"/>
      <c r="AA9" s="15"/>
      <c r="AB9" s="15"/>
    </row>
    <row r="10" spans="1:28" s="1" customFormat="1" ht="15.5" thickTop="1" thickBot="1" x14ac:dyDescent="0.4">
      <c r="A10" s="58" t="str">
        <f>_xlfn.XLOOKUP($B10,'Line item mapping'!$B:$B,'Line item mapping'!$A:$A)</f>
        <v>date</v>
      </c>
      <c r="B10" s="1" t="s">
        <v>51</v>
      </c>
      <c r="C10" s="4" t="e" cm="1">
        <f t="array" ref="C10:V10">GET_FINANCIALS_LINE_ITEM(A10)</f>
        <v>#VALUE!</v>
      </c>
      <c r="D10" s="4" t="e">
        <v>#VALUE!</v>
      </c>
      <c r="E10" s="4" t="e">
        <v>#VALUE!</v>
      </c>
      <c r="F10" s="4" t="e">
        <v>#VALUE!</v>
      </c>
      <c r="G10" s="4" t="e">
        <v>#VALUE!</v>
      </c>
      <c r="H10" s="4" t="e">
        <v>#VALUE!</v>
      </c>
      <c r="I10" s="4" t="e">
        <v>#VALUE!</v>
      </c>
      <c r="J10" s="4" t="e">
        <v>#VALUE!</v>
      </c>
      <c r="K10" s="4" t="e">
        <v>#VALUE!</v>
      </c>
      <c r="L10" s="4">
        <v>42004</v>
      </c>
      <c r="M10" s="4">
        <v>42369</v>
      </c>
      <c r="N10" s="4">
        <v>42735</v>
      </c>
      <c r="O10" s="4">
        <v>43100</v>
      </c>
      <c r="P10" s="4">
        <v>43465</v>
      </c>
      <c r="Q10" s="4">
        <v>43830</v>
      </c>
      <c r="R10" s="4">
        <v>44196</v>
      </c>
      <c r="S10" s="4">
        <v>44561</v>
      </c>
      <c r="T10" s="4">
        <v>44926</v>
      </c>
      <c r="U10" s="4">
        <v>45291</v>
      </c>
      <c r="V10" s="21">
        <v>45657</v>
      </c>
      <c r="W10" s="114">
        <f>EOMONTH($V10,12)</f>
        <v>46022</v>
      </c>
      <c r="X10" s="4">
        <f t="shared" ref="X10:AB10" si="1">EOMONTH($V10,12)</f>
        <v>46022</v>
      </c>
      <c r="Y10" s="4">
        <f t="shared" si="1"/>
        <v>46022</v>
      </c>
      <c r="Z10" s="4">
        <f t="shared" si="1"/>
        <v>46022</v>
      </c>
      <c r="AA10" s="4">
        <f t="shared" si="1"/>
        <v>46022</v>
      </c>
      <c r="AB10" s="4">
        <f t="shared" si="1"/>
        <v>46022</v>
      </c>
    </row>
    <row r="11" spans="1:28" ht="15" thickTop="1" x14ac:dyDescent="0.35">
      <c r="B11" t="s">
        <v>64</v>
      </c>
      <c r="C11" s="8" t="e">
        <f>'Income statement'!C$28</f>
        <v>#VALUE!</v>
      </c>
      <c r="D11" s="8" t="e">
        <f>'Income statement'!D$28</f>
        <v>#VALUE!</v>
      </c>
      <c r="E11" s="8" t="e">
        <f>'Income statement'!E$28</f>
        <v>#VALUE!</v>
      </c>
      <c r="F11" s="8" t="e">
        <f>'Income statement'!F$28</f>
        <v>#VALUE!</v>
      </c>
      <c r="G11" s="8" t="e">
        <f>'Income statement'!G$28</f>
        <v>#VALUE!</v>
      </c>
      <c r="H11" s="8" t="e">
        <f>'Income statement'!H$28</f>
        <v>#VALUE!</v>
      </c>
      <c r="I11" s="8" t="e">
        <f>'Income statement'!I$28</f>
        <v>#VALUE!</v>
      </c>
      <c r="J11" s="8" t="e">
        <f>'Income statement'!J$28</f>
        <v>#VALUE!</v>
      </c>
      <c r="K11" s="8" t="e">
        <f>'Income statement'!K$28</f>
        <v>#VALUE!</v>
      </c>
      <c r="L11" s="8">
        <f>'Income statement'!L$28</f>
        <v>0</v>
      </c>
      <c r="M11" s="8">
        <f>'Income statement'!M$28</f>
        <v>8.863999999999999</v>
      </c>
      <c r="N11" s="8">
        <f>'Income statement'!N$28</f>
        <v>-26.727</v>
      </c>
      <c r="O11" s="8">
        <f>'Income statement'!O$28</f>
        <v>50.798000000000002</v>
      </c>
      <c r="P11" s="8">
        <f>'Income statement'!P$28</f>
        <v>88.139999999999986</v>
      </c>
      <c r="Q11" s="8">
        <f>'Income statement'!Q$28</f>
        <v>108.318</v>
      </c>
      <c r="R11" s="8">
        <f>'Income statement'!R$28</f>
        <v>242.31700000000001</v>
      </c>
      <c r="S11" s="8">
        <f>'Income statement'!S$28</f>
        <v>137.762</v>
      </c>
      <c r="T11" s="8">
        <f>'Income statement'!T$28</f>
        <v>53.385000000000005</v>
      </c>
      <c r="U11" s="8">
        <f>'Income statement'!U$28</f>
        <v>178.94</v>
      </c>
      <c r="V11" s="23">
        <f>'Income statement'!V$28</f>
        <v>393.07600000000002</v>
      </c>
      <c r="W11" s="24">
        <f>'Income statement'!W$28</f>
        <v>236.217370894661</v>
      </c>
      <c r="X11" s="8">
        <f ca="1">'Income statement'!X$28</f>
        <v>259.58007425479167</v>
      </c>
      <c r="Y11" s="8">
        <f ca="1">'Income statement'!Y$28</f>
        <v>289.80612560784931</v>
      </c>
      <c r="Z11" s="8">
        <f ca="1">'Income statement'!Z$28</f>
        <v>316.28525882661188</v>
      </c>
      <c r="AA11" s="8">
        <f ca="1">'Income statement'!AA$28</f>
        <v>347.95380967814788</v>
      </c>
      <c r="AB11" s="8">
        <f ca="1">'Income statement'!AB$28</f>
        <v>383.58333986791956</v>
      </c>
    </row>
    <row r="12" spans="1:28" x14ac:dyDescent="0.35">
      <c r="B12" t="s">
        <v>73</v>
      </c>
      <c r="C12" s="8" t="e">
        <f>-'Income statement'!C$11</f>
        <v>#VALUE!</v>
      </c>
      <c r="D12" s="8" t="e">
        <f>-'Income statement'!D$11</f>
        <v>#VALUE!</v>
      </c>
      <c r="E12" s="8" t="e">
        <f>-'Income statement'!E$11</f>
        <v>#VALUE!</v>
      </c>
      <c r="F12" s="8" t="e">
        <f>-'Income statement'!F$11</f>
        <v>#VALUE!</v>
      </c>
      <c r="G12" s="8" t="e">
        <f>-'Income statement'!G$11</f>
        <v>#VALUE!</v>
      </c>
      <c r="H12" s="8" t="e">
        <f>-'Income statement'!H$11</f>
        <v>#VALUE!</v>
      </c>
      <c r="I12" s="8" t="e">
        <f>-'Income statement'!I$11</f>
        <v>#VALUE!</v>
      </c>
      <c r="J12" s="8" t="e">
        <f>-'Income statement'!J$11</f>
        <v>#VALUE!</v>
      </c>
      <c r="K12" s="8" t="e">
        <f>-'Income statement'!K$11</f>
        <v>#VALUE!</v>
      </c>
      <c r="L12" s="8">
        <f>-'Income statement'!L$11</f>
        <v>0.28000000000000003</v>
      </c>
      <c r="M12" s="8">
        <f>-'Income statement'!M$11</f>
        <v>0.92800000000000005</v>
      </c>
      <c r="N12" s="8">
        <f>-'Income statement'!N$11</f>
        <v>2.3980000000000001</v>
      </c>
      <c r="O12" s="8">
        <f>-'Income statement'!O$11</f>
        <v>5.3090000000000002</v>
      </c>
      <c r="P12" s="8">
        <f>-'Income statement'!P$11</f>
        <v>8.1</v>
      </c>
      <c r="Q12" s="8">
        <f>-'Income statement'!Q$11</f>
        <v>36.793999999999997</v>
      </c>
      <c r="R12" s="8">
        <f>-'Income statement'!R$11</f>
        <v>56.100999999999999</v>
      </c>
      <c r="S12" s="8">
        <f>-'Income statement'!S$11</f>
        <v>77.834000000000003</v>
      </c>
      <c r="T12" s="8">
        <f>-'Income statement'!T$11</f>
        <v>47.424999999999997</v>
      </c>
      <c r="U12" s="8">
        <f>-'Income statement'!U$11</f>
        <v>66.418000000000006</v>
      </c>
      <c r="V12" s="23">
        <f>-'Income statement'!V$11</f>
        <v>71.489999999999995</v>
      </c>
      <c r="W12" s="40"/>
      <c r="X12" s="38"/>
      <c r="Y12" s="38"/>
      <c r="Z12" s="38"/>
      <c r="AA12" s="38"/>
      <c r="AB12" s="38"/>
    </row>
    <row r="13" spans="1:28" x14ac:dyDescent="0.35">
      <c r="B13" t="s">
        <v>147</v>
      </c>
      <c r="C13" s="8" t="e">
        <f>-'Income statement'!C$12</f>
        <v>#VALUE!</v>
      </c>
      <c r="D13" s="8" t="e">
        <f>-'Income statement'!D$12</f>
        <v>#VALUE!</v>
      </c>
      <c r="E13" s="8" t="e">
        <f>-'Income statement'!E$12</f>
        <v>#VALUE!</v>
      </c>
      <c r="F13" s="8" t="e">
        <f>-'Income statement'!F$12</f>
        <v>#VALUE!</v>
      </c>
      <c r="G13" s="8" t="e">
        <f>-'Income statement'!G$12</f>
        <v>#VALUE!</v>
      </c>
      <c r="H13" s="8" t="e">
        <f>-'Income statement'!H$12</f>
        <v>#VALUE!</v>
      </c>
      <c r="I13" s="8" t="e">
        <f>-'Income statement'!I$12</f>
        <v>#VALUE!</v>
      </c>
      <c r="J13" s="8" t="e">
        <f>-'Income statement'!J$12</f>
        <v>#VALUE!</v>
      </c>
      <c r="K13" s="8" t="e">
        <f>-'Income statement'!K$12</f>
        <v>#VALUE!</v>
      </c>
      <c r="L13" s="8">
        <f>-'Income statement'!L$12</f>
        <v>0.4</v>
      </c>
      <c r="M13" s="8">
        <f>-'Income statement'!M$12</f>
        <v>0.9</v>
      </c>
      <c r="N13" s="8">
        <f>-'Income statement'!N$12</f>
        <v>1.4</v>
      </c>
      <c r="O13" s="8">
        <f>-'Income statement'!O$12</f>
        <v>1.8999999999999995</v>
      </c>
      <c r="P13" s="8">
        <f>-'Income statement'!P$12</f>
        <v>3.2000000000000011</v>
      </c>
      <c r="Q13" s="8">
        <f>-'Income statement'!Q$12</f>
        <v>5.5</v>
      </c>
      <c r="R13" s="8">
        <f>-'Income statement'!R$12</f>
        <v>5.8000000000000043</v>
      </c>
      <c r="S13" s="8">
        <f>-'Income statement'!S$12</f>
        <v>4.7000000000000028</v>
      </c>
      <c r="T13" s="8">
        <f>-'Income statement'!T$12</f>
        <v>7</v>
      </c>
      <c r="U13" s="8">
        <f>-'Income statement'!U$12</f>
        <v>14</v>
      </c>
      <c r="V13" s="23">
        <f>-'Income statement'!V$12</f>
        <v>16</v>
      </c>
      <c r="W13" s="40"/>
      <c r="X13" s="38"/>
      <c r="Y13" s="38"/>
      <c r="Z13" s="38"/>
      <c r="AA13" s="38"/>
      <c r="AB13" s="38"/>
    </row>
    <row r="14" spans="1:28" x14ac:dyDescent="0.35">
      <c r="B14" t="s">
        <v>183</v>
      </c>
      <c r="C14" s="38"/>
      <c r="D14" s="38"/>
      <c r="E14" s="38"/>
      <c r="F14" s="38"/>
      <c r="G14" s="38"/>
      <c r="H14" s="38"/>
      <c r="I14" s="38"/>
      <c r="J14" s="38"/>
      <c r="K14" s="38"/>
      <c r="L14" s="38"/>
      <c r="M14" s="38"/>
      <c r="N14" s="38"/>
      <c r="O14" s="38"/>
      <c r="P14" s="38"/>
      <c r="Q14" s="38"/>
      <c r="R14" s="38"/>
      <c r="S14" s="38"/>
      <c r="T14" s="38"/>
      <c r="U14" s="38"/>
      <c r="V14" s="39"/>
      <c r="W14" s="24">
        <f ca="1">W$49</f>
        <v>65.672625228660294</v>
      </c>
      <c r="X14" s="8">
        <f t="shared" ref="X14:AB14" ca="1" si="2">X$49</f>
        <v>85.830677010582846</v>
      </c>
      <c r="Y14" s="8">
        <f t="shared" ca="1" si="2"/>
        <v>109.0551791520905</v>
      </c>
      <c r="Z14" s="8">
        <f t="shared" ca="1" si="2"/>
        <v>134.01068955057909</v>
      </c>
      <c r="AA14" s="8">
        <f t="shared" ca="1" si="2"/>
        <v>160.72185319688626</v>
      </c>
      <c r="AB14" s="8">
        <f t="shared" ca="1" si="2"/>
        <v>187.17460448075036</v>
      </c>
    </row>
    <row r="15" spans="1:28" x14ac:dyDescent="0.35">
      <c r="B15" t="s">
        <v>65</v>
      </c>
      <c r="C15" s="8" t="e">
        <f>-('Balance sheet'!C$57-'Balance sheet'!B$57)</f>
        <v>#VALUE!</v>
      </c>
      <c r="D15" s="8" t="e">
        <f>-('Balance sheet'!D$57-'Balance sheet'!C$57)</f>
        <v>#VALUE!</v>
      </c>
      <c r="E15" s="8" t="e">
        <f>-('Balance sheet'!E$57-'Balance sheet'!D$57)</f>
        <v>#VALUE!</v>
      </c>
      <c r="F15" s="8" t="e">
        <f>-('Balance sheet'!F$57-'Balance sheet'!E$57)</f>
        <v>#VALUE!</v>
      </c>
      <c r="G15" s="8" t="e">
        <f>-('Balance sheet'!G$57-'Balance sheet'!F$57)</f>
        <v>#VALUE!</v>
      </c>
      <c r="H15" s="8" t="e">
        <f>-('Balance sheet'!H$57-'Balance sheet'!G$57)</f>
        <v>#VALUE!</v>
      </c>
      <c r="I15" s="8" t="e">
        <f>-('Balance sheet'!I$57-'Balance sheet'!H$57)</f>
        <v>#VALUE!</v>
      </c>
      <c r="J15" s="8" t="e">
        <f>-('Balance sheet'!J$57-'Balance sheet'!I$57)</f>
        <v>#VALUE!</v>
      </c>
      <c r="K15" s="8" t="e">
        <f>-('Balance sheet'!K$57-'Balance sheet'!J$57)</f>
        <v>#VALUE!</v>
      </c>
      <c r="L15" s="8" t="e">
        <f>-('Balance sheet'!L$57-'Balance sheet'!K$57)</f>
        <v>#VALUE!</v>
      </c>
      <c r="M15" s="8">
        <f>-('Balance sheet'!M$57-'Balance sheet'!L$57)</f>
        <v>-63.889000000000003</v>
      </c>
      <c r="N15" s="8">
        <f>-('Balance sheet'!N$57-'Balance sheet'!M$57)</f>
        <v>27.88300000000001</v>
      </c>
      <c r="O15" s="8">
        <f>-('Balance sheet'!O$57-'Balance sheet'!N$57)</f>
        <v>-53.111000000000047</v>
      </c>
      <c r="P15" s="8">
        <f>-('Balance sheet'!P$57-'Balance sheet'!O$57)</f>
        <v>-56.428999999999917</v>
      </c>
      <c r="Q15" s="8">
        <f>-('Balance sheet'!Q$57-'Balance sheet'!P$57)</f>
        <v>-132.14099999999996</v>
      </c>
      <c r="R15" s="8">
        <f>-('Balance sheet'!R$57-'Balance sheet'!Q$57)</f>
        <v>62.129000000000019</v>
      </c>
      <c r="S15" s="8">
        <f>-('Balance sheet'!S$57-'Balance sheet'!R$57)</f>
        <v>-129.40700000000015</v>
      </c>
      <c r="T15" s="8">
        <f>-('Balance sheet'!T$57-'Balance sheet'!S$57)</f>
        <v>-110.74000000000001</v>
      </c>
      <c r="U15" s="8">
        <f>-('Balance sheet'!U$57-'Balance sheet'!T$57)</f>
        <v>-77.218999999999824</v>
      </c>
      <c r="V15" s="23">
        <f>-('Balance sheet'!V$57-'Balance sheet'!U$57)</f>
        <v>-146.13499999999976</v>
      </c>
      <c r="W15" s="24">
        <f>-('Balance sheet'!W$57-'Balance sheet'!V$57)</f>
        <v>-445.1442412183319</v>
      </c>
      <c r="X15" s="8">
        <f>-('Balance sheet'!X$57-'Balance sheet'!W$57)</f>
        <v>-237.3148252558176</v>
      </c>
      <c r="Y15" s="8">
        <f>-('Balance sheet'!Y$57-'Balance sheet'!X$57)</f>
        <v>-226.16151046990763</v>
      </c>
      <c r="Z15" s="8">
        <f>-('Balance sheet'!Z$57-'Balance sheet'!Y$57)</f>
        <v>-192.93006923328699</v>
      </c>
      <c r="AA15" s="8">
        <f>-('Balance sheet'!AA$57-'Balance sheet'!Z$57)</f>
        <v>-216.08167754128135</v>
      </c>
      <c r="AB15" s="8">
        <f>-('Balance sheet'!AB$57-'Balance sheet'!AA$57)</f>
        <v>-242.01147884623538</v>
      </c>
    </row>
    <row r="16" spans="1:28" x14ac:dyDescent="0.35">
      <c r="B16" t="s">
        <v>174</v>
      </c>
      <c r="C16" s="38"/>
      <c r="D16" s="38"/>
      <c r="E16" s="38"/>
      <c r="F16" s="38"/>
      <c r="G16" s="38"/>
      <c r="H16" s="38"/>
      <c r="I16" s="38"/>
      <c r="J16" s="38"/>
      <c r="K16" s="38"/>
      <c r="L16" s="38"/>
      <c r="M16" s="38"/>
      <c r="N16" s="38"/>
      <c r="O16" s="38"/>
      <c r="P16" s="38"/>
      <c r="Q16" s="38"/>
      <c r="R16" s="38"/>
      <c r="S16" s="38"/>
      <c r="T16" s="38"/>
      <c r="U16" s="38"/>
      <c r="V16" s="39"/>
      <c r="W16" s="24">
        <f>-('Balance sheet'!W$58-'Balance sheet'!V$58)</f>
        <v>23.800186968223869</v>
      </c>
      <c r="X16" s="8">
        <f>-('Balance sheet'!X$58-'Balance sheet'!W$58)</f>
        <v>37.626577883420538</v>
      </c>
      <c r="Y16" s="8">
        <f>-('Balance sheet'!Y$58-'Balance sheet'!X$58)</f>
        <v>35.858205144810682</v>
      </c>
      <c r="Z16" s="8">
        <f>-('Balance sheet'!Z$58-'Balance sheet'!Y$58)</f>
        <v>30.589316399574699</v>
      </c>
      <c r="AA16" s="8">
        <f>-('Balance sheet'!AA$58-'Balance sheet'!Z$58)</f>
        <v>34.260034367523701</v>
      </c>
      <c r="AB16" s="8">
        <f>-('Balance sheet'!AB$58-'Balance sheet'!AA$58)</f>
        <v>38.371238491626514</v>
      </c>
    </row>
    <row r="17" spans="1:28" x14ac:dyDescent="0.35">
      <c r="B17" t="s">
        <v>151</v>
      </c>
      <c r="C17" s="8" t="e">
        <f t="shared" ref="C17:V17" si="3">C$18-SUM(C$11:C$15)</f>
        <v>#VALUE!</v>
      </c>
      <c r="D17" s="8" t="e">
        <f t="shared" si="3"/>
        <v>#VALUE!</v>
      </c>
      <c r="E17" s="8" t="e">
        <f t="shared" si="3"/>
        <v>#VALUE!</v>
      </c>
      <c r="F17" s="8" t="e">
        <f t="shared" si="3"/>
        <v>#VALUE!</v>
      </c>
      <c r="G17" s="8" t="e">
        <f t="shared" si="3"/>
        <v>#VALUE!</v>
      </c>
      <c r="H17" s="8" t="e">
        <f t="shared" si="3"/>
        <v>#VALUE!</v>
      </c>
      <c r="I17" s="8" t="e">
        <f t="shared" si="3"/>
        <v>#VALUE!</v>
      </c>
      <c r="J17" s="8" t="e">
        <f t="shared" si="3"/>
        <v>#VALUE!</v>
      </c>
      <c r="K17" s="8" t="e">
        <f t="shared" si="3"/>
        <v>#VALUE!</v>
      </c>
      <c r="L17" s="8" t="e">
        <f t="shared" si="3"/>
        <v>#VALUE!</v>
      </c>
      <c r="M17" s="8">
        <f t="shared" si="3"/>
        <v>78.637</v>
      </c>
      <c r="N17" s="8">
        <f t="shared" si="3"/>
        <v>36.282999999999994</v>
      </c>
      <c r="O17" s="8">
        <f t="shared" si="3"/>
        <v>75.679000000000059</v>
      </c>
      <c r="P17" s="8">
        <f t="shared" si="3"/>
        <v>98.800999999999945</v>
      </c>
      <c r="Q17" s="8">
        <f t="shared" si="3"/>
        <v>204.42799999999997</v>
      </c>
      <c r="R17" s="8">
        <f t="shared" si="3"/>
        <v>23.766999999999939</v>
      </c>
      <c r="S17" s="8">
        <f t="shared" si="3"/>
        <v>455.37800000000021</v>
      </c>
      <c r="T17" s="8">
        <f t="shared" si="3"/>
        <v>645.81500000000005</v>
      </c>
      <c r="U17" s="8">
        <f t="shared" si="3"/>
        <v>538.77899999999977</v>
      </c>
      <c r="V17" s="23">
        <f t="shared" si="3"/>
        <v>614.3059999999997</v>
      </c>
      <c r="W17" s="40"/>
      <c r="X17" s="38"/>
      <c r="Y17" s="38"/>
      <c r="Z17" s="38"/>
      <c r="AA17" s="38"/>
      <c r="AB17" s="38"/>
    </row>
    <row r="18" spans="1:28" x14ac:dyDescent="0.35">
      <c r="A18" s="58" t="str">
        <f>_xlfn.XLOOKUP($B18,'Line item mapping'!$B:$B,'Line item mapping'!$A:$A)</f>
        <v>ff_funds_oper_gross</v>
      </c>
      <c r="B18" s="6" t="s">
        <v>150</v>
      </c>
      <c r="C18" s="9" t="e" cm="1">
        <f t="array" ref="C18:V18">GET_FINANCIALS_LINE_ITEM(A18)</f>
        <v>#VALUE!</v>
      </c>
      <c r="D18" s="9" t="e">
        <v>#VALUE!</v>
      </c>
      <c r="E18" s="9" t="e">
        <v>#VALUE!</v>
      </c>
      <c r="F18" s="9" t="e">
        <v>#VALUE!</v>
      </c>
      <c r="G18" s="9" t="e">
        <v>#VALUE!</v>
      </c>
      <c r="H18" s="9" t="e">
        <v>#VALUE!</v>
      </c>
      <c r="I18" s="9" t="e">
        <v>#VALUE!</v>
      </c>
      <c r="J18" s="9" t="e">
        <v>#VALUE!</v>
      </c>
      <c r="K18" s="9" t="e">
        <v>#VALUE!</v>
      </c>
      <c r="L18" s="9">
        <v>0.13</v>
      </c>
      <c r="M18" s="9">
        <v>25.44</v>
      </c>
      <c r="N18" s="9">
        <v>41.237000000000002</v>
      </c>
      <c r="O18" s="9">
        <v>80.575000000000003</v>
      </c>
      <c r="P18" s="9">
        <v>141.81200000000001</v>
      </c>
      <c r="Q18" s="9">
        <v>222.899</v>
      </c>
      <c r="R18" s="9">
        <v>390.11399999999998</v>
      </c>
      <c r="S18" s="9">
        <v>546.26700000000005</v>
      </c>
      <c r="T18" s="9">
        <v>642.88499999999999</v>
      </c>
      <c r="U18" s="9">
        <v>720.91800000000001</v>
      </c>
      <c r="V18" s="25">
        <v>948.73699999999997</v>
      </c>
      <c r="W18" s="26">
        <f t="shared" ref="W18:AB18" ca="1" si="4">SUM(W$11:W$17)</f>
        <v>-119.45405812678675</v>
      </c>
      <c r="X18" s="9">
        <f t="shared" ca="1" si="4"/>
        <v>145.72250389297747</v>
      </c>
      <c r="Y18" s="9">
        <f t="shared" ca="1" si="4"/>
        <v>208.55799943484286</v>
      </c>
      <c r="Z18" s="9">
        <f t="shared" ca="1" si="4"/>
        <v>287.95519554347868</v>
      </c>
      <c r="AA18" s="9">
        <f t="shared" ca="1" si="4"/>
        <v>326.85401970127651</v>
      </c>
      <c r="AB18" s="9">
        <f t="shared" ca="1" si="4"/>
        <v>367.11770399406112</v>
      </c>
    </row>
    <row r="19" spans="1:28" x14ac:dyDescent="0.35">
      <c r="C19" s="8"/>
      <c r="D19" s="8"/>
      <c r="E19" s="8"/>
      <c r="F19" s="8"/>
      <c r="G19" s="8"/>
      <c r="H19" s="8"/>
      <c r="I19" s="8"/>
      <c r="J19" s="8"/>
      <c r="K19" s="8"/>
      <c r="L19" s="8"/>
      <c r="M19" s="8"/>
      <c r="N19" s="8"/>
      <c r="O19" s="8"/>
      <c r="P19" s="8"/>
      <c r="Q19" s="8"/>
      <c r="R19" s="8"/>
      <c r="S19" s="8"/>
      <c r="T19" s="8"/>
      <c r="U19" s="8"/>
      <c r="V19" s="23"/>
      <c r="W19" s="24"/>
      <c r="X19" s="8"/>
      <c r="Y19" s="8"/>
      <c r="Z19" s="8"/>
      <c r="AA19" s="8"/>
      <c r="AB19" s="8"/>
    </row>
    <row r="20" spans="1:28" x14ac:dyDescent="0.35">
      <c r="A20" s="58" t="str">
        <f>_xlfn.XLOOKUP($B20,'Line item mapping'!$B:$B,'Line item mapping'!$A:$A)</f>
        <v>ff_capex_fix</v>
      </c>
      <c r="B20" t="s">
        <v>78</v>
      </c>
      <c r="C20" s="8" t="e" cm="1">
        <f t="array" ref="C20:V20">-GET_FINANCIALS_LINE_ITEM(A20)</f>
        <v>#VALUE!</v>
      </c>
      <c r="D20" s="8" t="e">
        <v>#VALUE!</v>
      </c>
      <c r="E20" s="8" t="e">
        <v>#VALUE!</v>
      </c>
      <c r="F20" s="8" t="e">
        <v>#VALUE!</v>
      </c>
      <c r="G20" s="8" t="e">
        <v>#VALUE!</v>
      </c>
      <c r="H20" s="8" t="e">
        <v>#VALUE!</v>
      </c>
      <c r="I20" s="8" t="e">
        <v>#VALUE!</v>
      </c>
      <c r="J20" s="8" t="e">
        <v>#VALUE!</v>
      </c>
      <c r="K20" s="8" t="e">
        <v>#VALUE!</v>
      </c>
      <c r="L20" s="8">
        <v>-0.83199999999999996</v>
      </c>
      <c r="M20" s="8">
        <v>-5.1280000000000001</v>
      </c>
      <c r="N20" s="8">
        <v>-6.8840000000000003</v>
      </c>
      <c r="O20" s="8">
        <v>-10.11</v>
      </c>
      <c r="P20" s="8">
        <v>-19.795000000000002</v>
      </c>
      <c r="Q20" s="8">
        <v>-35.692999999999998</v>
      </c>
      <c r="R20" s="8">
        <v>-74.061000000000007</v>
      </c>
      <c r="S20" s="8">
        <v>-54.804000000000002</v>
      </c>
      <c r="T20" s="8">
        <v>-84.16</v>
      </c>
      <c r="U20" s="8">
        <v>-46.79</v>
      </c>
      <c r="V20" s="23">
        <v>-98.238</v>
      </c>
      <c r="W20" s="40"/>
      <c r="X20" s="38"/>
      <c r="Y20" s="38"/>
      <c r="Z20" s="38"/>
      <c r="AA20" s="38"/>
      <c r="AB20" s="38"/>
    </row>
    <row r="21" spans="1:28" x14ac:dyDescent="0.35">
      <c r="A21" s="58" t="str">
        <f>_xlfn.XLOOKUP($B21,'Line item mapping'!$B:$B,'Line item mapping'!$A:$A)</f>
        <v>ff_capex_oth</v>
      </c>
      <c r="B21" t="s">
        <v>79</v>
      </c>
      <c r="C21" s="8" t="e" cm="1">
        <f t="array" ref="C21:V21">-GET_FINANCIALS_LINE_ITEM(A21)</f>
        <v>#VALUE!</v>
      </c>
      <c r="D21" s="8" t="e">
        <v>#VALUE!</v>
      </c>
      <c r="E21" s="8" t="e">
        <v>#VALUE!</v>
      </c>
      <c r="F21" s="8" t="e">
        <v>#VALUE!</v>
      </c>
      <c r="G21" s="8" t="e">
        <v>#VALUE!</v>
      </c>
      <c r="H21" s="8" t="e">
        <v>#VALUE!</v>
      </c>
      <c r="I21" s="8" t="e">
        <v>#VALUE!</v>
      </c>
      <c r="J21" s="8" t="e">
        <v>#VALUE!</v>
      </c>
      <c r="K21" s="8" t="e">
        <v>#VALUE!</v>
      </c>
      <c r="L21" s="8">
        <v>-0.82499999999999996</v>
      </c>
      <c r="M21" s="8">
        <v>-1.7989999999999999</v>
      </c>
      <c r="N21" s="8">
        <v>-2.3370000000000002</v>
      </c>
      <c r="O21" s="8">
        <v>-2.9540000000000002</v>
      </c>
      <c r="P21" s="8">
        <v>-5.3959999999999999</v>
      </c>
      <c r="Q21" s="8">
        <v>-4.9109999999999996</v>
      </c>
      <c r="R21" s="8">
        <v>-6.0529999999999999</v>
      </c>
      <c r="S21" s="8">
        <v>-5.1689999999999996</v>
      </c>
      <c r="T21" s="8">
        <v>-7.7249999999999996</v>
      </c>
      <c r="U21" s="8">
        <v>-8.23</v>
      </c>
      <c r="V21" s="23">
        <v>-8.8239999999999998</v>
      </c>
      <c r="W21" s="40"/>
      <c r="X21" s="38"/>
      <c r="Y21" s="38"/>
      <c r="Z21" s="38"/>
      <c r="AA21" s="38"/>
      <c r="AB21" s="38"/>
    </row>
    <row r="22" spans="1:28" x14ac:dyDescent="0.35">
      <c r="A22" s="58" t="str">
        <f>_xlfn.XLOOKUP($B22,'Line item mapping'!$B:$B,'Line item mapping'!$A:$A)</f>
        <v>ff_sale_ppe_cf</v>
      </c>
      <c r="B22" t="s">
        <v>83</v>
      </c>
      <c r="C22" s="8" t="e" cm="1">
        <f t="array" ref="C22:V22">GET_FINANCIALS_LINE_ITEM(A22)</f>
        <v>#VALUE!</v>
      </c>
      <c r="D22" s="8" t="e">
        <v>#VALUE!</v>
      </c>
      <c r="E22" s="8" t="e">
        <v>#VALUE!</v>
      </c>
      <c r="F22" s="8" t="e">
        <v>#VALUE!</v>
      </c>
      <c r="G22" s="8" t="e">
        <v>#VALUE!</v>
      </c>
      <c r="H22" s="8" t="e">
        <v>#VALUE!</v>
      </c>
      <c r="I22" s="8" t="e">
        <v>#VALUE!</v>
      </c>
      <c r="J22" s="8" t="e">
        <v>#VALUE!</v>
      </c>
      <c r="K22" s="8" t="e">
        <v>#VALUE!</v>
      </c>
      <c r="L22" s="8">
        <v>0</v>
      </c>
      <c r="M22" s="8">
        <v>0</v>
      </c>
      <c r="N22" s="8">
        <v>0</v>
      </c>
      <c r="O22" s="8">
        <v>0</v>
      </c>
      <c r="P22" s="8">
        <v>0</v>
      </c>
      <c r="Q22" s="8">
        <v>0</v>
      </c>
      <c r="R22" s="8">
        <v>0</v>
      </c>
      <c r="S22" s="8">
        <v>0</v>
      </c>
      <c r="T22" s="8">
        <v>0</v>
      </c>
      <c r="U22" s="8">
        <v>0</v>
      </c>
      <c r="V22" s="23">
        <v>0</v>
      </c>
      <c r="W22" s="40"/>
      <c r="X22" s="38"/>
      <c r="Y22" s="38"/>
      <c r="Z22" s="38"/>
      <c r="AA22" s="38"/>
      <c r="AB22" s="38"/>
    </row>
    <row r="23" spans="1:28" x14ac:dyDescent="0.35">
      <c r="B23" t="s">
        <v>188</v>
      </c>
      <c r="C23" s="38"/>
      <c r="D23" s="38"/>
      <c r="E23" s="38"/>
      <c r="F23" s="38"/>
      <c r="G23" s="38"/>
      <c r="H23" s="38"/>
      <c r="I23" s="38"/>
      <c r="J23" s="38"/>
      <c r="K23" s="38"/>
      <c r="L23" s="38"/>
      <c r="M23" s="38"/>
      <c r="N23" s="38"/>
      <c r="O23" s="38"/>
      <c r="P23" s="38"/>
      <c r="Q23" s="38"/>
      <c r="R23" s="38"/>
      <c r="S23" s="38"/>
      <c r="T23" s="38"/>
      <c r="U23" s="38"/>
      <c r="V23" s="39"/>
      <c r="W23" s="24">
        <f>-W$41*'Income statement'!W$7</f>
        <v>-174.59225228660293</v>
      </c>
      <c r="X23" s="8">
        <f>-X$41*'Income statement'!X$7</f>
        <v>-210.8015178192255</v>
      </c>
      <c r="Y23" s="8">
        <f>-Y$41*'Income statement'!Y$7</f>
        <v>-245.30902141507656</v>
      </c>
      <c r="Z23" s="8">
        <f>-Z$41*'Income statement'!Z$7</f>
        <v>-274.74610398488574</v>
      </c>
      <c r="AA23" s="8">
        <f>-AA$41*'Income statement'!AA$7</f>
        <v>-307.71563646307203</v>
      </c>
      <c r="AB23" s="8">
        <f>-AB$41*'Income statement'!AB$7</f>
        <v>-344.64151283864072</v>
      </c>
    </row>
    <row r="24" spans="1:28" x14ac:dyDescent="0.35">
      <c r="B24" t="s">
        <v>152</v>
      </c>
      <c r="C24" s="8" t="e">
        <f>C$25-SUM(C$20:C$22)</f>
        <v>#VALUE!</v>
      </c>
      <c r="D24" s="8" t="e">
        <f t="shared" ref="D24:V24" si="5">D$25-SUM(D$20:D$22)</f>
        <v>#VALUE!</v>
      </c>
      <c r="E24" s="8" t="e">
        <f t="shared" si="5"/>
        <v>#VALUE!</v>
      </c>
      <c r="F24" s="8" t="e">
        <f t="shared" si="5"/>
        <v>#VALUE!</v>
      </c>
      <c r="G24" s="8" t="e">
        <f t="shared" si="5"/>
        <v>#VALUE!</v>
      </c>
      <c r="H24" s="8" t="e">
        <f t="shared" si="5"/>
        <v>#VALUE!</v>
      </c>
      <c r="I24" s="8" t="e">
        <f t="shared" si="5"/>
        <v>#VALUE!</v>
      </c>
      <c r="J24" s="8" t="e">
        <f t="shared" si="5"/>
        <v>#VALUE!</v>
      </c>
      <c r="K24" s="8" t="e">
        <f t="shared" si="5"/>
        <v>#VALUE!</v>
      </c>
      <c r="L24" s="8">
        <f t="shared" si="5"/>
        <v>-0.55100000000000016</v>
      </c>
      <c r="M24" s="8">
        <f t="shared" si="5"/>
        <v>0.55099999999999927</v>
      </c>
      <c r="N24" s="8">
        <f t="shared" si="5"/>
        <v>0</v>
      </c>
      <c r="O24" s="8">
        <f t="shared" si="5"/>
        <v>-3</v>
      </c>
      <c r="P24" s="8">
        <f t="shared" si="5"/>
        <v>0</v>
      </c>
      <c r="Q24" s="8">
        <f t="shared" si="5"/>
        <v>-123.23700000000001</v>
      </c>
      <c r="R24" s="8">
        <f t="shared" si="5"/>
        <v>-63.156999999999982</v>
      </c>
      <c r="S24" s="8">
        <f t="shared" si="5"/>
        <v>-33.665000000000006</v>
      </c>
      <c r="T24" s="8">
        <f t="shared" si="5"/>
        <v>-212.48900000000003</v>
      </c>
      <c r="U24" s="8">
        <f t="shared" si="5"/>
        <v>-52.573000000000008</v>
      </c>
      <c r="V24" s="23">
        <f t="shared" si="5"/>
        <v>-50.451000000000008</v>
      </c>
      <c r="W24" s="40"/>
      <c r="X24" s="38"/>
      <c r="Y24" s="38"/>
      <c r="Z24" s="38"/>
      <c r="AA24" s="38"/>
      <c r="AB24" s="38"/>
    </row>
    <row r="25" spans="1:28" x14ac:dyDescent="0.35">
      <c r="A25" s="58" t="str">
        <f>_xlfn.XLOOKUP($B25,'Line item mapping'!$B:$B,'Line item mapping'!$A:$A)</f>
        <v>ff_invest_cf</v>
      </c>
      <c r="B25" s="6" t="s">
        <v>70</v>
      </c>
      <c r="C25" s="9" t="e" cm="1">
        <f t="array" ref="C25:V25">GET_FINANCIALS_LINE_ITEM(A25)</f>
        <v>#VALUE!</v>
      </c>
      <c r="D25" s="9" t="e">
        <v>#VALUE!</v>
      </c>
      <c r="E25" s="9" t="e">
        <v>#VALUE!</v>
      </c>
      <c r="F25" s="9" t="e">
        <v>#VALUE!</v>
      </c>
      <c r="G25" s="9" t="e">
        <v>#VALUE!</v>
      </c>
      <c r="H25" s="9" t="e">
        <v>#VALUE!</v>
      </c>
      <c r="I25" s="9" t="e">
        <v>#VALUE!</v>
      </c>
      <c r="J25" s="9" t="e">
        <v>#VALUE!</v>
      </c>
      <c r="K25" s="9" t="e">
        <v>#VALUE!</v>
      </c>
      <c r="L25" s="9">
        <v>-2.2080000000000002</v>
      </c>
      <c r="M25" s="9">
        <v>-6.3760000000000003</v>
      </c>
      <c r="N25" s="9">
        <v>-9.2210000000000001</v>
      </c>
      <c r="O25" s="9">
        <v>-16.064</v>
      </c>
      <c r="P25" s="9">
        <v>-25.190999999999999</v>
      </c>
      <c r="Q25" s="9">
        <v>-163.84100000000001</v>
      </c>
      <c r="R25" s="9">
        <v>-143.27099999999999</v>
      </c>
      <c r="S25" s="9">
        <v>-93.638000000000005</v>
      </c>
      <c r="T25" s="9">
        <v>-304.37400000000002</v>
      </c>
      <c r="U25" s="9">
        <v>-107.593</v>
      </c>
      <c r="V25" s="25">
        <v>-157.51300000000001</v>
      </c>
      <c r="W25" s="26">
        <f>SUM(W$20:W$24)</f>
        <v>-174.59225228660293</v>
      </c>
      <c r="X25" s="9">
        <f t="shared" ref="X25:AB25" si="6">SUM(X$20:X$24)</f>
        <v>-210.8015178192255</v>
      </c>
      <c r="Y25" s="9">
        <f t="shared" si="6"/>
        <v>-245.30902141507656</v>
      </c>
      <c r="Z25" s="9">
        <f t="shared" si="6"/>
        <v>-274.74610398488574</v>
      </c>
      <c r="AA25" s="9">
        <f t="shared" si="6"/>
        <v>-307.71563646307203</v>
      </c>
      <c r="AB25" s="9">
        <f t="shared" si="6"/>
        <v>-344.64151283864072</v>
      </c>
    </row>
    <row r="26" spans="1:28" x14ac:dyDescent="0.35">
      <c r="C26" s="8"/>
      <c r="D26" s="8"/>
      <c r="E26" s="8"/>
      <c r="F26" s="8"/>
      <c r="G26" s="8"/>
      <c r="H26" s="8"/>
      <c r="I26" s="8"/>
      <c r="J26" s="8"/>
      <c r="K26" s="8"/>
      <c r="L26" s="8"/>
      <c r="M26" s="8"/>
      <c r="N26" s="8"/>
      <c r="O26" s="8"/>
      <c r="P26" s="8"/>
      <c r="Q26" s="8"/>
      <c r="R26" s="8"/>
      <c r="S26" s="8"/>
      <c r="T26" s="8"/>
      <c r="U26" s="8"/>
      <c r="V26" s="23"/>
      <c r="W26" s="24"/>
      <c r="X26" s="8"/>
      <c r="Y26" s="8"/>
      <c r="Z26" s="8"/>
      <c r="AA26" s="8"/>
      <c r="AB26" s="8"/>
    </row>
    <row r="27" spans="1:28" x14ac:dyDescent="0.35">
      <c r="B27" t="s">
        <v>101</v>
      </c>
      <c r="C27" s="8" t="e">
        <f>'Income statement'!C32</f>
        <v>#VALUE!</v>
      </c>
      <c r="D27" s="8" t="e">
        <f>'Income statement'!D32</f>
        <v>#VALUE!</v>
      </c>
      <c r="E27" s="8" t="e">
        <f>'Income statement'!E32</f>
        <v>#VALUE!</v>
      </c>
      <c r="F27" s="8" t="e">
        <f>'Income statement'!F32</f>
        <v>#VALUE!</v>
      </c>
      <c r="G27" s="8" t="e">
        <f>'Income statement'!G32</f>
        <v>#VALUE!</v>
      </c>
      <c r="H27" s="8" t="e">
        <f>'Income statement'!H32</f>
        <v>#VALUE!</v>
      </c>
      <c r="I27" s="8" t="e">
        <f>'Income statement'!I32</f>
        <v>#VALUE!</v>
      </c>
      <c r="J27" s="8" t="e">
        <f>'Income statement'!J32</f>
        <v>#VALUE!</v>
      </c>
      <c r="K27" s="8" t="e">
        <f>'Income statement'!K32</f>
        <v>#VALUE!</v>
      </c>
      <c r="L27" s="8">
        <f>'Income statement'!L32</f>
        <v>0</v>
      </c>
      <c r="M27" s="8">
        <f>'Income statement'!M32</f>
        <v>0</v>
      </c>
      <c r="N27" s="8">
        <f>'Income statement'!N32</f>
        <v>0</v>
      </c>
      <c r="O27" s="8">
        <f>'Income statement'!O32</f>
        <v>0</v>
      </c>
      <c r="P27" s="8">
        <f>'Income statement'!P32</f>
        <v>0</v>
      </c>
      <c r="Q27" s="8">
        <f>'Income statement'!Q32</f>
        <v>0</v>
      </c>
      <c r="R27" s="8">
        <f>'Income statement'!R32</f>
        <v>0</v>
      </c>
      <c r="S27" s="8">
        <f>'Income statement'!S32</f>
        <v>0</v>
      </c>
      <c r="T27" s="8">
        <f>'Income statement'!T32</f>
        <v>0</v>
      </c>
      <c r="U27" s="8">
        <f>'Income statement'!U32</f>
        <v>0</v>
      </c>
      <c r="V27" s="23">
        <f>'Income statement'!V32</f>
        <v>0</v>
      </c>
      <c r="W27" s="24">
        <f ca="1">'Income statement'!W32</f>
        <v>0</v>
      </c>
      <c r="X27" s="8">
        <f ca="1">'Income statement'!X32</f>
        <v>0</v>
      </c>
      <c r="Y27" s="8">
        <f ca="1">'Income statement'!Y32</f>
        <v>0</v>
      </c>
      <c r="Z27" s="8">
        <f ca="1">'Income statement'!Z32</f>
        <v>0</v>
      </c>
      <c r="AA27" s="8">
        <f ca="1">'Income statement'!AA32</f>
        <v>0</v>
      </c>
      <c r="AB27" s="8">
        <f ca="1">'Income statement'!AB32</f>
        <v>0</v>
      </c>
    </row>
    <row r="28" spans="1:28" x14ac:dyDescent="0.35">
      <c r="A28" s="58" t="str">
        <f>_xlfn.XLOOKUP($B28,'Line item mapping'!$B:$B,'Line item mapping'!$A:$A)</f>
        <v>ff_stk_purch_cf</v>
      </c>
      <c r="B28" t="s">
        <v>75</v>
      </c>
      <c r="C28" s="8" t="e" cm="1">
        <f t="array" ref="C28:V28">-GET_FINANCIALS_LINE_ITEM(A28)</f>
        <v>#VALUE!</v>
      </c>
      <c r="D28" s="8" t="e">
        <v>#VALUE!</v>
      </c>
      <c r="E28" s="8" t="e">
        <v>#VALUE!</v>
      </c>
      <c r="F28" s="8" t="e">
        <v>#VALUE!</v>
      </c>
      <c r="G28" s="8" t="e">
        <v>#VALUE!</v>
      </c>
      <c r="H28" s="8" t="e">
        <v>#VALUE!</v>
      </c>
      <c r="I28" s="8" t="e">
        <v>#VALUE!</v>
      </c>
      <c r="J28" s="8" t="e">
        <v>#VALUE!</v>
      </c>
      <c r="K28" s="8" t="e">
        <v>#VALUE!</v>
      </c>
      <c r="L28" s="8">
        <v>-0.56100000000000005</v>
      </c>
      <c r="M28" s="8">
        <v>0</v>
      </c>
      <c r="N28" s="8">
        <v>-54</v>
      </c>
      <c r="O28" s="8">
        <v>0</v>
      </c>
      <c r="P28" s="8">
        <v>0</v>
      </c>
      <c r="Q28" s="8">
        <v>0</v>
      </c>
      <c r="R28" s="8">
        <v>0</v>
      </c>
      <c r="S28" s="8">
        <v>0</v>
      </c>
      <c r="T28" s="8">
        <v>0</v>
      </c>
      <c r="U28" s="8">
        <v>-646.59699999999998</v>
      </c>
      <c r="V28" s="23">
        <v>-234.78399999999999</v>
      </c>
      <c r="W28" s="40"/>
      <c r="X28" s="38"/>
      <c r="Y28" s="38"/>
      <c r="Z28" s="38"/>
      <c r="AA28" s="38"/>
      <c r="AB28" s="38"/>
    </row>
    <row r="29" spans="1:28" x14ac:dyDescent="0.35">
      <c r="A29" s="58" t="str">
        <f>_xlfn.XLOOKUP($B29,'Line item mapping'!$B:$B,'Line item mapping'!$A:$A)</f>
        <v>ff_stk_sale_cf</v>
      </c>
      <c r="B29" t="s">
        <v>76</v>
      </c>
      <c r="C29" s="8" t="e" cm="1">
        <f t="array" ref="C29:V29">GET_FINANCIALS_LINE_ITEM(A29)</f>
        <v>#VALUE!</v>
      </c>
      <c r="D29" s="8" t="e">
        <v>#VALUE!</v>
      </c>
      <c r="E29" s="8" t="e">
        <v>#VALUE!</v>
      </c>
      <c r="F29" s="8" t="e">
        <v>#VALUE!</v>
      </c>
      <c r="G29" s="8" t="e">
        <v>#VALUE!</v>
      </c>
      <c r="H29" s="8" t="e">
        <v>#VALUE!</v>
      </c>
      <c r="I29" s="8" t="e">
        <v>#VALUE!</v>
      </c>
      <c r="J29" s="8" t="e">
        <v>#VALUE!</v>
      </c>
      <c r="K29" s="8" t="e">
        <v>#VALUE!</v>
      </c>
      <c r="L29" s="8">
        <v>20.350999999999999</v>
      </c>
      <c r="M29" s="8">
        <v>6.0000000000000001E-3</v>
      </c>
      <c r="N29" s="8">
        <v>138.37700000000001</v>
      </c>
      <c r="O29" s="8">
        <v>9.5619999999999994</v>
      </c>
      <c r="P29" s="8">
        <v>17.149000000000001</v>
      </c>
      <c r="Q29" s="8">
        <v>46.62</v>
      </c>
      <c r="R29" s="8">
        <v>97.816999999999993</v>
      </c>
      <c r="S29" s="8">
        <v>90.704999999999998</v>
      </c>
      <c r="T29" s="8">
        <v>80.587000000000003</v>
      </c>
      <c r="U29" s="8">
        <v>99.007000000000005</v>
      </c>
      <c r="V29" s="23">
        <v>266.27</v>
      </c>
      <c r="W29" s="40"/>
      <c r="X29" s="38"/>
      <c r="Y29" s="38"/>
      <c r="Z29" s="38"/>
      <c r="AA29" s="38"/>
      <c r="AB29" s="38"/>
    </row>
    <row r="30" spans="1:28" x14ac:dyDescent="0.35">
      <c r="A30" s="58" t="str">
        <f>_xlfn.XLOOKUP($B30,'Line item mapping'!$B:$B,'Line item mapping'!$A:$A)</f>
        <v>ff_debt_cf</v>
      </c>
      <c r="B30" t="s">
        <v>71</v>
      </c>
      <c r="C30" s="8" t="e" cm="1">
        <f t="array" ref="C30:V30">GET_FINANCIALS_LINE_ITEM(A30)</f>
        <v>#VALUE!</v>
      </c>
      <c r="D30" s="8" t="e">
        <v>#VALUE!</v>
      </c>
      <c r="E30" s="8" t="e">
        <v>#VALUE!</v>
      </c>
      <c r="F30" s="8" t="e">
        <v>#VALUE!</v>
      </c>
      <c r="G30" s="8" t="e">
        <v>#VALUE!</v>
      </c>
      <c r="H30" s="8" t="e">
        <v>#VALUE!</v>
      </c>
      <c r="I30" s="8" t="e">
        <v>#VALUE!</v>
      </c>
      <c r="J30" s="8" t="e">
        <v>#VALUE!</v>
      </c>
      <c r="K30" s="8" t="e">
        <v>#VALUE!</v>
      </c>
      <c r="L30" s="8">
        <v>8.2129999999999992</v>
      </c>
      <c r="M30" s="8">
        <v>29.701000000000001</v>
      </c>
      <c r="N30" s="8">
        <v>-20.678999999999998</v>
      </c>
      <c r="O30" s="8">
        <v>-1.0009999999999999</v>
      </c>
      <c r="P30" s="8">
        <v>-27</v>
      </c>
      <c r="Q30" s="8">
        <v>0</v>
      </c>
      <c r="R30" s="8">
        <v>0</v>
      </c>
      <c r="S30" s="8">
        <v>0</v>
      </c>
      <c r="T30" s="8">
        <v>0</v>
      </c>
      <c r="U30" s="8">
        <v>0</v>
      </c>
      <c r="V30" s="23">
        <v>0</v>
      </c>
      <c r="W30" s="40"/>
      <c r="X30" s="38"/>
      <c r="Y30" s="38"/>
      <c r="Z30" s="38"/>
      <c r="AA30" s="38"/>
      <c r="AB30" s="38"/>
    </row>
    <row r="31" spans="1:28" x14ac:dyDescent="0.35">
      <c r="B31" t="s">
        <v>153</v>
      </c>
      <c r="C31" s="8" t="e">
        <f>C$32-SUM(C$27:C$30)</f>
        <v>#VALUE!</v>
      </c>
      <c r="D31" s="8" t="e">
        <f t="shared" ref="D31:V31" si="7">D$32-SUM(D$27:D$30)</f>
        <v>#VALUE!</v>
      </c>
      <c r="E31" s="8" t="e">
        <f t="shared" si="7"/>
        <v>#VALUE!</v>
      </c>
      <c r="F31" s="8" t="e">
        <f t="shared" si="7"/>
        <v>#VALUE!</v>
      </c>
      <c r="G31" s="8" t="e">
        <f t="shared" si="7"/>
        <v>#VALUE!</v>
      </c>
      <c r="H31" s="8" t="e">
        <f t="shared" si="7"/>
        <v>#VALUE!</v>
      </c>
      <c r="I31" s="8" t="e">
        <f t="shared" si="7"/>
        <v>#VALUE!</v>
      </c>
      <c r="J31" s="8" t="e">
        <f t="shared" si="7"/>
        <v>#VALUE!</v>
      </c>
      <c r="K31" s="8" t="e">
        <f t="shared" si="7"/>
        <v>#VALUE!</v>
      </c>
      <c r="L31" s="8">
        <f t="shared" si="7"/>
        <v>0</v>
      </c>
      <c r="M31" s="8">
        <f t="shared" si="7"/>
        <v>-3.9000000000001478E-2</v>
      </c>
      <c r="N31" s="8">
        <f t="shared" si="7"/>
        <v>-0.15500000000000824</v>
      </c>
      <c r="O31" s="8">
        <f t="shared" si="7"/>
        <v>-1.0170000000000003</v>
      </c>
      <c r="P31" s="8">
        <f t="shared" si="7"/>
        <v>0</v>
      </c>
      <c r="Q31" s="8">
        <f t="shared" si="7"/>
        <v>-19.333999999999996</v>
      </c>
      <c r="R31" s="8">
        <f t="shared" si="7"/>
        <v>-53.137999999999991</v>
      </c>
      <c r="S31" s="8">
        <f t="shared" si="7"/>
        <v>-56.854999999999997</v>
      </c>
      <c r="T31" s="8">
        <f t="shared" si="7"/>
        <v>-48.594999999999999</v>
      </c>
      <c r="U31" s="8">
        <f t="shared" si="7"/>
        <v>-78.516000000000076</v>
      </c>
      <c r="V31" s="23">
        <f t="shared" si="7"/>
        <v>-139.09499999999997</v>
      </c>
      <c r="W31" s="40"/>
      <c r="X31" s="38"/>
      <c r="Y31" s="38"/>
      <c r="Z31" s="38"/>
      <c r="AA31" s="38"/>
      <c r="AB31" s="38"/>
    </row>
    <row r="32" spans="1:28" x14ac:dyDescent="0.35">
      <c r="A32" s="58" t="str">
        <f>_xlfn.XLOOKUP($B32,'Line item mapping'!$B:$B,'Line item mapping'!$A:$A)</f>
        <v>ff_fin_cf</v>
      </c>
      <c r="B32" s="6" t="s">
        <v>72</v>
      </c>
      <c r="C32" s="9" t="e" cm="1">
        <f t="array" ref="C32:V32">GET_FINANCIALS_LINE_ITEM(A32)</f>
        <v>#VALUE!</v>
      </c>
      <c r="D32" s="9" t="e">
        <v>#VALUE!</v>
      </c>
      <c r="E32" s="9" t="e">
        <v>#VALUE!</v>
      </c>
      <c r="F32" s="9" t="e">
        <v>#VALUE!</v>
      </c>
      <c r="G32" s="9" t="e">
        <v>#VALUE!</v>
      </c>
      <c r="H32" s="9" t="e">
        <v>#VALUE!</v>
      </c>
      <c r="I32" s="9" t="e">
        <v>#VALUE!</v>
      </c>
      <c r="J32" s="9" t="e">
        <v>#VALUE!</v>
      </c>
      <c r="K32" s="9" t="e">
        <v>#VALUE!</v>
      </c>
      <c r="L32" s="9">
        <v>28.003</v>
      </c>
      <c r="M32" s="9">
        <v>29.667999999999999</v>
      </c>
      <c r="N32" s="9">
        <v>63.542999999999999</v>
      </c>
      <c r="O32" s="9">
        <v>7.5439999999999996</v>
      </c>
      <c r="P32" s="9">
        <v>-9.8510000000000009</v>
      </c>
      <c r="Q32" s="9">
        <v>27.286000000000001</v>
      </c>
      <c r="R32" s="9">
        <v>44.679000000000002</v>
      </c>
      <c r="S32" s="9">
        <v>33.85</v>
      </c>
      <c r="T32" s="9">
        <v>31.992000000000001</v>
      </c>
      <c r="U32" s="9">
        <v>-626.10599999999999</v>
      </c>
      <c r="V32" s="25">
        <v>-107.60899999999999</v>
      </c>
      <c r="W32" s="26">
        <f ca="1">SUM(W$27:W$31)</f>
        <v>0</v>
      </c>
      <c r="X32" s="9">
        <f t="shared" ref="X32:AB32" ca="1" si="8">SUM(X$27:X$31)</f>
        <v>0</v>
      </c>
      <c r="Y32" s="9">
        <f t="shared" ca="1" si="8"/>
        <v>0</v>
      </c>
      <c r="Z32" s="9">
        <f t="shared" ca="1" si="8"/>
        <v>0</v>
      </c>
      <c r="AA32" s="9">
        <f t="shared" ca="1" si="8"/>
        <v>0</v>
      </c>
      <c r="AB32" s="9">
        <f t="shared" ca="1" si="8"/>
        <v>0</v>
      </c>
    </row>
    <row r="33" spans="2:30" x14ac:dyDescent="0.35">
      <c r="C33" s="8"/>
      <c r="D33" s="8"/>
      <c r="E33" s="8"/>
      <c r="F33" s="8"/>
      <c r="G33" s="8"/>
      <c r="H33" s="8"/>
      <c r="I33" s="8"/>
      <c r="J33" s="8"/>
      <c r="K33" s="8"/>
      <c r="L33" s="8"/>
      <c r="M33" s="8"/>
      <c r="N33" s="8"/>
      <c r="O33" s="8"/>
      <c r="P33" s="8"/>
      <c r="Q33" s="8"/>
      <c r="R33" s="8"/>
      <c r="S33" s="8"/>
      <c r="T33" s="8"/>
      <c r="U33" s="8"/>
      <c r="V33" s="23"/>
      <c r="W33" s="24"/>
      <c r="X33" s="8"/>
      <c r="Y33" s="8"/>
      <c r="Z33" s="8"/>
      <c r="AA33" s="8"/>
      <c r="AB33" s="8"/>
    </row>
    <row r="34" spans="2:30" x14ac:dyDescent="0.35">
      <c r="B34" t="s">
        <v>163</v>
      </c>
      <c r="C34" s="8" t="e">
        <f>C$18+C$25+C$32</f>
        <v>#VALUE!</v>
      </c>
      <c r="D34" s="8" t="e">
        <f t="shared" ref="D34:AB34" si="9">D$18+D$25+D$32</f>
        <v>#VALUE!</v>
      </c>
      <c r="E34" s="8" t="e">
        <f t="shared" si="9"/>
        <v>#VALUE!</v>
      </c>
      <c r="F34" s="8" t="e">
        <f t="shared" si="9"/>
        <v>#VALUE!</v>
      </c>
      <c r="G34" s="8" t="e">
        <f t="shared" si="9"/>
        <v>#VALUE!</v>
      </c>
      <c r="H34" s="8" t="e">
        <f t="shared" si="9"/>
        <v>#VALUE!</v>
      </c>
      <c r="I34" s="8" t="e">
        <f t="shared" si="9"/>
        <v>#VALUE!</v>
      </c>
      <c r="J34" s="8" t="e">
        <f t="shared" si="9"/>
        <v>#VALUE!</v>
      </c>
      <c r="K34" s="8" t="e">
        <f t="shared" si="9"/>
        <v>#VALUE!</v>
      </c>
      <c r="L34" s="8">
        <f t="shared" si="9"/>
        <v>25.925000000000001</v>
      </c>
      <c r="M34" s="8">
        <f t="shared" si="9"/>
        <v>48.731999999999999</v>
      </c>
      <c r="N34" s="8">
        <f t="shared" si="9"/>
        <v>95.558999999999997</v>
      </c>
      <c r="O34" s="8">
        <f t="shared" si="9"/>
        <v>72.054999999999993</v>
      </c>
      <c r="P34" s="8">
        <f t="shared" si="9"/>
        <v>106.77000000000001</v>
      </c>
      <c r="Q34" s="8">
        <f t="shared" si="9"/>
        <v>86.343999999999994</v>
      </c>
      <c r="R34" s="8">
        <f t="shared" si="9"/>
        <v>291.52199999999999</v>
      </c>
      <c r="S34" s="8">
        <f t="shared" si="9"/>
        <v>486.47900000000004</v>
      </c>
      <c r="T34" s="8">
        <f t="shared" si="9"/>
        <v>370.50299999999999</v>
      </c>
      <c r="U34" s="8">
        <f t="shared" si="9"/>
        <v>-12.780999999999949</v>
      </c>
      <c r="V34" s="23">
        <f t="shared" si="9"/>
        <v>683.6149999999999</v>
      </c>
      <c r="W34" s="24">
        <f t="shared" ca="1" si="9"/>
        <v>-294.04631041338968</v>
      </c>
      <c r="X34" s="8">
        <f t="shared" ca="1" si="9"/>
        <v>-65.079013926248024</v>
      </c>
      <c r="Y34" s="8">
        <f t="shared" ca="1" si="9"/>
        <v>-36.751021980233702</v>
      </c>
      <c r="Z34" s="8">
        <f t="shared" ca="1" si="9"/>
        <v>13.209091558592945</v>
      </c>
      <c r="AA34" s="8">
        <f t="shared" ca="1" si="9"/>
        <v>19.138383238204483</v>
      </c>
      <c r="AB34" s="8">
        <f t="shared" ca="1" si="9"/>
        <v>22.476191155420395</v>
      </c>
    </row>
    <row r="35" spans="2:30" x14ac:dyDescent="0.35">
      <c r="V35" s="17"/>
      <c r="W35" s="18"/>
    </row>
    <row r="36" spans="2:30" x14ac:dyDescent="0.35">
      <c r="B36" s="101"/>
      <c r="C36" s="101"/>
      <c r="D36" s="101"/>
      <c r="E36" s="101"/>
      <c r="F36" s="101"/>
      <c r="G36" s="101"/>
      <c r="H36" s="101"/>
      <c r="I36" s="101"/>
      <c r="J36" s="101"/>
      <c r="K36" s="101"/>
      <c r="L36" s="101"/>
      <c r="M36" s="101"/>
      <c r="N36" s="101"/>
      <c r="O36" s="101"/>
      <c r="P36" s="101"/>
      <c r="Q36" s="101"/>
      <c r="R36" s="101"/>
      <c r="S36" s="101"/>
      <c r="T36" s="101"/>
      <c r="U36" s="101"/>
      <c r="V36" s="102"/>
      <c r="W36" s="103"/>
      <c r="X36" s="101"/>
      <c r="Y36" s="101"/>
      <c r="Z36" s="101"/>
      <c r="AA36" s="101"/>
      <c r="AB36" s="101"/>
    </row>
    <row r="37" spans="2:30" x14ac:dyDescent="0.35">
      <c r="V37" s="17"/>
      <c r="W37" s="18"/>
    </row>
    <row r="38" spans="2:30" ht="20" thickBot="1" x14ac:dyDescent="0.5">
      <c r="B38" s="12" t="s">
        <v>325</v>
      </c>
      <c r="V38" s="17"/>
      <c r="W38" s="18"/>
    </row>
    <row r="39" spans="2:30" ht="15.5" thickTop="1" thickBot="1" x14ac:dyDescent="0.4">
      <c r="B39" t="s">
        <v>189</v>
      </c>
      <c r="C39" s="13"/>
      <c r="D39" s="13"/>
      <c r="E39" s="13"/>
      <c r="F39" s="13"/>
      <c r="G39" s="13"/>
      <c r="H39" s="13"/>
      <c r="I39" s="13"/>
      <c r="J39" s="13"/>
      <c r="K39" s="13"/>
      <c r="L39" s="13"/>
      <c r="M39" s="13"/>
      <c r="N39" s="13"/>
      <c r="O39" s="13"/>
      <c r="P39" s="13"/>
      <c r="Q39" s="13"/>
      <c r="R39" s="13"/>
      <c r="S39" s="13"/>
      <c r="T39" s="13"/>
      <c r="U39" s="13"/>
      <c r="V39" s="95" t="s">
        <v>273</v>
      </c>
      <c r="W39" s="116">
        <f>AVERAGE($R41:$V41)</f>
        <v>5.5250115502505616E-2</v>
      </c>
      <c r="X39" s="13">
        <f>W41</f>
        <v>5.5250115502505616E-2</v>
      </c>
      <c r="Y39" s="13">
        <f t="shared" ref="Y39:AB39" si="10">X41</f>
        <v>5.5250115502505616E-2</v>
      </c>
      <c r="Z39" s="13">
        <f t="shared" si="10"/>
        <v>5.5250115502505616E-2</v>
      </c>
      <c r="AA39" s="13">
        <f t="shared" si="10"/>
        <v>5.5250115502505616E-2</v>
      </c>
      <c r="AB39" s="13">
        <f t="shared" si="10"/>
        <v>5.5250115502505616E-2</v>
      </c>
      <c r="AD39" s="13"/>
    </row>
    <row r="40" spans="2:30" ht="15.5" thickTop="1" thickBot="1" x14ac:dyDescent="0.4">
      <c r="C40" s="13"/>
      <c r="D40" s="13"/>
      <c r="E40" s="13"/>
      <c r="F40" s="13"/>
      <c r="G40" s="13"/>
      <c r="H40" s="13"/>
      <c r="I40" s="13"/>
      <c r="J40" s="13"/>
      <c r="K40" s="13"/>
      <c r="L40" s="13"/>
      <c r="M40" s="13"/>
      <c r="N40" s="13"/>
      <c r="O40" s="13"/>
      <c r="P40" s="13"/>
      <c r="Q40" s="13"/>
      <c r="R40" s="13"/>
      <c r="S40" s="13"/>
      <c r="T40" s="13"/>
      <c r="U40" s="13"/>
      <c r="V40" s="95" t="s">
        <v>274</v>
      </c>
      <c r="W40" s="69"/>
      <c r="X40" s="68"/>
      <c r="Y40" s="16"/>
      <c r="Z40" s="16"/>
      <c r="AA40" s="16"/>
      <c r="AB40" s="16"/>
      <c r="AD40" s="13"/>
    </row>
    <row r="41" spans="2:30" x14ac:dyDescent="0.35">
      <c r="C41" s="13" t="e">
        <f>C$48/'Income statement'!C$7</f>
        <v>#VALUE!</v>
      </c>
      <c r="D41" s="13" t="e">
        <f>D$48/'Income statement'!D$7</f>
        <v>#VALUE!</v>
      </c>
      <c r="E41" s="13" t="e">
        <f>E$48/'Income statement'!E$7</f>
        <v>#VALUE!</v>
      </c>
      <c r="F41" s="13" t="e">
        <f>F$48/'Income statement'!F$7</f>
        <v>#VALUE!</v>
      </c>
      <c r="G41" s="13" t="e">
        <f>G$48/'Income statement'!G$7</f>
        <v>#VALUE!</v>
      </c>
      <c r="H41" s="13" t="e">
        <f>H$48/'Income statement'!H$7</f>
        <v>#VALUE!</v>
      </c>
      <c r="I41" s="13" t="e">
        <f>I$48/'Income statement'!I$7</f>
        <v>#VALUE!</v>
      </c>
      <c r="J41" s="13" t="e">
        <f>J$48/'Income statement'!J$7</f>
        <v>#VALUE!</v>
      </c>
      <c r="K41" s="13" t="e">
        <f>K$48/'Income statement'!K$7</f>
        <v>#VALUE!</v>
      </c>
      <c r="L41" s="13">
        <f>L$48/'Income statement'!L$7</f>
        <v>3.7195833707461615E-2</v>
      </c>
      <c r="M41" s="13">
        <f>M$48/'Income statement'!M$7</f>
        <v>6.0596252427524186E-2</v>
      </c>
      <c r="N41" s="13">
        <f>N$48/'Income statement'!N$7</f>
        <v>4.544020973162631E-2</v>
      </c>
      <c r="O41" s="13">
        <f>O$48/'Income statement'!O$7</f>
        <v>4.2385721747989241E-2</v>
      </c>
      <c r="P41" s="13">
        <f>P$48/'Income statement'!P$7</f>
        <v>5.277879043105508E-2</v>
      </c>
      <c r="Q41" s="13">
        <f>Q$48/'Income statement'!Q$7</f>
        <v>6.1422749592320192E-2</v>
      </c>
      <c r="R41" s="13">
        <f>R$48/'Income statement'!R$7</f>
        <v>9.5826360921159814E-2</v>
      </c>
      <c r="S41" s="13">
        <f>S$48/'Income statement'!S$7</f>
        <v>5.0125076579629856E-2</v>
      </c>
      <c r="T41" s="13">
        <f>T$48/'Income statement'!T$7</f>
        <v>5.8236336152668745E-2</v>
      </c>
      <c r="U41" s="13">
        <f>U$48/'Income statement'!U$7</f>
        <v>2.8271637925718865E-2</v>
      </c>
      <c r="V41" s="33">
        <f>V$48/'Income statement'!V$7</f>
        <v>4.3791165933350806E-2</v>
      </c>
      <c r="W41" s="34" cm="1">
        <f t="array" ref="W41">_xlfn.SWITCH(W40,,W39,W40)</f>
        <v>5.5250115502505616E-2</v>
      </c>
      <c r="X41" s="13" cm="1">
        <f t="array" ref="X41">_xlfn.SWITCH(X40,,X39,X40)</f>
        <v>5.5250115502505616E-2</v>
      </c>
      <c r="Y41" s="13" cm="1">
        <f t="array" ref="Y41">_xlfn.SWITCH(Y40,,Y39,Y40)</f>
        <v>5.5250115502505616E-2</v>
      </c>
      <c r="Z41" s="13" cm="1">
        <f t="array" ref="Z41">_xlfn.SWITCH(Z40,,Z39,Z40)</f>
        <v>5.5250115502505616E-2</v>
      </c>
      <c r="AA41" s="13" cm="1">
        <f t="array" ref="AA41">_xlfn.SWITCH(AA40,,AA39,AA40)</f>
        <v>5.5250115502505616E-2</v>
      </c>
      <c r="AB41" s="13" cm="1">
        <f t="array" ref="AB41">_xlfn.SWITCH(AB40,,AB39,AB40)</f>
        <v>5.5250115502505616E-2</v>
      </c>
    </row>
    <row r="42" spans="2:30" ht="15" thickBot="1" x14ac:dyDescent="0.4">
      <c r="C42" s="13"/>
      <c r="D42" s="13"/>
      <c r="E42" s="13"/>
      <c r="F42" s="13"/>
      <c r="G42" s="13"/>
      <c r="H42" s="13"/>
      <c r="I42" s="13"/>
      <c r="J42" s="13"/>
      <c r="K42" s="13"/>
      <c r="L42" s="13"/>
      <c r="M42" s="13"/>
      <c r="N42" s="13"/>
      <c r="O42" s="13"/>
      <c r="P42" s="13"/>
      <c r="Q42" s="13"/>
      <c r="R42" s="13"/>
      <c r="S42" s="13"/>
      <c r="T42" s="13"/>
      <c r="U42" s="13"/>
      <c r="V42" s="33"/>
      <c r="W42" s="34"/>
      <c r="X42" s="13"/>
      <c r="Y42" s="13"/>
      <c r="Z42" s="13"/>
      <c r="AA42" s="13"/>
      <c r="AB42" s="13"/>
    </row>
    <row r="43" spans="2:30" ht="15.5" thickTop="1" thickBot="1" x14ac:dyDescent="0.4">
      <c r="B43" t="s">
        <v>179</v>
      </c>
      <c r="C43" s="13"/>
      <c r="D43" s="13"/>
      <c r="E43" s="13"/>
      <c r="F43" s="13"/>
      <c r="G43" s="13"/>
      <c r="H43" s="13"/>
      <c r="I43" s="13"/>
      <c r="J43" s="13"/>
      <c r="K43" s="13"/>
      <c r="L43" s="13"/>
      <c r="M43" s="13"/>
      <c r="N43" s="13"/>
      <c r="O43" s="13"/>
      <c r="P43" s="13"/>
      <c r="Q43" s="13"/>
      <c r="R43" s="13"/>
      <c r="S43" s="13"/>
      <c r="T43" s="13"/>
      <c r="U43" s="13"/>
      <c r="V43" s="95" t="s">
        <v>273</v>
      </c>
      <c r="W43" s="124" cm="1">
        <f t="array" aca="1" ref="W43" ca="1">ARGMIN($L$67:$L$76)</f>
        <v>10</v>
      </c>
      <c r="X43" s="3">
        <f ca="1">W45</f>
        <v>10</v>
      </c>
      <c r="Y43" s="3">
        <f t="shared" ref="Y43:AB43" ca="1" si="11">X45</f>
        <v>10</v>
      </c>
      <c r="Z43" s="3">
        <f t="shared" ca="1" si="11"/>
        <v>10</v>
      </c>
      <c r="AA43" s="3">
        <f t="shared" ca="1" si="11"/>
        <v>10</v>
      </c>
      <c r="AB43" s="3">
        <f t="shared" ca="1" si="11"/>
        <v>10</v>
      </c>
    </row>
    <row r="44" spans="2:30" ht="15" thickTop="1" x14ac:dyDescent="0.35">
      <c r="C44" s="13"/>
      <c r="D44" s="13"/>
      <c r="E44" s="13"/>
      <c r="F44" s="13"/>
      <c r="G44" s="13"/>
      <c r="H44" s="13"/>
      <c r="I44" s="13"/>
      <c r="J44" s="13"/>
      <c r="K44" s="13"/>
      <c r="L44" s="13"/>
      <c r="M44" s="13"/>
      <c r="N44" s="13"/>
      <c r="O44" s="13"/>
      <c r="P44" s="13"/>
      <c r="Q44" s="13"/>
      <c r="R44" s="13"/>
      <c r="S44" s="13"/>
      <c r="T44" s="13"/>
      <c r="U44" s="13"/>
      <c r="V44" s="95" t="s">
        <v>274</v>
      </c>
      <c r="W44" s="96"/>
      <c r="X44" s="98"/>
      <c r="Y44" s="98"/>
      <c r="Z44" s="98"/>
      <c r="AA44" s="98"/>
      <c r="AB44" s="98"/>
    </row>
    <row r="45" spans="2:30" x14ac:dyDescent="0.35">
      <c r="C45">
        <f t="shared" ref="C45:V45" ca="1" si="12">D$45</f>
        <v>10</v>
      </c>
      <c r="D45">
        <f t="shared" ca="1" si="12"/>
        <v>10</v>
      </c>
      <c r="E45">
        <f t="shared" ca="1" si="12"/>
        <v>10</v>
      </c>
      <c r="F45">
        <f t="shared" ca="1" si="12"/>
        <v>10</v>
      </c>
      <c r="G45">
        <f t="shared" ca="1" si="12"/>
        <v>10</v>
      </c>
      <c r="H45">
        <f t="shared" ca="1" si="12"/>
        <v>10</v>
      </c>
      <c r="I45">
        <f t="shared" ca="1" si="12"/>
        <v>10</v>
      </c>
      <c r="J45">
        <f t="shared" ca="1" si="12"/>
        <v>10</v>
      </c>
      <c r="K45">
        <f t="shared" ca="1" si="12"/>
        <v>10</v>
      </c>
      <c r="L45">
        <f t="shared" ca="1" si="12"/>
        <v>10</v>
      </c>
      <c r="M45">
        <f t="shared" ca="1" si="12"/>
        <v>10</v>
      </c>
      <c r="N45">
        <f t="shared" ca="1" si="12"/>
        <v>10</v>
      </c>
      <c r="O45">
        <f t="shared" ca="1" si="12"/>
        <v>10</v>
      </c>
      <c r="P45">
        <f t="shared" ca="1" si="12"/>
        <v>10</v>
      </c>
      <c r="Q45">
        <f t="shared" ca="1" si="12"/>
        <v>10</v>
      </c>
      <c r="R45">
        <f t="shared" ca="1" si="12"/>
        <v>10</v>
      </c>
      <c r="S45">
        <f t="shared" ca="1" si="12"/>
        <v>10</v>
      </c>
      <c r="T45">
        <f t="shared" ca="1" si="12"/>
        <v>10</v>
      </c>
      <c r="U45">
        <f t="shared" ca="1" si="12"/>
        <v>10</v>
      </c>
      <c r="V45" s="17">
        <f t="shared" ca="1" si="12"/>
        <v>10</v>
      </c>
      <c r="W45" s="30" cm="1">
        <f t="array" aca="1" ref="W45" ca="1">_xlfn.SWITCH(W44,,W43,W44)</f>
        <v>10</v>
      </c>
      <c r="X45" s="3" cm="1">
        <f t="array" aca="1" ref="X45" ca="1">_xlfn.SWITCH(X44,,X43,X44)</f>
        <v>10</v>
      </c>
      <c r="Y45" s="3" cm="1">
        <f t="array" aca="1" ref="Y45" ca="1">_xlfn.SWITCH(Y44,,Y43,Y44)</f>
        <v>10</v>
      </c>
      <c r="Z45" s="3" cm="1">
        <f t="array" aca="1" ref="Z45" ca="1">_xlfn.SWITCH(Z44,,Z43,Z44)</f>
        <v>10</v>
      </c>
      <c r="AA45" s="3" cm="1">
        <f t="array" aca="1" ref="AA45" ca="1">_xlfn.SWITCH(AA44,,AA43,AA44)</f>
        <v>10</v>
      </c>
      <c r="AB45" s="3" cm="1">
        <f t="array" aca="1" ref="AB45" ca="1">_xlfn.SWITCH(AB44,,AB43,AB44)</f>
        <v>10</v>
      </c>
    </row>
    <row r="46" spans="2:30" x14ac:dyDescent="0.35">
      <c r="C46" s="13"/>
      <c r="D46" s="13"/>
      <c r="E46" s="13"/>
      <c r="F46" s="13"/>
      <c r="G46" s="13"/>
      <c r="H46" s="13"/>
      <c r="I46" s="13"/>
      <c r="J46" s="13"/>
      <c r="K46" s="13"/>
      <c r="L46" s="13"/>
      <c r="M46" s="13"/>
      <c r="N46" s="13"/>
      <c r="O46" s="13"/>
      <c r="P46" s="13"/>
      <c r="Q46" s="13"/>
      <c r="R46" s="13"/>
      <c r="S46" s="13"/>
      <c r="T46" s="13"/>
      <c r="U46" s="13"/>
      <c r="V46" s="17"/>
      <c r="W46" s="18"/>
      <c r="AD46" s="13"/>
    </row>
    <row r="47" spans="2:30" ht="20" thickBot="1" x14ac:dyDescent="0.5">
      <c r="B47" s="12" t="s">
        <v>288</v>
      </c>
      <c r="V47" s="17"/>
      <c r="W47" s="18"/>
    </row>
    <row r="48" spans="2:30" ht="15" thickTop="1" x14ac:dyDescent="0.35">
      <c r="B48" t="s">
        <v>181</v>
      </c>
      <c r="C48" s="45" t="e">
        <f t="shared" ref="C48:U48" si="13">-(C$20+C$21+C$22+C$23)</f>
        <v>#VALUE!</v>
      </c>
      <c r="D48" s="45" t="e">
        <f t="shared" si="13"/>
        <v>#VALUE!</v>
      </c>
      <c r="E48" s="45" t="e">
        <f t="shared" si="13"/>
        <v>#VALUE!</v>
      </c>
      <c r="F48" s="45" t="e">
        <f t="shared" si="13"/>
        <v>#VALUE!</v>
      </c>
      <c r="G48" s="45" t="e">
        <f t="shared" si="13"/>
        <v>#VALUE!</v>
      </c>
      <c r="H48" s="45" t="e">
        <f t="shared" si="13"/>
        <v>#VALUE!</v>
      </c>
      <c r="I48" s="45" t="e">
        <f t="shared" si="13"/>
        <v>#VALUE!</v>
      </c>
      <c r="J48" s="45" t="e">
        <f t="shared" si="13"/>
        <v>#VALUE!</v>
      </c>
      <c r="K48" s="45" t="e">
        <f t="shared" si="13"/>
        <v>#VALUE!</v>
      </c>
      <c r="L48" s="45">
        <f t="shared" si="13"/>
        <v>1.657</v>
      </c>
      <c r="M48" s="45">
        <f t="shared" si="13"/>
        <v>6.9269999999999996</v>
      </c>
      <c r="N48" s="45">
        <f t="shared" si="13"/>
        <v>9.2210000000000001</v>
      </c>
      <c r="O48" s="45">
        <f t="shared" si="13"/>
        <v>13.064</v>
      </c>
      <c r="P48" s="45">
        <f t="shared" si="13"/>
        <v>25.191000000000003</v>
      </c>
      <c r="Q48" s="45">
        <f t="shared" si="13"/>
        <v>40.603999999999999</v>
      </c>
      <c r="R48" s="45">
        <f t="shared" si="13"/>
        <v>80.114000000000004</v>
      </c>
      <c r="S48" s="45">
        <f t="shared" si="13"/>
        <v>59.972999999999999</v>
      </c>
      <c r="T48" s="45">
        <f t="shared" si="13"/>
        <v>91.884999999999991</v>
      </c>
      <c r="U48" s="45">
        <f t="shared" si="13"/>
        <v>55.019999999999996</v>
      </c>
      <c r="V48" s="46">
        <f>-(V$20+V$21+V$22+V$23)</f>
        <v>107.062</v>
      </c>
      <c r="W48" s="24">
        <f t="shared" ref="W48:AB48" si="14">-(W$20+W$21+W$22+W$23)</f>
        <v>174.59225228660293</v>
      </c>
      <c r="X48" s="45">
        <f t="shared" si="14"/>
        <v>210.8015178192255</v>
      </c>
      <c r="Y48" s="45">
        <f t="shared" si="14"/>
        <v>245.30902141507656</v>
      </c>
      <c r="Z48" s="45">
        <f t="shared" si="14"/>
        <v>274.74610398488574</v>
      </c>
      <c r="AA48" s="45">
        <f t="shared" si="14"/>
        <v>307.71563646307203</v>
      </c>
      <c r="AB48" s="45">
        <f t="shared" si="14"/>
        <v>344.64151283864072</v>
      </c>
    </row>
    <row r="49" spans="2:28" x14ac:dyDescent="0.35">
      <c r="B49" t="s">
        <v>180</v>
      </c>
      <c r="C49" s="45" t="e">
        <f t="shared" ref="C49:V49" ca="1" si="15">AVERAGE(OFFSET(C$48,,,1,-MIN(C$6,C$45)))</f>
        <v>#VALUE!</v>
      </c>
      <c r="D49" s="45" t="e">
        <f t="shared" ca="1" si="15"/>
        <v>#VALUE!</v>
      </c>
      <c r="E49" s="45" t="e">
        <f t="shared" ca="1" si="15"/>
        <v>#VALUE!</v>
      </c>
      <c r="F49" s="45" t="e">
        <f t="shared" ca="1" si="15"/>
        <v>#VALUE!</v>
      </c>
      <c r="G49" s="45" t="e">
        <f t="shared" ca="1" si="15"/>
        <v>#VALUE!</v>
      </c>
      <c r="H49" s="45" t="e">
        <f t="shared" ca="1" si="15"/>
        <v>#VALUE!</v>
      </c>
      <c r="I49" s="45" t="e">
        <f t="shared" ca="1" si="15"/>
        <v>#VALUE!</v>
      </c>
      <c r="J49" s="45" t="e">
        <f t="shared" ca="1" si="15"/>
        <v>#VALUE!</v>
      </c>
      <c r="K49" s="45" t="e">
        <f t="shared" ca="1" si="15"/>
        <v>#VALUE!</v>
      </c>
      <c r="L49" s="45" t="e">
        <f t="shared" ca="1" si="15"/>
        <v>#VALUE!</v>
      </c>
      <c r="M49" s="45" t="e">
        <f t="shared" ca="1" si="15"/>
        <v>#VALUE!</v>
      </c>
      <c r="N49" s="45" t="e">
        <f t="shared" ca="1" si="15"/>
        <v>#VALUE!</v>
      </c>
      <c r="O49" s="45" t="e">
        <f t="shared" ca="1" si="15"/>
        <v>#VALUE!</v>
      </c>
      <c r="P49" s="45" t="e">
        <f t="shared" ca="1" si="15"/>
        <v>#VALUE!</v>
      </c>
      <c r="Q49" s="45" t="e">
        <f t="shared" ca="1" si="15"/>
        <v>#VALUE!</v>
      </c>
      <c r="R49" s="45" t="e">
        <f t="shared" ca="1" si="15"/>
        <v>#VALUE!</v>
      </c>
      <c r="S49" s="45" t="e">
        <f t="shared" ca="1" si="15"/>
        <v>#VALUE!</v>
      </c>
      <c r="T49" s="45" t="e">
        <f t="shared" ca="1" si="15"/>
        <v>#VALUE!</v>
      </c>
      <c r="U49" s="45">
        <f t="shared" ca="1" si="15"/>
        <v>38.365600000000001</v>
      </c>
      <c r="V49" s="46">
        <f t="shared" ca="1" si="15"/>
        <v>48.906099999999995</v>
      </c>
      <c r="W49" s="24">
        <f t="shared" ref="W49:AB49" ca="1" si="16">AVERAGE(OFFSET(W$48,,,1,-W$45))</f>
        <v>65.672625228660294</v>
      </c>
      <c r="X49" s="45">
        <f t="shared" ca="1" si="16"/>
        <v>85.830677010582846</v>
      </c>
      <c r="Y49" s="45">
        <f t="shared" ca="1" si="16"/>
        <v>109.0551791520905</v>
      </c>
      <c r="Z49" s="45">
        <f t="shared" ca="1" si="16"/>
        <v>134.01068955057909</v>
      </c>
      <c r="AA49" s="45">
        <f t="shared" ca="1" si="16"/>
        <v>160.72185319688626</v>
      </c>
      <c r="AB49" s="45">
        <f t="shared" ca="1" si="16"/>
        <v>187.17460448075036</v>
      </c>
    </row>
    <row r="50" spans="2:28" x14ac:dyDescent="0.35">
      <c r="B50" t="s">
        <v>185</v>
      </c>
      <c r="C50" s="45" t="e">
        <f>'Income statement'!C$74</f>
        <v>#VALUE!</v>
      </c>
      <c r="D50" s="45" t="e">
        <f>'Income statement'!D$74</f>
        <v>#VALUE!</v>
      </c>
      <c r="E50" s="45" t="e">
        <f>'Income statement'!E$74</f>
        <v>#VALUE!</v>
      </c>
      <c r="F50" s="45" t="e">
        <f>'Income statement'!F$74</f>
        <v>#VALUE!</v>
      </c>
      <c r="G50" s="45" t="e">
        <f>'Income statement'!G$74</f>
        <v>#VALUE!</v>
      </c>
      <c r="H50" s="45" t="e">
        <f>'Income statement'!H$74</f>
        <v>#VALUE!</v>
      </c>
      <c r="I50" s="45" t="e">
        <f>'Income statement'!I$74</f>
        <v>#VALUE!</v>
      </c>
      <c r="J50" s="45" t="e">
        <f>'Income statement'!J$74</f>
        <v>#VALUE!</v>
      </c>
      <c r="K50" s="45" t="e">
        <f>'Income statement'!K$74</f>
        <v>#VALUE!</v>
      </c>
      <c r="L50" s="45">
        <f>'Income statement'!L$74</f>
        <v>0.68</v>
      </c>
      <c r="M50" s="45">
        <f>'Income statement'!M$74</f>
        <v>1.8280000000000001</v>
      </c>
      <c r="N50" s="45">
        <f>'Income statement'!N$74</f>
        <v>3.798</v>
      </c>
      <c r="O50" s="45">
        <f>'Income statement'!O$74</f>
        <v>7.2089999999999996</v>
      </c>
      <c r="P50" s="45">
        <f>'Income statement'!P$74</f>
        <v>11.3</v>
      </c>
      <c r="Q50" s="45">
        <f>'Income statement'!Q$74</f>
        <v>42.293999999999997</v>
      </c>
      <c r="R50" s="45">
        <f>'Income statement'!R$74</f>
        <v>61.901000000000003</v>
      </c>
      <c r="S50" s="45">
        <f>'Income statement'!S$74</f>
        <v>82.534000000000006</v>
      </c>
      <c r="T50" s="45">
        <f>'Income statement'!T$74</f>
        <v>54.424999999999997</v>
      </c>
      <c r="U50" s="45">
        <f>'Income statement'!U$74</f>
        <v>80.418000000000006</v>
      </c>
      <c r="V50" s="46">
        <f>'Income statement'!V$74</f>
        <v>87.49</v>
      </c>
      <c r="W50" s="40"/>
      <c r="X50" s="38"/>
      <c r="Y50" s="38"/>
      <c r="Z50" s="38"/>
      <c r="AA50" s="38"/>
      <c r="AB50" s="38"/>
    </row>
    <row r="51" spans="2:28" x14ac:dyDescent="0.35">
      <c r="B51" t="s">
        <v>182</v>
      </c>
      <c r="C51" s="45" t="e">
        <f t="shared" ref="C51:U51" ca="1" si="17">C49-C50</f>
        <v>#VALUE!</v>
      </c>
      <c r="D51" s="45" t="e">
        <f t="shared" ca="1" si="17"/>
        <v>#VALUE!</v>
      </c>
      <c r="E51" s="45" t="e">
        <f t="shared" ca="1" si="17"/>
        <v>#VALUE!</v>
      </c>
      <c r="F51" s="45" t="e">
        <f t="shared" ca="1" si="17"/>
        <v>#VALUE!</v>
      </c>
      <c r="G51" s="45" t="e">
        <f t="shared" ca="1" si="17"/>
        <v>#VALUE!</v>
      </c>
      <c r="H51" s="45" t="e">
        <f t="shared" ca="1" si="17"/>
        <v>#VALUE!</v>
      </c>
      <c r="I51" s="45" t="e">
        <f t="shared" ca="1" si="17"/>
        <v>#VALUE!</v>
      </c>
      <c r="J51" s="45" t="e">
        <f t="shared" ca="1" si="17"/>
        <v>#VALUE!</v>
      </c>
      <c r="K51" s="45" t="e">
        <f t="shared" ca="1" si="17"/>
        <v>#VALUE!</v>
      </c>
      <c r="L51" s="45" t="e">
        <f t="shared" ca="1" si="17"/>
        <v>#VALUE!</v>
      </c>
      <c r="M51" s="45" t="e">
        <f t="shared" ca="1" si="17"/>
        <v>#VALUE!</v>
      </c>
      <c r="N51" s="45" t="e">
        <f t="shared" ca="1" si="17"/>
        <v>#VALUE!</v>
      </c>
      <c r="O51" s="45" t="e">
        <f t="shared" ca="1" si="17"/>
        <v>#VALUE!</v>
      </c>
      <c r="P51" s="45" t="e">
        <f t="shared" ca="1" si="17"/>
        <v>#VALUE!</v>
      </c>
      <c r="Q51" s="45" t="e">
        <f t="shared" ca="1" si="17"/>
        <v>#VALUE!</v>
      </c>
      <c r="R51" s="45" t="e">
        <f t="shared" ca="1" si="17"/>
        <v>#VALUE!</v>
      </c>
      <c r="S51" s="45" t="e">
        <f t="shared" ca="1" si="17"/>
        <v>#VALUE!</v>
      </c>
      <c r="T51" s="45" t="e">
        <f t="shared" ca="1" si="17"/>
        <v>#VALUE!</v>
      </c>
      <c r="U51" s="45">
        <f t="shared" ca="1" si="17"/>
        <v>-42.052400000000006</v>
      </c>
      <c r="V51" s="46">
        <f ca="1">V49-V50</f>
        <v>-38.5839</v>
      </c>
      <c r="W51" s="40"/>
      <c r="X51" s="38"/>
      <c r="Y51" s="38"/>
      <c r="Z51" s="38"/>
      <c r="AA51" s="38"/>
      <c r="AB51" s="38"/>
    </row>
    <row r="52" spans="2:28" x14ac:dyDescent="0.35">
      <c r="B52" t="s">
        <v>284</v>
      </c>
      <c r="C52" s="45" t="e">
        <f>-(C$27+C$28+C$29)</f>
        <v>#VALUE!</v>
      </c>
      <c r="D52" s="45" t="e">
        <f t="shared" ref="D52:AB52" si="18">-(D$27+D$28+D$29)</f>
        <v>#VALUE!</v>
      </c>
      <c r="E52" s="45" t="e">
        <f t="shared" si="18"/>
        <v>#VALUE!</v>
      </c>
      <c r="F52" s="45" t="e">
        <f t="shared" si="18"/>
        <v>#VALUE!</v>
      </c>
      <c r="G52" s="45" t="e">
        <f t="shared" si="18"/>
        <v>#VALUE!</v>
      </c>
      <c r="H52" s="45" t="e">
        <f t="shared" si="18"/>
        <v>#VALUE!</v>
      </c>
      <c r="I52" s="45" t="e">
        <f t="shared" si="18"/>
        <v>#VALUE!</v>
      </c>
      <c r="J52" s="45" t="e">
        <f t="shared" si="18"/>
        <v>#VALUE!</v>
      </c>
      <c r="K52" s="45" t="e">
        <f t="shared" si="18"/>
        <v>#VALUE!</v>
      </c>
      <c r="L52" s="45">
        <f t="shared" si="18"/>
        <v>-19.79</v>
      </c>
      <c r="M52" s="45">
        <f t="shared" si="18"/>
        <v>-6.0000000000000001E-3</v>
      </c>
      <c r="N52" s="45">
        <f t="shared" si="18"/>
        <v>-84.37700000000001</v>
      </c>
      <c r="O52" s="45">
        <f t="shared" si="18"/>
        <v>-9.5619999999999994</v>
      </c>
      <c r="P52" s="45">
        <f t="shared" si="18"/>
        <v>-17.149000000000001</v>
      </c>
      <c r="Q52" s="45">
        <f t="shared" si="18"/>
        <v>-46.62</v>
      </c>
      <c r="R52" s="45">
        <f t="shared" si="18"/>
        <v>-97.816999999999993</v>
      </c>
      <c r="S52" s="45">
        <f t="shared" si="18"/>
        <v>-90.704999999999998</v>
      </c>
      <c r="T52" s="45">
        <f t="shared" si="18"/>
        <v>-80.587000000000003</v>
      </c>
      <c r="U52" s="45">
        <f t="shared" si="18"/>
        <v>547.58999999999992</v>
      </c>
      <c r="V52" s="46">
        <f t="shared" si="18"/>
        <v>-31.48599999999999</v>
      </c>
      <c r="W52" s="24">
        <f t="shared" ca="1" si="18"/>
        <v>0</v>
      </c>
      <c r="X52" s="45">
        <f t="shared" ca="1" si="18"/>
        <v>0</v>
      </c>
      <c r="Y52" s="45">
        <f t="shared" ca="1" si="18"/>
        <v>0</v>
      </c>
      <c r="Z52" s="45">
        <f t="shared" ca="1" si="18"/>
        <v>0</v>
      </c>
      <c r="AA52" s="45">
        <f t="shared" ca="1" si="18"/>
        <v>0</v>
      </c>
      <c r="AB52" s="45">
        <f t="shared" ca="1" si="18"/>
        <v>0</v>
      </c>
    </row>
    <row r="53" spans="2:28" x14ac:dyDescent="0.35">
      <c r="V53" s="17"/>
      <c r="W53" s="18"/>
    </row>
    <row r="54" spans="2:28" ht="20" thickBot="1" x14ac:dyDescent="0.5">
      <c r="B54" s="12" t="s">
        <v>103</v>
      </c>
      <c r="V54" s="17"/>
      <c r="W54" s="18"/>
    </row>
    <row r="55" spans="2:28" ht="15" thickTop="1" x14ac:dyDescent="0.35">
      <c r="B55" t="s">
        <v>407</v>
      </c>
      <c r="C55" s="8" t="e">
        <f t="shared" ref="C55:AB55" si="19">C$18-C$48</f>
        <v>#VALUE!</v>
      </c>
      <c r="D55" s="8" t="e">
        <f t="shared" si="19"/>
        <v>#VALUE!</v>
      </c>
      <c r="E55" s="8" t="e">
        <f t="shared" si="19"/>
        <v>#VALUE!</v>
      </c>
      <c r="F55" s="8" t="e">
        <f t="shared" si="19"/>
        <v>#VALUE!</v>
      </c>
      <c r="G55" s="8" t="e">
        <f t="shared" si="19"/>
        <v>#VALUE!</v>
      </c>
      <c r="H55" s="8" t="e">
        <f t="shared" si="19"/>
        <v>#VALUE!</v>
      </c>
      <c r="I55" s="8" t="e">
        <f t="shared" si="19"/>
        <v>#VALUE!</v>
      </c>
      <c r="J55" s="8" t="e">
        <f t="shared" si="19"/>
        <v>#VALUE!</v>
      </c>
      <c r="K55" s="8" t="e">
        <f t="shared" si="19"/>
        <v>#VALUE!</v>
      </c>
      <c r="L55" s="8">
        <f t="shared" si="19"/>
        <v>-1.5270000000000001</v>
      </c>
      <c r="M55" s="8">
        <f t="shared" si="19"/>
        <v>18.513000000000002</v>
      </c>
      <c r="N55" s="8">
        <f t="shared" si="19"/>
        <v>32.016000000000005</v>
      </c>
      <c r="O55" s="8">
        <f t="shared" si="19"/>
        <v>67.510999999999996</v>
      </c>
      <c r="P55" s="8">
        <f t="shared" si="19"/>
        <v>116.62100000000001</v>
      </c>
      <c r="Q55" s="8">
        <f t="shared" si="19"/>
        <v>182.29500000000002</v>
      </c>
      <c r="R55" s="8">
        <f t="shared" si="19"/>
        <v>310</v>
      </c>
      <c r="S55" s="8">
        <f t="shared" si="19"/>
        <v>486.29400000000004</v>
      </c>
      <c r="T55" s="8">
        <f t="shared" si="19"/>
        <v>551</v>
      </c>
      <c r="U55" s="8">
        <f t="shared" si="19"/>
        <v>665.89800000000002</v>
      </c>
      <c r="V55" s="23">
        <f t="shared" si="19"/>
        <v>841.67499999999995</v>
      </c>
      <c r="W55" s="24">
        <f t="shared" ca="1" si="19"/>
        <v>-294.04631041338968</v>
      </c>
      <c r="X55" s="8">
        <f t="shared" ca="1" si="19"/>
        <v>-65.079013926248024</v>
      </c>
      <c r="Y55" s="8">
        <f t="shared" ca="1" si="19"/>
        <v>-36.751021980233702</v>
      </c>
      <c r="Z55" s="8">
        <f t="shared" ca="1" si="19"/>
        <v>13.209091558592945</v>
      </c>
      <c r="AA55" s="8">
        <f t="shared" ca="1" si="19"/>
        <v>19.138383238204483</v>
      </c>
      <c r="AB55" s="8">
        <f t="shared" ca="1" si="19"/>
        <v>22.476191155420395</v>
      </c>
    </row>
    <row r="56" spans="2:28" x14ac:dyDescent="0.35">
      <c r="B56" t="s">
        <v>408</v>
      </c>
      <c r="C56" s="8" t="e">
        <f>C$55-IFERROR(C$15,0)*(1-Config!$B$25)</f>
        <v>#VALUE!</v>
      </c>
      <c r="D56" s="8" t="e">
        <f>D$55-IFERROR(D$15,0)*(1-Config!$B$25)</f>
        <v>#VALUE!</v>
      </c>
      <c r="E56" s="8" t="e">
        <f>E$55-IFERROR(E$15,0)*(1-Config!$B$25)</f>
        <v>#VALUE!</v>
      </c>
      <c r="F56" s="8" t="e">
        <f>F$55-IFERROR(F$15,0)*(1-Config!$B$25)</f>
        <v>#VALUE!</v>
      </c>
      <c r="G56" s="8" t="e">
        <f>G$55-IFERROR(G$15,0)*(1-Config!$B$25)</f>
        <v>#VALUE!</v>
      </c>
      <c r="H56" s="8" t="e">
        <f>H$55-IFERROR(H$15,0)*(1-Config!$B$25)</f>
        <v>#VALUE!</v>
      </c>
      <c r="I56" s="8" t="e">
        <f>I$55-IFERROR(I$15,0)*(1-Config!$B$25)</f>
        <v>#VALUE!</v>
      </c>
      <c r="J56" s="8" t="e">
        <f>J$55-IFERROR(J$15,0)*(1-Config!$B$25)</f>
        <v>#VALUE!</v>
      </c>
      <c r="K56" s="8" t="e">
        <f>K$55-IFERROR(K$15,0)*(1-Config!$B$25)</f>
        <v>#VALUE!</v>
      </c>
      <c r="L56" s="8">
        <f>L$55-IFERROR(L$15,0)*(1-Config!$B$25)</f>
        <v>-1.5270000000000001</v>
      </c>
      <c r="M56" s="8">
        <f>M$55-IFERROR(M$15,0)*(1-Config!$B$25)</f>
        <v>66.429749999999999</v>
      </c>
      <c r="N56" s="8">
        <f>N$55-IFERROR(N$15,0)*(1-Config!$B$25)</f>
        <v>11.103749999999998</v>
      </c>
      <c r="O56" s="8">
        <f>O$55-IFERROR(O$15,0)*(1-Config!$B$25)</f>
        <v>107.34425000000003</v>
      </c>
      <c r="P56" s="8">
        <f>P$55-IFERROR(P$15,0)*(1-Config!$B$25)</f>
        <v>158.94274999999993</v>
      </c>
      <c r="Q56" s="8">
        <f>Q$55-IFERROR(Q$15,0)*(1-Config!$B$25)</f>
        <v>281.40075000000002</v>
      </c>
      <c r="R56" s="8">
        <f>R$55-IFERROR(R$15,0)*(1-Config!$B$25)</f>
        <v>263.40324999999996</v>
      </c>
      <c r="S56" s="8">
        <f>S$55-IFERROR(S$15,0)*(1-Config!$B$25)</f>
        <v>583.34925000000021</v>
      </c>
      <c r="T56" s="8">
        <f>T$55-IFERROR(T$15,0)*(1-Config!$B$25)</f>
        <v>634.05500000000006</v>
      </c>
      <c r="U56" s="8">
        <f>U$55-IFERROR(U$15,0)*(1-Config!$B$25)</f>
        <v>723.81224999999995</v>
      </c>
      <c r="V56" s="23">
        <f>V$55-IFERROR(V$15,0)*(1-Config!$B$25)</f>
        <v>951.27624999999978</v>
      </c>
      <c r="W56" s="24">
        <f ca="1">W$55-IFERROR(W$15,0)*(1-Config!$B$25)</f>
        <v>39.811870500359248</v>
      </c>
      <c r="X56" s="8">
        <f ca="1">X$55-IFERROR(X$15,0)*(1-Config!$B$25)</f>
        <v>112.90710501561517</v>
      </c>
      <c r="Y56" s="8">
        <f ca="1">Y$55-IFERROR(Y$15,0)*(1-Config!$B$25)</f>
        <v>132.87011087219702</v>
      </c>
      <c r="Z56" s="8">
        <f ca="1">Z$55-IFERROR(Z$15,0)*(1-Config!$B$25)</f>
        <v>157.90664348355818</v>
      </c>
      <c r="AA56" s="8">
        <f ca="1">AA$55-IFERROR(AA$15,0)*(1-Config!$B$25)</f>
        <v>181.1996413941655</v>
      </c>
      <c r="AB56" s="8">
        <f ca="1">AB$55-IFERROR(AB$15,0)*(1-Config!$B$25)</f>
        <v>203.98480029009693</v>
      </c>
    </row>
    <row r="57" spans="2:28" x14ac:dyDescent="0.35">
      <c r="B57" t="s">
        <v>175</v>
      </c>
      <c r="C57" s="13" t="e">
        <f>-C$20/'Income statement'!C$7</f>
        <v>#VALUE!</v>
      </c>
      <c r="D57" s="13" t="e">
        <f>-D$20/'Income statement'!D$7</f>
        <v>#VALUE!</v>
      </c>
      <c r="E57" s="13" t="e">
        <f>-E$20/'Income statement'!E$7</f>
        <v>#VALUE!</v>
      </c>
      <c r="F57" s="13" t="e">
        <f>-F$20/'Income statement'!F$7</f>
        <v>#VALUE!</v>
      </c>
      <c r="G57" s="13" t="e">
        <f>-G$20/'Income statement'!G$7</f>
        <v>#VALUE!</v>
      </c>
      <c r="H57" s="13" t="e">
        <f>-H$20/'Income statement'!H$7</f>
        <v>#VALUE!</v>
      </c>
      <c r="I57" s="13" t="e">
        <f>-I$20/'Income statement'!I$7</f>
        <v>#VALUE!</v>
      </c>
      <c r="J57" s="13" t="e">
        <f>-J$20/'Income statement'!J$7</f>
        <v>#VALUE!</v>
      </c>
      <c r="K57" s="13" t="e">
        <f>-K$20/'Income statement'!K$7</f>
        <v>#VALUE!</v>
      </c>
      <c r="L57" s="13">
        <f>-L$20/'Income statement'!L$7</f>
        <v>1.8676483792762859E-2</v>
      </c>
      <c r="M57" s="13">
        <f>-M$20/'Income statement'!M$7</f>
        <v>4.4858897422887838E-2</v>
      </c>
      <c r="N57" s="13">
        <f>-N$20/'Income statement'!N$7</f>
        <v>3.3923696322797479E-2</v>
      </c>
      <c r="O57" s="13">
        <f>-O$20/'Income statement'!O$7</f>
        <v>3.2801565131060258E-2</v>
      </c>
      <c r="P57" s="13">
        <f>-P$20/'Income statement'!P$7</f>
        <v>4.1473389567017398E-2</v>
      </c>
      <c r="Q57" s="13">
        <f>-Q$20/'Income statement'!Q$7</f>
        <v>5.3993749413818452E-2</v>
      </c>
      <c r="R57" s="13">
        <f>-R$20/'Income statement'!R$7</f>
        <v>8.8586216094340781E-2</v>
      </c>
      <c r="S57" s="13">
        <f>-S$20/'Income statement'!S$7</f>
        <v>4.5804857133544007E-2</v>
      </c>
      <c r="T57" s="13">
        <f>-T$20/'Income statement'!T$7</f>
        <v>5.3340262835159191E-2</v>
      </c>
      <c r="U57" s="13">
        <f>-U$20/'Income statement'!U$7</f>
        <v>2.4042710624216389E-2</v>
      </c>
      <c r="V57" s="33">
        <f>-V$20/'Income statement'!V$7</f>
        <v>4.0181918504796445E-2</v>
      </c>
      <c r="W57" s="40"/>
      <c r="X57" s="38"/>
      <c r="Y57" s="38"/>
      <c r="Z57" s="38"/>
      <c r="AA57" s="38"/>
      <c r="AB57" s="38"/>
    </row>
    <row r="58" spans="2:28" x14ac:dyDescent="0.35">
      <c r="B58" t="s">
        <v>176</v>
      </c>
      <c r="C58" s="13" t="e">
        <f>-C$21/'Income statement'!C$7</f>
        <v>#VALUE!</v>
      </c>
      <c r="D58" s="13" t="e">
        <f>-D$21/'Income statement'!D$7</f>
        <v>#VALUE!</v>
      </c>
      <c r="E58" s="13" t="e">
        <f>-E$21/'Income statement'!E$7</f>
        <v>#VALUE!</v>
      </c>
      <c r="F58" s="13" t="e">
        <f>-F$21/'Income statement'!F$7</f>
        <v>#VALUE!</v>
      </c>
      <c r="G58" s="13" t="e">
        <f>-G$21/'Income statement'!G$7</f>
        <v>#VALUE!</v>
      </c>
      <c r="H58" s="13" t="e">
        <f>-H$21/'Income statement'!H$7</f>
        <v>#VALUE!</v>
      </c>
      <c r="I58" s="13" t="e">
        <f>-I$21/'Income statement'!I$7</f>
        <v>#VALUE!</v>
      </c>
      <c r="J58" s="13" t="e">
        <f>-J$21/'Income statement'!J$7</f>
        <v>#VALUE!</v>
      </c>
      <c r="K58" s="13" t="e">
        <f>-K$21/'Income statement'!K$7</f>
        <v>#VALUE!</v>
      </c>
      <c r="L58" s="13">
        <f>-L$21/'Income statement'!L$7</f>
        <v>1.8519349914698752E-2</v>
      </c>
      <c r="M58" s="13">
        <f>-M$21/'Income statement'!M$7</f>
        <v>1.5737355004636352E-2</v>
      </c>
      <c r="N58" s="13">
        <f>-N$21/'Income statement'!N$7</f>
        <v>1.1516513408828836E-2</v>
      </c>
      <c r="O58" s="13">
        <f>-O$21/'Income statement'!O$7</f>
        <v>9.5841566169289835E-3</v>
      </c>
      <c r="P58" s="13">
        <f>-P$21/'Income statement'!P$7</f>
        <v>1.130540086403768E-2</v>
      </c>
      <c r="Q58" s="13">
        <f>-Q$21/'Income statement'!Q$7</f>
        <v>7.4290001785017349E-3</v>
      </c>
      <c r="R58" s="13">
        <f>-R$21/'Income statement'!R$7</f>
        <v>7.2401448268190364E-3</v>
      </c>
      <c r="S58" s="13">
        <f>-S$21/'Income statement'!S$7</f>
        <v>4.3202194460858507E-3</v>
      </c>
      <c r="T58" s="13">
        <f>-T$21/'Income statement'!T$7</f>
        <v>4.896073317509562E-3</v>
      </c>
      <c r="U58" s="13">
        <f>-U$21/'Income statement'!U$7</f>
        <v>4.228927301502477E-3</v>
      </c>
      <c r="V58" s="33">
        <f>-V$21/'Income statement'!V$7</f>
        <v>3.6092474285543659E-3</v>
      </c>
      <c r="W58" s="40"/>
      <c r="X58" s="38"/>
      <c r="Y58" s="38"/>
      <c r="Z58" s="38"/>
      <c r="AA58" s="38"/>
      <c r="AB58" s="38"/>
    </row>
    <row r="59" spans="2:28" x14ac:dyDescent="0.35">
      <c r="B59" t="s">
        <v>177</v>
      </c>
      <c r="C59" s="13" t="e">
        <f>C$56/'Income statement'!C$7</f>
        <v>#VALUE!</v>
      </c>
      <c r="D59" s="13" t="e">
        <f>D$56/'Income statement'!D$7</f>
        <v>#VALUE!</v>
      </c>
      <c r="E59" s="13" t="e">
        <f>E$56/'Income statement'!E$7</f>
        <v>#VALUE!</v>
      </c>
      <c r="F59" s="13" t="e">
        <f>F$56/'Income statement'!F$7</f>
        <v>#VALUE!</v>
      </c>
      <c r="G59" s="13" t="e">
        <f>G$56/'Income statement'!G$7</f>
        <v>#VALUE!</v>
      </c>
      <c r="H59" s="13" t="e">
        <f>H$56/'Income statement'!H$7</f>
        <v>#VALUE!</v>
      </c>
      <c r="I59" s="13" t="e">
        <f>I$56/'Income statement'!I$7</f>
        <v>#VALUE!</v>
      </c>
      <c r="J59" s="13" t="e">
        <f>J$56/'Income statement'!J$7</f>
        <v>#VALUE!</v>
      </c>
      <c r="K59" s="13" t="e">
        <f>K$56/'Income statement'!K$7</f>
        <v>#VALUE!</v>
      </c>
      <c r="L59" s="13">
        <f>L$56/'Income statement'!L$7</f>
        <v>-3.4277633114842422E-2</v>
      </c>
      <c r="M59" s="13">
        <f>M$56/'Income statement'!M$7</f>
        <v>0.58111648616967304</v>
      </c>
      <c r="N59" s="13">
        <f>N$56/'Income statement'!N$7</f>
        <v>5.471822240619733E-2</v>
      </c>
      <c r="O59" s="13">
        <f>O$56/'Income statement'!O$7</f>
        <v>0.34827491669830035</v>
      </c>
      <c r="P59" s="13">
        <f>P$56/'Income statement'!P$7</f>
        <v>0.3330080621168503</v>
      </c>
      <c r="Q59" s="13">
        <f>Q$56/'Income statement'!Q$7</f>
        <v>0.42568239095510535</v>
      </c>
      <c r="R59" s="13">
        <f>R$56/'Income statement'!R$7</f>
        <v>0.31506322118863722</v>
      </c>
      <c r="S59" s="13">
        <f>S$56/'Income statement'!S$7</f>
        <v>0.48755983240657719</v>
      </c>
      <c r="T59" s="13">
        <f>T$56/'Income statement'!T$7</f>
        <v>0.40186145855450173</v>
      </c>
      <c r="U59" s="13">
        <f>U$56/'Income statement'!U$7</f>
        <v>0.37192580621955479</v>
      </c>
      <c r="V59" s="33">
        <f>V$56/'Income statement'!V$7</f>
        <v>0.38909693553460328</v>
      </c>
      <c r="W59" s="34">
        <f ca="1">W$56/'Income statement'!W$7</f>
        <v>1.2598557007586232E-2</v>
      </c>
      <c r="X59" s="13">
        <f ca="1">X$56/'Income statement'!X$7</f>
        <v>2.9592436798846142E-2</v>
      </c>
      <c r="Y59" s="13">
        <f ca="1">Y$56/'Income statement'!Y$7</f>
        <v>2.9925882587489842E-2</v>
      </c>
      <c r="Z59" s="13">
        <f ca="1">Z$56/'Income statement'!Z$7</f>
        <v>3.1754263898713948E-2</v>
      </c>
      <c r="AA59" s="13">
        <f ca="1">AA$56/'Income statement'!AA$7</f>
        <v>3.253426192803064E-2</v>
      </c>
      <c r="AB59" s="13">
        <f ca="1">AB$56/'Income statement'!AB$7</f>
        <v>3.270117892634726E-2</v>
      </c>
    </row>
    <row r="60" spans="2:28" x14ac:dyDescent="0.35">
      <c r="B60" t="s">
        <v>178</v>
      </c>
      <c r="C60" s="13" t="e">
        <f>C$56/C$11</f>
        <v>#VALUE!</v>
      </c>
      <c r="D60" s="13" t="e">
        <f t="shared" ref="D60:AB60" si="20">D$56/D$11</f>
        <v>#VALUE!</v>
      </c>
      <c r="E60" s="13" t="e">
        <f t="shared" si="20"/>
        <v>#VALUE!</v>
      </c>
      <c r="F60" s="13" t="e">
        <f t="shared" si="20"/>
        <v>#VALUE!</v>
      </c>
      <c r="G60" s="13" t="e">
        <f t="shared" si="20"/>
        <v>#VALUE!</v>
      </c>
      <c r="H60" s="13" t="e">
        <f t="shared" si="20"/>
        <v>#VALUE!</v>
      </c>
      <c r="I60" s="13" t="e">
        <f t="shared" si="20"/>
        <v>#VALUE!</v>
      </c>
      <c r="J60" s="13" t="e">
        <f t="shared" si="20"/>
        <v>#VALUE!</v>
      </c>
      <c r="K60" s="13" t="e">
        <f t="shared" si="20"/>
        <v>#VALUE!</v>
      </c>
      <c r="L60" s="13" t="e">
        <f t="shared" si="20"/>
        <v>#DIV/0!</v>
      </c>
      <c r="M60" s="13">
        <f t="shared" si="20"/>
        <v>7.4943310018050546</v>
      </c>
      <c r="N60" s="13">
        <f t="shared" si="20"/>
        <v>-0.41545066786395773</v>
      </c>
      <c r="O60" s="13">
        <f t="shared" si="20"/>
        <v>2.1131589826371124</v>
      </c>
      <c r="P60" s="13">
        <f t="shared" si="20"/>
        <v>1.8032987292943041</v>
      </c>
      <c r="Q60" s="13">
        <f t="shared" si="20"/>
        <v>2.5979130892372462</v>
      </c>
      <c r="R60" s="13">
        <f t="shared" si="20"/>
        <v>1.0870192764023983</v>
      </c>
      <c r="S60" s="13">
        <f t="shared" si="20"/>
        <v>4.2344714072095364</v>
      </c>
      <c r="T60" s="13">
        <f t="shared" si="20"/>
        <v>11.877025381661516</v>
      </c>
      <c r="U60" s="13">
        <f t="shared" si="20"/>
        <v>4.0449997205767296</v>
      </c>
      <c r="V60" s="33">
        <f t="shared" si="20"/>
        <v>2.4200822487254365</v>
      </c>
      <c r="W60" s="34">
        <f t="shared" ca="1" si="20"/>
        <v>0.16853913134996745</v>
      </c>
      <c r="X60" s="13">
        <f t="shared" ca="1" si="20"/>
        <v>0.43496060065377296</v>
      </c>
      <c r="Y60" s="13">
        <f t="shared" ca="1" si="20"/>
        <v>0.45847930437464252</v>
      </c>
      <c r="Z60" s="13">
        <f t="shared" ca="1" si="20"/>
        <v>0.49925388261652398</v>
      </c>
      <c r="AA60" s="13">
        <f t="shared" ca="1" si="20"/>
        <v>0.52075774529318264</v>
      </c>
      <c r="AB60" s="13">
        <f t="shared" ca="1" si="20"/>
        <v>0.53178743466891876</v>
      </c>
    </row>
    <row r="62" spans="2:28" ht="20" thickBot="1" x14ac:dyDescent="0.5">
      <c r="B62" s="12" t="s">
        <v>326</v>
      </c>
    </row>
    <row r="63" spans="2:28" ht="15" thickTop="1" x14ac:dyDescent="0.35">
      <c r="B63" t="s">
        <v>185</v>
      </c>
      <c r="C63" s="45" t="e" cm="1">
        <f t="array" ref="C63:V63">_xlfn.ANCHORARRAY('Income statement'!$C$74)</f>
        <v>#VALUE!</v>
      </c>
      <c r="D63" s="45" t="e">
        <v>#VALUE!</v>
      </c>
      <c r="E63" s="45" t="e">
        <v>#VALUE!</v>
      </c>
      <c r="F63" s="45" t="e">
        <v>#VALUE!</v>
      </c>
      <c r="G63" s="45" t="e">
        <v>#VALUE!</v>
      </c>
      <c r="H63" s="45" t="e">
        <v>#VALUE!</v>
      </c>
      <c r="I63" s="45" t="e">
        <v>#VALUE!</v>
      </c>
      <c r="J63" s="45" t="e">
        <v>#VALUE!</v>
      </c>
      <c r="K63" s="45" t="e">
        <v>#VALUE!</v>
      </c>
      <c r="L63" s="45">
        <v>0.68</v>
      </c>
      <c r="M63" s="45">
        <v>1.8280000000000001</v>
      </c>
      <c r="N63" s="45">
        <v>3.798</v>
      </c>
      <c r="O63" s="45">
        <v>7.2089999999999996</v>
      </c>
      <c r="P63" s="45">
        <v>11.3</v>
      </c>
      <c r="Q63" s="45">
        <v>42.293999999999997</v>
      </c>
      <c r="R63" s="45">
        <v>61.901000000000003</v>
      </c>
      <c r="S63" s="45">
        <v>82.534000000000006</v>
      </c>
      <c r="T63" s="45">
        <v>54.424999999999997</v>
      </c>
      <c r="U63" s="45">
        <v>80.418000000000006</v>
      </c>
      <c r="V63" s="45">
        <v>87.49</v>
      </c>
    </row>
    <row r="65" spans="3:14" x14ac:dyDescent="0.35">
      <c r="C65" s="1" t="s">
        <v>327</v>
      </c>
      <c r="D65" s="154" t="s">
        <v>328</v>
      </c>
      <c r="E65" s="154"/>
      <c r="F65" s="154"/>
      <c r="G65" s="154"/>
      <c r="H65" s="154" t="s">
        <v>329</v>
      </c>
      <c r="I65" s="154"/>
      <c r="J65" s="154"/>
      <c r="K65" s="154"/>
      <c r="L65" s="1" t="s">
        <v>330</v>
      </c>
    </row>
    <row r="66" spans="3:14" x14ac:dyDescent="0.35">
      <c r="C66" s="1"/>
      <c r="D66" s="80" t="str">
        <f t="shared" ref="D66:K66" si="21">TEXT(S$10, "yyyy-mm-dd")</f>
        <v>2021-12-31</v>
      </c>
      <c r="E66" s="80" t="str">
        <f t="shared" si="21"/>
        <v>2022-12-31</v>
      </c>
      <c r="F66" s="80" t="str">
        <f t="shared" si="21"/>
        <v>2023-12-31</v>
      </c>
      <c r="G66" s="80" t="str">
        <f t="shared" si="21"/>
        <v>2024-12-31</v>
      </c>
      <c r="H66" s="80" t="str">
        <f t="shared" si="21"/>
        <v>2025-12-31</v>
      </c>
      <c r="I66" s="80" t="str">
        <f t="shared" si="21"/>
        <v>2025-12-31</v>
      </c>
      <c r="J66" s="80" t="str">
        <f t="shared" si="21"/>
        <v>2025-12-31</v>
      </c>
      <c r="K66" s="80" t="str">
        <f t="shared" si="21"/>
        <v>2025-12-31</v>
      </c>
    </row>
    <row r="67" spans="3:14" x14ac:dyDescent="0.35">
      <c r="C67" cm="1">
        <f t="array" ref="C67:C76">_xlfn.SEQUENCE(10)</f>
        <v>1</v>
      </c>
      <c r="D67" s="65" cm="1">
        <f t="array" aca="1" ref="D67:G67" ca="1">_xlfn.BYCOL($S$48:$V$48,_xlfn.LAMBDA(_xlpm.c,AVERAGE(OFFSET(_xlpm.c,,,1,-MIN(V$6,$C67)))))</f>
        <v>59.972999999999999</v>
      </c>
      <c r="E67" s="65">
        <f ca="1"/>
        <v>91.884999999999991</v>
      </c>
      <c r="F67" s="65">
        <f ca="1"/>
        <v>55.019999999999996</v>
      </c>
      <c r="G67" s="65">
        <f ca="1"/>
        <v>107.062</v>
      </c>
      <c r="H67" s="65" cm="1">
        <f t="array" aca="1" ref="H67:K67" ca="1">_xlfn.ANCHORARRAY(D67)/$S$63:$V$63</f>
        <v>0.72664598831996507</v>
      </c>
      <c r="I67" s="65">
        <f ca="1"/>
        <v>1.6882866329811668</v>
      </c>
      <c r="J67" s="65">
        <f ca="1"/>
        <v>0.68417518466015059</v>
      </c>
      <c r="K67" s="65">
        <f ca="1"/>
        <v>1.2237055663504401</v>
      </c>
      <c r="L67" s="2" cm="1">
        <f t="array" aca="1" ref="L67" ca="1">IFERROR(AVEDEV(LN(_xlfn._xlws.FILTER(_xlfn.ANCHORARRAY($H67),NOT(ISERROR(_xlfn.ANCHORARRAY($H67)))))),"-")</f>
        <v>0.3561137344382872</v>
      </c>
      <c r="N67" s="2"/>
    </row>
    <row r="68" spans="3:14" x14ac:dyDescent="0.35">
      <c r="C68">
        <v>2</v>
      </c>
      <c r="D68" s="65" cm="1">
        <f t="array" aca="1" ref="D68:G68" ca="1">_xlfn.BYCOL($S$48:$V$48,_xlfn.LAMBDA(_xlpm.c,AVERAGE(OFFSET(_xlpm.c,,,1,-MIN(V$6,$C68)))))</f>
        <v>70.043499999999995</v>
      </c>
      <c r="E68" s="65">
        <f ca="1"/>
        <v>75.929000000000002</v>
      </c>
      <c r="F68" s="65">
        <f ca="1"/>
        <v>73.452499999999986</v>
      </c>
      <c r="G68" s="65">
        <f ca="1"/>
        <v>81.040999999999997</v>
      </c>
      <c r="H68" s="65" cm="1">
        <f t="array" aca="1" ref="H68:K68" ca="1">_xlfn.ANCHORARRAY(D68)/$S$63:$V$63</f>
        <v>0.84866236944774265</v>
      </c>
      <c r="I68" s="65">
        <f ca="1"/>
        <v>1.3951125401929261</v>
      </c>
      <c r="J68" s="65">
        <f ca="1"/>
        <v>0.91338381954288816</v>
      </c>
      <c r="K68" s="65">
        <f ca="1"/>
        <v>0.92628871871070984</v>
      </c>
      <c r="L68" s="2" cm="1">
        <f t="array" aca="1" ref="L68" ca="1">IFERROR(AVEDEV(LN(_xlfn._xlws.FILTER(_xlfn.ANCHORARRAY($H68),NOT(ISERROR(_xlfn.ANCHORARRAY($H68)))))),"-")</f>
        <v>0.16627343807637837</v>
      </c>
    </row>
    <row r="69" spans="3:14" x14ac:dyDescent="0.35">
      <c r="C69">
        <v>3</v>
      </c>
      <c r="D69" s="65" cm="1">
        <f t="array" aca="1" ref="D69:G69" ca="1">_xlfn.BYCOL($S$48:$V$48,_xlfn.LAMBDA(_xlpm.c,AVERAGE(OFFSET(_xlpm.c,,,1,-MIN(V$6,$C69)))))</f>
        <v>60.230333333333334</v>
      </c>
      <c r="E69" s="65">
        <f ca="1"/>
        <v>77.323999999999998</v>
      </c>
      <c r="F69" s="65">
        <f ca="1"/>
        <v>68.959333333333333</v>
      </c>
      <c r="G69" s="65">
        <f ca="1"/>
        <v>84.655666666666662</v>
      </c>
      <c r="H69" s="65" cm="1">
        <f t="array" aca="1" ref="H69:K69" ca="1">_xlfn.ANCHORARRAY(D69)/$S$63:$V$63</f>
        <v>0.72976389528355989</v>
      </c>
      <c r="I69" s="65">
        <f ca="1"/>
        <v>1.4207441433164907</v>
      </c>
      <c r="J69" s="65">
        <f ca="1"/>
        <v>0.85751117079924055</v>
      </c>
      <c r="K69" s="65">
        <f ca="1"/>
        <v>0.96760391663809198</v>
      </c>
      <c r="L69" s="2" cm="1">
        <f t="array" aca="1" ref="L69" ca="1">IFERROR(AVEDEV(LN(_xlfn._xlws.FILTER(_xlfn.ANCHORARRAY($H69),NOT(ISERROR(_xlfn.ANCHORARRAY($H69)))))),"-")</f>
        <v>0.19675090689993813</v>
      </c>
    </row>
    <row r="70" spans="3:14" x14ac:dyDescent="0.35">
      <c r="C70">
        <v>4</v>
      </c>
      <c r="D70" s="65" cm="1">
        <f t="array" aca="1" ref="D70:G70" ca="1">_xlfn.BYCOL($S$48:$V$48,_xlfn.LAMBDA(_xlpm.c,AVERAGE(OFFSET(_xlpm.c,,,1,-MIN(V$6,$C70)))))</f>
        <v>51.470500000000001</v>
      </c>
      <c r="E70" s="65">
        <f ca="1"/>
        <v>68.144000000000005</v>
      </c>
      <c r="F70" s="65">
        <f ca="1"/>
        <v>71.74799999999999</v>
      </c>
      <c r="G70" s="65">
        <f ca="1"/>
        <v>78.484999999999999</v>
      </c>
      <c r="H70" s="65" cm="1">
        <f t="array" aca="1" ref="H70:K70" ca="1">_xlfn.ANCHORARRAY(D70)/$S$63:$V$63</f>
        <v>0.62362783822424694</v>
      </c>
      <c r="I70" s="65">
        <f ca="1"/>
        <v>1.2520716582452918</v>
      </c>
      <c r="J70" s="65">
        <f ca="1"/>
        <v>0.89218831604864568</v>
      </c>
      <c r="K70" s="65">
        <f ca="1"/>
        <v>0.89707395130872103</v>
      </c>
      <c r="L70" s="2" cm="1">
        <f t="array" aca="1" ref="L70" ca="1">IFERROR(AVEDEV(LN(_xlfn._xlws.FILTER(_xlfn.ANCHORARRAY($H70),NOT(ISERROR(_xlfn.ANCHORARRAY($H70)))))),"-")</f>
        <v>0.17733862269391959</v>
      </c>
    </row>
    <row r="71" spans="3:14" x14ac:dyDescent="0.35">
      <c r="C71">
        <v>5</v>
      </c>
      <c r="D71" s="65" cm="1">
        <f t="array" aca="1" ref="D71:G71" ca="1">_xlfn.BYCOL($S$48:$V$48,_xlfn.LAMBDA(_xlpm.c,AVERAGE(OFFSET(_xlpm.c,,,1,-MIN(V$6,$C71)))))</f>
        <v>43.789200000000008</v>
      </c>
      <c r="E71" s="65">
        <f ca="1"/>
        <v>59.553399999999996</v>
      </c>
      <c r="F71" s="65">
        <f ca="1"/>
        <v>65.519199999999998</v>
      </c>
      <c r="G71" s="65">
        <f ca="1"/>
        <v>78.8108</v>
      </c>
      <c r="H71" s="65" cm="1">
        <f t="array" aca="1" ref="H71:K71" ca="1">_xlfn.ANCHORARRAY(D71)/$S$63:$V$63</f>
        <v>0.53055952698281927</v>
      </c>
      <c r="I71" s="65">
        <f ca="1"/>
        <v>1.0942287551676619</v>
      </c>
      <c r="J71" s="65">
        <f ca="1"/>
        <v>0.81473301997065328</v>
      </c>
      <c r="K71" s="65">
        <f ca="1"/>
        <v>0.90079780546348165</v>
      </c>
      <c r="L71" s="2" cm="1">
        <f t="array" aca="1" ref="L71" ca="1">IFERROR(AVEDEV(LN(_xlfn._xlws.FILTER(_xlfn.ANCHORARRAY($H71),NOT(ISERROR(_xlfn.ANCHORARRAY($H71)))))),"-")</f>
        <v>0.21026873448892142</v>
      </c>
    </row>
    <row r="72" spans="3:14" x14ac:dyDescent="0.35">
      <c r="C72">
        <v>6</v>
      </c>
      <c r="D72" s="65" cm="1">
        <f t="array" aca="1" ref="D72:G72" ca="1">_xlfn.BYCOL($S$48:$V$48,_xlfn.LAMBDA(_xlpm.c,AVERAGE(OFFSET(_xlpm.c,,,1,-MIN(V$6,$C72)))))</f>
        <v>38.027833333333341</v>
      </c>
      <c r="E72" s="65">
        <f ca="1"/>
        <v>51.805166666666672</v>
      </c>
      <c r="F72" s="65">
        <f ca="1"/>
        <v>58.79783333333333</v>
      </c>
      <c r="G72" s="65">
        <f ca="1"/>
        <v>72.442999999999998</v>
      </c>
      <c r="H72" s="65" cm="1">
        <f t="array" aca="1" ref="H72:K72" ca="1">_xlfn.ANCHORARRAY(D72)/$S$63:$V$63</f>
        <v>0.46075354803273</v>
      </c>
      <c r="I72" s="65">
        <f ca="1"/>
        <v>0.95186342060940143</v>
      </c>
      <c r="J72" s="65">
        <f ca="1"/>
        <v>0.73115264410123759</v>
      </c>
      <c r="K72" s="65">
        <f ca="1"/>
        <v>0.82801463024345645</v>
      </c>
      <c r="L72" s="2" cm="1">
        <f t="array" aca="1" ref="L72" ca="1">IFERROR(AVEDEV(LN(_xlfn._xlws.FILTER(_xlfn.ANCHORARRAY($H72),NOT(ISERROR(_xlfn.ANCHORARRAY($H72)))))),"-")</f>
        <v>0.22168559306624108</v>
      </c>
    </row>
    <row r="73" spans="3:14" x14ac:dyDescent="0.35">
      <c r="C73">
        <v>7</v>
      </c>
      <c r="D73" s="65" cm="1">
        <f t="array" aca="1" ref="D73:G73" ca="1">_xlfn.BYCOL($S$48:$V$48,_xlfn.LAMBDA(_xlpm.c,AVERAGE(OFFSET(_xlpm.c,,,1,-MIN(V$6,$C73)))))</f>
        <v>33.584857142857139</v>
      </c>
      <c r="E73" s="65">
        <f ca="1"/>
        <v>45.721714285714292</v>
      </c>
      <c r="F73" s="65">
        <f ca="1"/>
        <v>52.264428571428574</v>
      </c>
      <c r="G73" s="65">
        <f ca="1"/>
        <v>65.692714285714288</v>
      </c>
      <c r="H73" s="65" cm="1">
        <f t="array" aca="1" ref="H73:K73" ca="1">_xlfn.ANCHORARRAY(D73)/$S$63:$V$63</f>
        <v>0.40692147651703708</v>
      </c>
      <c r="I73" s="65">
        <f ca="1"/>
        <v>0.8400866198569461</v>
      </c>
      <c r="J73" s="65">
        <f ca="1"/>
        <v>0.64990957958950202</v>
      </c>
      <c r="K73" s="65">
        <f ca="1"/>
        <v>0.75085969008703046</v>
      </c>
      <c r="L73" s="2" cm="1">
        <f t="array" aca="1" ref="L73" ca="1">IFERROR(AVEDEV(LN(_xlfn._xlws.FILTER(_xlfn.ANCHORARRAY($H73),NOT(ISERROR(_xlfn.ANCHORARRAY($H73)))))),"-")</f>
        <v>0.22571204381324728</v>
      </c>
    </row>
    <row r="74" spans="3:14" x14ac:dyDescent="0.35">
      <c r="C74">
        <v>8</v>
      </c>
      <c r="D74" s="65" cm="1">
        <f t="array" aca="1" ref="D74:G74" ca="1">_xlfn.BYCOL($S$48:$V$48,_xlfn.LAMBDA(_xlpm.c,AVERAGE(OFFSET(_xlpm.c,,,1,-MIN(V$6,$C74)))))</f>
        <v>29.593875000000004</v>
      </c>
      <c r="E74" s="65">
        <f ca="1"/>
        <v>40.872374999999998</v>
      </c>
      <c r="F74" s="65">
        <f ca="1"/>
        <v>46.884</v>
      </c>
      <c r="G74" s="65">
        <f ca="1"/>
        <v>59.114125000000001</v>
      </c>
      <c r="H74" s="65" cm="1">
        <f t="array" aca="1" ref="H74:K74" ca="1">_xlfn.ANCHORARRAY(D74)/$S$63:$V$63</f>
        <v>0.35856586376523619</v>
      </c>
      <c r="I74" s="65">
        <f ca="1"/>
        <v>0.75098530087276072</v>
      </c>
      <c r="J74" s="65">
        <f ca="1"/>
        <v>0.58300380511825711</v>
      </c>
      <c r="K74" s="65">
        <f ca="1"/>
        <v>0.67566721911075556</v>
      </c>
      <c r="L74" s="2" cm="1">
        <f t="array" aca="1" ref="L74" ca="1">IFERROR(AVEDEV(LN(_xlfn._xlws.FILTER(_xlfn.ANCHORARRAY($H74),NOT(ISERROR(_xlfn.ANCHORARRAY($H74)))))),"-")</f>
        <v>0.23236792208160101</v>
      </c>
    </row>
    <row r="75" spans="3:14" x14ac:dyDescent="0.35">
      <c r="C75">
        <v>9</v>
      </c>
      <c r="D75" s="65" t="e" cm="1">
        <f t="array" aca="1" ref="D75:G75" ca="1">_xlfn.BYCOL($S$48:$V$48,_xlfn.LAMBDA(_xlpm.c,AVERAGE(OFFSET(_xlpm.c,,,1,-MIN(V$6,$C75)))))</f>
        <v>#VALUE!</v>
      </c>
      <c r="E75" s="65">
        <f ca="1"/>
        <v>36.515111111111111</v>
      </c>
      <c r="F75" s="65">
        <f ca="1"/>
        <v>42.444333333333333</v>
      </c>
      <c r="G75" s="65">
        <f ca="1"/>
        <v>53.570444444444448</v>
      </c>
      <c r="H75" s="65" t="e" cm="1">
        <f t="array" aca="1" ref="H75:K75" ca="1">_xlfn.ANCHORARRAY(D75)/$S$63:$V$63</f>
        <v>#VALUE!</v>
      </c>
      <c r="I75" s="65">
        <f ca="1"/>
        <v>0.67092533047516978</v>
      </c>
      <c r="J75" s="65">
        <f ca="1"/>
        <v>0.52779643031825374</v>
      </c>
      <c r="K75" s="65">
        <f ca="1"/>
        <v>0.61230362835117669</v>
      </c>
      <c r="L75" s="2" cm="1">
        <f t="array" aca="1" ref="L75" ca="1">IFERROR(AVEDEV(LN(_xlfn._xlws.FILTER(_xlfn.ANCHORARRAY($H75),NOT(ISERROR(_xlfn.ANCHORARRAY($H75)))))),"-")</f>
        <v>8.6325513913609361E-2</v>
      </c>
    </row>
    <row r="76" spans="3:14" x14ac:dyDescent="0.35">
      <c r="C76">
        <v>10</v>
      </c>
      <c r="D76" s="65" t="e" cm="1">
        <f t="array" aca="1" ref="D76:G76" ca="1">_xlfn.BYCOL($S$48:$V$48,_xlfn.LAMBDA(_xlpm.c,AVERAGE(OFFSET(_xlpm.c,,,1,-MIN(V$6,$C76)))))</f>
        <v>#VALUE!</v>
      </c>
      <c r="E76" s="65" t="e">
        <f ca="1"/>
        <v>#VALUE!</v>
      </c>
      <c r="F76" s="65">
        <f ca="1"/>
        <v>38.365600000000001</v>
      </c>
      <c r="G76" s="65">
        <f ca="1"/>
        <v>48.906099999999995</v>
      </c>
      <c r="H76" s="65" t="e" cm="1">
        <f t="array" aca="1" ref="H76:K76" ca="1">_xlfn.ANCHORARRAY(D76)/$S$63:$V$63</f>
        <v>#VALUE!</v>
      </c>
      <c r="I76" s="65" t="e">
        <f ca="1"/>
        <v>#VALUE!</v>
      </c>
      <c r="J76" s="65">
        <f ca="1"/>
        <v>0.47707727125767863</v>
      </c>
      <c r="K76" s="65">
        <f ca="1"/>
        <v>0.55899074179906272</v>
      </c>
      <c r="L76" s="2" cm="1">
        <f t="array" aca="1" ref="L76" ca="1">IFERROR(AVEDEV(LN(_xlfn._xlws.FILTER(_xlfn.ANCHORARRAY($H76),NOT(ISERROR(_xlfn.ANCHORARRAY($H76)))))),"-")</f>
        <v>7.9227219460773768E-2</v>
      </c>
    </row>
  </sheetData>
  <mergeCells count="2">
    <mergeCell ref="D65:G65"/>
    <mergeCell ref="H65:K65"/>
  </mergeCell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E2F10-A8A7-4C8C-B43A-C49DDAD2E789}">
  <sheetPr codeName="Sheet11">
    <tabColor theme="8" tint="0.79998168889431442"/>
  </sheetPr>
  <dimension ref="A1:AB48"/>
  <sheetViews>
    <sheetView showGridLines="0" zoomScale="85" zoomScaleNormal="85" workbookViewId="0">
      <pane xSplit="2" ySplit="1" topLeftCell="C6" activePane="bottomRight" state="frozen"/>
      <selection activeCell="B61" sqref="B61"/>
      <selection pane="topRight" activeCell="B61" sqref="B61"/>
      <selection pane="bottomLeft" activeCell="B61" sqref="B61"/>
      <selection pane="bottomRight" activeCell="C24" sqref="C24"/>
    </sheetView>
  </sheetViews>
  <sheetFormatPr defaultRowHeight="14.5" outlineLevelCol="1" x14ac:dyDescent="0.35"/>
  <cols>
    <col min="1" max="1" width="17.453125" style="58" customWidth="1" outlineLevel="1"/>
    <col min="2" max="2" width="33" bestFit="1" customWidth="1"/>
    <col min="3" max="3" width="12.7265625" bestFit="1" customWidth="1"/>
    <col min="4" max="28" width="10.81640625" bestFit="1" customWidth="1"/>
  </cols>
  <sheetData>
    <row r="1" spans="2:6" ht="23.5" x14ac:dyDescent="0.55000000000000004">
      <c r="B1" s="5" t="str">
        <f>'Start Here'!$H$5</f>
        <v>Trade Desk, Inc. Class A</v>
      </c>
    </row>
    <row r="2" spans="2:6" ht="20" thickBot="1" x14ac:dyDescent="0.5">
      <c r="B2" s="12" t="str" cm="1">
        <f t="array" aca="1" ref="B2" ca="1">_xlfn.TEXTAFTER(CELL("filename"), "]")</f>
        <v>Raw daily returns</v>
      </c>
    </row>
    <row r="3" spans="2:6" ht="15" thickTop="1" x14ac:dyDescent="0.35"/>
    <row r="5" spans="2:6" ht="17.5" thickBot="1" x14ac:dyDescent="0.45">
      <c r="B5" s="14" t="s">
        <v>301</v>
      </c>
    </row>
    <row r="6" spans="2:6" ht="15" thickTop="1" x14ac:dyDescent="0.35">
      <c r="C6" s="155" t="s">
        <v>296</v>
      </c>
      <c r="D6" s="155"/>
      <c r="E6" s="87" t="s">
        <v>304</v>
      </c>
    </row>
    <row r="7" spans="2:6" x14ac:dyDescent="0.35">
      <c r="C7" s="85" t="s">
        <v>297</v>
      </c>
      <c r="D7" s="85" t="s">
        <v>298</v>
      </c>
      <c r="E7" s="84"/>
    </row>
    <row r="8" spans="2:6" x14ac:dyDescent="0.35">
      <c r="B8" s="82" t="s">
        <v>299</v>
      </c>
      <c r="C8" s="16">
        <f>1/13</f>
        <v>7.6923076923076927E-2</v>
      </c>
      <c r="D8" s="98">
        <v>2</v>
      </c>
      <c r="E8" s="97">
        <v>0.5</v>
      </c>
      <c r="F8" t="s">
        <v>374</v>
      </c>
    </row>
    <row r="9" spans="2:6" x14ac:dyDescent="0.35">
      <c r="B9" s="7" t="s">
        <v>272</v>
      </c>
      <c r="C9" s="16">
        <v>7.0000000000000007E-2</v>
      </c>
      <c r="D9" s="98">
        <v>2</v>
      </c>
      <c r="E9" s="97">
        <v>0.25</v>
      </c>
      <c r="F9" t="s">
        <v>374</v>
      </c>
    </row>
    <row r="10" spans="2:6" x14ac:dyDescent="0.35">
      <c r="B10" s="7" t="s">
        <v>300</v>
      </c>
      <c r="C10" s="16">
        <v>0.08</v>
      </c>
      <c r="D10" s="98">
        <v>10</v>
      </c>
      <c r="E10" s="97">
        <v>0.25</v>
      </c>
      <c r="F10" t="s">
        <v>375</v>
      </c>
    </row>
    <row r="11" spans="2:6" x14ac:dyDescent="0.35">
      <c r="B11" s="7"/>
      <c r="C11" s="13"/>
      <c r="D11" s="3"/>
      <c r="E11" s="2"/>
    </row>
    <row r="12" spans="2:6" x14ac:dyDescent="0.35">
      <c r="B12" s="7" t="s">
        <v>333</v>
      </c>
      <c r="C12" s="97">
        <f>LN(1-10%)</f>
        <v>-0.10536051565782628</v>
      </c>
      <c r="D12" s="3"/>
      <c r="E12" s="2"/>
    </row>
    <row r="13" spans="2:6" x14ac:dyDescent="0.35">
      <c r="B13" s="7" t="s">
        <v>332</v>
      </c>
      <c r="C13" s="97">
        <f>LN(1+15%)</f>
        <v>0.13976194237515863</v>
      </c>
    </row>
    <row r="15" spans="2:6" ht="17.5" thickBot="1" x14ac:dyDescent="0.45">
      <c r="B15" s="14" t="s">
        <v>368</v>
      </c>
    </row>
    <row r="16" spans="2:6" ht="15" thickTop="1" x14ac:dyDescent="0.35">
      <c r="B16" t="s">
        <v>338</v>
      </c>
      <c r="C16" t="s">
        <v>411</v>
      </c>
    </row>
    <row r="17" spans="2:28" x14ac:dyDescent="0.35">
      <c r="B17" t="s">
        <v>337</v>
      </c>
      <c r="C17" s="109" cm="1">
        <f t="array" ref="C17">CLIP(_xlfn.FORECAST.LINEAR($AA$42,Config!$B$17:$C$17,Config!$B$16:$C$16),min_multiple,max_multiple)</f>
        <v>16</v>
      </c>
    </row>
    <row r="18" spans="2:28" x14ac:dyDescent="0.35">
      <c r="B18" t="s">
        <v>413</v>
      </c>
      <c r="C18" s="2">
        <f ca="1">_xlfn.XLOOKUP($C$16,$B$34:$B$42,$AA$34:$AA$42)</f>
        <v>0.36101011586249215</v>
      </c>
    </row>
    <row r="19" spans="2:28" x14ac:dyDescent="0.35">
      <c r="B19" t="s">
        <v>249</v>
      </c>
      <c r="C19" s="2">
        <f ca="1">$C$17*$C$18</f>
        <v>5.7761618537998745</v>
      </c>
    </row>
    <row r="21" spans="2:28" ht="17.5" thickBot="1" x14ac:dyDescent="0.45">
      <c r="B21" s="14" t="s">
        <v>245</v>
      </c>
    </row>
    <row r="22" spans="2:28" ht="15" thickTop="1" x14ac:dyDescent="0.35"/>
    <row r="23" spans="2:28" ht="15" thickBot="1" x14ac:dyDescent="0.4">
      <c r="C23" s="73" t="s">
        <v>265</v>
      </c>
      <c r="D23" s="73">
        <v>1</v>
      </c>
      <c r="E23" s="73">
        <f>D$23+1</f>
        <v>2</v>
      </c>
      <c r="F23" s="73">
        <f t="shared" ref="F23:G23" si="0">E$23+1</f>
        <v>3</v>
      </c>
      <c r="G23" s="73">
        <f t="shared" si="0"/>
        <v>4</v>
      </c>
    </row>
    <row r="24" spans="2:28" x14ac:dyDescent="0.35">
      <c r="B24" t="s">
        <v>308</v>
      </c>
      <c r="C24" s="121">
        <f>-price_financials_currency/reported_shares_in_effective_share</f>
        <v>-60.660911532423242</v>
      </c>
      <c r="D24" s="121"/>
      <c r="E24" s="121"/>
      <c r="F24" s="121"/>
      <c r="G24" s="121"/>
    </row>
    <row r="25" spans="2:28" x14ac:dyDescent="0.35">
      <c r="B25" t="s">
        <v>309</v>
      </c>
      <c r="C25" s="121"/>
      <c r="D25" s="121">
        <f ca="1">'Income statement'!W$87</f>
        <v>0</v>
      </c>
      <c r="E25" s="121">
        <f ca="1">'Income statement'!X$87</f>
        <v>0</v>
      </c>
      <c r="F25" s="121">
        <f ca="1">'Income statement'!Y$87</f>
        <v>0</v>
      </c>
      <c r="G25" s="121">
        <f ca="1">'Income statement'!Z$87</f>
        <v>0</v>
      </c>
    </row>
    <row r="26" spans="2:28" x14ac:dyDescent="0.35">
      <c r="B26" t="s">
        <v>310</v>
      </c>
      <c r="C26" s="121"/>
      <c r="D26" s="121"/>
      <c r="E26" s="121"/>
      <c r="F26" s="121"/>
      <c r="G26" s="121">
        <f ca="1">exit_price</f>
        <v>5.7761618537998745</v>
      </c>
    </row>
    <row r="27" spans="2:28" ht="15" thickBot="1" x14ac:dyDescent="0.4">
      <c r="B27" s="7" t="s">
        <v>311</v>
      </c>
      <c r="C27" s="122">
        <f>SUM(C$24:C$26)</f>
        <v>-60.660911532423242</v>
      </c>
      <c r="D27" s="122">
        <f t="shared" ref="D27:G27" ca="1" si="1">SUM(D$24:D$26)</f>
        <v>0</v>
      </c>
      <c r="E27" s="122">
        <f t="shared" ca="1" si="1"/>
        <v>0</v>
      </c>
      <c r="F27" s="122">
        <f t="shared" ca="1" si="1"/>
        <v>0</v>
      </c>
      <c r="G27" s="122">
        <f t="shared" ca="1" si="1"/>
        <v>5.7761618537998745</v>
      </c>
      <c r="H27" s="2"/>
      <c r="I27" s="2"/>
      <c r="J27" s="2"/>
      <c r="K27" s="2"/>
      <c r="L27" s="2"/>
      <c r="M27" s="2"/>
      <c r="N27" s="2"/>
      <c r="O27" s="2"/>
      <c r="P27" s="2"/>
      <c r="Q27" s="2"/>
      <c r="R27" s="2"/>
      <c r="S27" s="2"/>
      <c r="T27" s="2"/>
      <c r="Y27" s="2"/>
      <c r="Z27" s="2"/>
      <c r="AA27" s="2"/>
      <c r="AB27" s="2"/>
    </row>
    <row r="29" spans="2:28" x14ac:dyDescent="0.35">
      <c r="B29" s="93" t="s">
        <v>312</v>
      </c>
      <c r="C29" s="90">
        <f ca="1">IRR($C$27:$G$27)</f>
        <v>-0.44450186459804153</v>
      </c>
    </row>
    <row r="32" spans="2:28" ht="17.5" thickBot="1" x14ac:dyDescent="0.45">
      <c r="B32" s="14" t="s">
        <v>269</v>
      </c>
    </row>
    <row r="33" spans="1:28" ht="15.5" thickTop="1" thickBot="1" x14ac:dyDescent="0.4">
      <c r="C33" s="4" t="e" cm="1">
        <f t="array" ref="C33:AB33">'Income statement'!$C$6:$AB$6</f>
        <v>#VALUE!</v>
      </c>
      <c r="D33" s="4" t="e">
        <v>#VALUE!</v>
      </c>
      <c r="E33" s="4" t="e">
        <v>#VALUE!</v>
      </c>
      <c r="F33" s="4" t="e">
        <v>#VALUE!</v>
      </c>
      <c r="G33" s="4" t="e">
        <v>#VALUE!</v>
      </c>
      <c r="H33" s="4" t="e">
        <v>#VALUE!</v>
      </c>
      <c r="I33" s="4" t="e">
        <v>#VALUE!</v>
      </c>
      <c r="J33" s="4" t="e">
        <v>#VALUE!</v>
      </c>
      <c r="K33" s="4" t="e">
        <v>#VALUE!</v>
      </c>
      <c r="L33" s="4">
        <v>42004</v>
      </c>
      <c r="M33" s="4">
        <v>42369</v>
      </c>
      <c r="N33" s="4">
        <v>42735</v>
      </c>
      <c r="O33" s="4">
        <v>43100</v>
      </c>
      <c r="P33" s="4">
        <v>43465</v>
      </c>
      <c r="Q33" s="4">
        <v>43830</v>
      </c>
      <c r="R33" s="4">
        <v>44196</v>
      </c>
      <c r="S33" s="4">
        <v>44561</v>
      </c>
      <c r="T33" s="4">
        <v>44926</v>
      </c>
      <c r="U33" s="4">
        <v>45291</v>
      </c>
      <c r="V33" s="21">
        <v>45657</v>
      </c>
      <c r="W33" s="22">
        <v>46022</v>
      </c>
      <c r="X33" s="4">
        <v>46022</v>
      </c>
      <c r="Y33" s="4">
        <v>46022</v>
      </c>
      <c r="Z33" s="4">
        <v>46022</v>
      </c>
      <c r="AA33" s="4">
        <v>46022</v>
      </c>
      <c r="AB33" s="4">
        <v>46022</v>
      </c>
    </row>
    <row r="34" spans="1:28" ht="15.5" thickTop="1" thickBot="1" x14ac:dyDescent="0.4">
      <c r="B34" t="s">
        <v>270</v>
      </c>
      <c r="C34" s="2" t="e" cm="1">
        <f t="array" ref="C34:V34">_xlfn.XLOOKUP($C$33:$V$33,_xlfn.ANCHORARRAY('Share price history'!$D$6),_xlfn.ANCHORARRAY('Share price history'!$G$6))</f>
        <v>#VALUE!</v>
      </c>
      <c r="D34" s="2" t="e">
        <v>#VALUE!</v>
      </c>
      <c r="E34" s="2" t="e">
        <v>#VALUE!</v>
      </c>
      <c r="F34" s="2" t="e">
        <v>#VALUE!</v>
      </c>
      <c r="G34" s="2" t="e">
        <v>#VALUE!</v>
      </c>
      <c r="H34" s="2" t="e">
        <v>#VALUE!</v>
      </c>
      <c r="I34" s="2" t="e">
        <v>#VALUE!</v>
      </c>
      <c r="J34" s="2" t="e">
        <v>#VALUE!</v>
      </c>
      <c r="K34" s="2" t="e">
        <v>#VALUE!</v>
      </c>
      <c r="L34" s="2" t="e">
        <v>#N/A</v>
      </c>
      <c r="M34" s="2" t="e">
        <v>#N/A</v>
      </c>
      <c r="N34" s="2">
        <v>2.7669483277523907</v>
      </c>
      <c r="O34" s="2">
        <v>4.5729383753484854</v>
      </c>
      <c r="P34" s="2">
        <v>11.444832076537713</v>
      </c>
      <c r="Q34" s="2">
        <v>25.271699606116027</v>
      </c>
      <c r="R34" s="2">
        <v>81.798859171909527</v>
      </c>
      <c r="S34" s="2">
        <v>94.268838187391026</v>
      </c>
      <c r="T34" s="2">
        <v>44.829545579351588</v>
      </c>
      <c r="U34" s="2">
        <v>71.959420483623717</v>
      </c>
      <c r="V34" s="31">
        <v>120.16977971466082</v>
      </c>
      <c r="W34" s="118">
        <f t="shared" ref="W34" si="2">price_financials_currency</f>
        <v>67.959999999999994</v>
      </c>
      <c r="X34" s="2"/>
      <c r="Y34" s="2"/>
      <c r="Z34" s="2"/>
      <c r="AA34" s="2"/>
      <c r="AB34" s="2"/>
    </row>
    <row r="35" spans="1:28" ht="15" thickTop="1" x14ac:dyDescent="0.35">
      <c r="B35" t="s">
        <v>98</v>
      </c>
      <c r="C35" s="2" cm="1">
        <f t="array" aca="1" ref="C35:AB35" ca="1">'Income statement'!$C$84:$AB$84</f>
        <v>0</v>
      </c>
      <c r="D35" s="2" t="e">
        <f ca="1"/>
        <v>#VALUE!</v>
      </c>
      <c r="E35" s="2" t="e">
        <f ca="1"/>
        <v>#VALUE!</v>
      </c>
      <c r="F35" s="2" t="e">
        <f ca="1"/>
        <v>#VALUE!</v>
      </c>
      <c r="G35" s="2" t="e">
        <f ca="1"/>
        <v>#VALUE!</v>
      </c>
      <c r="H35" s="2" t="e">
        <f ca="1"/>
        <v>#VALUE!</v>
      </c>
      <c r="I35" s="2" t="e">
        <f ca="1"/>
        <v>#VALUE!</v>
      </c>
      <c r="J35" s="2" t="e">
        <f ca="1"/>
        <v>#VALUE!</v>
      </c>
      <c r="K35" s="2" t="e">
        <f ca="1"/>
        <v>#VALUE!</v>
      </c>
      <c r="L35" s="2" t="e">
        <f ca="1"/>
        <v>#VALUE!</v>
      </c>
      <c r="M35" s="2">
        <f ca="1"/>
        <v>2.2278078270449031E-2</v>
      </c>
      <c r="N35" s="2">
        <f ca="1"/>
        <v>-9.2054156100317711E-2</v>
      </c>
      <c r="O35" s="2">
        <f ca="1"/>
        <v>0.16298126283367556</v>
      </c>
      <c r="P35" s="2">
        <f ca="1"/>
        <v>0.19619583968658524</v>
      </c>
      <c r="Q35" s="2">
        <f ca="1"/>
        <v>0.23145119071784953</v>
      </c>
      <c r="R35" s="2">
        <f ca="1"/>
        <v>0.50068599293344629</v>
      </c>
      <c r="S35" s="2">
        <f ca="1"/>
        <v>0.27875194755265981</v>
      </c>
      <c r="T35" s="2">
        <f ca="1"/>
        <v>0.10693414391090324</v>
      </c>
      <c r="U35" s="2">
        <f ca="1"/>
        <v>0.35784171093692974</v>
      </c>
      <c r="V35" s="31">
        <f ca="1"/>
        <v>0.78449984332994716</v>
      </c>
      <c r="W35" s="32">
        <f ca="1"/>
        <v>0.47062378147819395</v>
      </c>
      <c r="X35" s="2">
        <f ca="1"/>
        <v>0.51717007804924986</v>
      </c>
      <c r="Y35" s="2">
        <f ca="1"/>
        <v>0.5773904527535032</v>
      </c>
      <c r="Z35" s="2">
        <f ca="1"/>
        <v>0.63014571693445998</v>
      </c>
      <c r="AA35" s="2">
        <f ca="1"/>
        <v>0.6932400317142593</v>
      </c>
      <c r="AB35" s="2">
        <f ca="1"/>
        <v>0.76422593832516394</v>
      </c>
    </row>
    <row r="36" spans="1:28" x14ac:dyDescent="0.35">
      <c r="B36" t="s">
        <v>411</v>
      </c>
      <c r="C36" s="2" cm="1">
        <f t="array" aca="1" ref="C36:AB36" ca="1">'Income statement'!$C$86:$AB$86</f>
        <v>0</v>
      </c>
      <c r="D36" s="2" t="e">
        <f ca="1"/>
        <v>#VALUE!</v>
      </c>
      <c r="E36" s="2" t="e">
        <f ca="1"/>
        <v>#VALUE!</v>
      </c>
      <c r="F36" s="2" t="e">
        <f ca="1"/>
        <v>#VALUE!</v>
      </c>
      <c r="G36" s="2" t="e">
        <f ca="1"/>
        <v>#VALUE!</v>
      </c>
      <c r="H36" s="2" t="e">
        <f ca="1"/>
        <v>#VALUE!</v>
      </c>
      <c r="I36" s="2" t="e">
        <f ca="1"/>
        <v>#VALUE!</v>
      </c>
      <c r="J36" s="2" t="e">
        <f ca="1"/>
        <v>#VALUE!</v>
      </c>
      <c r="K36" s="2" t="e">
        <f ca="1"/>
        <v>#VALUE!</v>
      </c>
      <c r="L36" s="2" t="e">
        <f ca="1"/>
        <v>#VALUE!</v>
      </c>
      <c r="M36" s="2">
        <f ca="1"/>
        <v>0.16695929264286571</v>
      </c>
      <c r="N36" s="2">
        <f ca="1"/>
        <v>3.8243960631530009E-2</v>
      </c>
      <c r="O36" s="2">
        <f ca="1"/>
        <v>0.34440531955852166</v>
      </c>
      <c r="P36" s="2">
        <f ca="1"/>
        <v>0.35379970839964814</v>
      </c>
      <c r="Q36" s="2">
        <f ca="1"/>
        <v>0.60129007788544753</v>
      </c>
      <c r="R36" s="2">
        <f ca="1"/>
        <v>0.54425532574333113</v>
      </c>
      <c r="S36" s="2">
        <f ca="1"/>
        <v>1.1803671516157102</v>
      </c>
      <c r="T36" s="2">
        <f ca="1"/>
        <v>1.2700595413960429</v>
      </c>
      <c r="U36" s="2">
        <f ca="1"/>
        <v>1.4474696207505797</v>
      </c>
      <c r="V36" s="31">
        <f ca="1"/>
        <v>1.8985541449706913</v>
      </c>
      <c r="W36" s="32">
        <f ca="1"/>
        <v>7.9318523322971707E-2</v>
      </c>
      <c r="X36" s="2">
        <f ca="1"/>
        <v>0.22494860778846035</v>
      </c>
      <c r="Y36" s="2">
        <f ca="1"/>
        <v>0.26472157313098599</v>
      </c>
      <c r="Z36" s="2">
        <f ca="1"/>
        <v>0.3146026957937022</v>
      </c>
      <c r="AA36" s="2">
        <f ca="1"/>
        <v>0.36101011586249215</v>
      </c>
      <c r="AB36" s="2">
        <f ca="1"/>
        <v>0.40640575124938622</v>
      </c>
    </row>
    <row r="37" spans="1:28" x14ac:dyDescent="0.35">
      <c r="B37" t="s">
        <v>242</v>
      </c>
      <c r="C37" s="2" t="e" cm="1">
        <f t="array" aca="1" ref="C37:AB37" ca="1">$C$34:$AB$34/'Income statement'!$C$89:$AB$89</f>
        <v>#VALUE!</v>
      </c>
      <c r="D37" s="2" t="e">
        <f ca="1"/>
        <v>#VALUE!</v>
      </c>
      <c r="E37" s="2" t="e">
        <f ca="1"/>
        <v>#VALUE!</v>
      </c>
      <c r="F37" s="2" t="e">
        <f ca="1"/>
        <v>#VALUE!</v>
      </c>
      <c r="G37" s="2" t="e">
        <f ca="1"/>
        <v>#VALUE!</v>
      </c>
      <c r="H37" s="2" t="e">
        <f ca="1"/>
        <v>#VALUE!</v>
      </c>
      <c r="I37" s="2" t="e">
        <f ca="1"/>
        <v>#VALUE!</v>
      </c>
      <c r="J37" s="2" t="e">
        <f ca="1"/>
        <v>#VALUE!</v>
      </c>
      <c r="K37" s="2" t="e">
        <f ca="1"/>
        <v>#VALUE!</v>
      </c>
      <c r="L37" s="2" t="e">
        <f ca="1"/>
        <v>#N/A</v>
      </c>
      <c r="M37" s="2" t="e">
        <f ca="1"/>
        <v>#N/A</v>
      </c>
      <c r="N37" s="2">
        <f ca="1"/>
        <v>3.1295517529584029</v>
      </c>
      <c r="O37" s="2">
        <f ca="1"/>
        <v>8.3531815155380489</v>
      </c>
      <c r="P37" s="2">
        <f ca="1"/>
        <v>13.561172141427482</v>
      </c>
      <c r="Q37" s="2">
        <f ca="1"/>
        <v>20.021027473878423</v>
      </c>
      <c r="R37" s="2">
        <f ca="1"/>
        <v>40.006015266098636</v>
      </c>
      <c r="S37" s="2">
        <f ca="1"/>
        <v>31.062562023581354</v>
      </c>
      <c r="T37" s="2">
        <f ca="1"/>
        <v>10.688412827080064</v>
      </c>
      <c r="U37" s="2">
        <f ca="1"/>
        <v>16.76174970653619</v>
      </c>
      <c r="V37" s="31">
        <f ca="1"/>
        <v>20.55396258933354</v>
      </c>
      <c r="W37" s="32">
        <f ca="1"/>
        <v>10.708594837333823</v>
      </c>
      <c r="X37" s="2">
        <f ca="1"/>
        <v>0</v>
      </c>
      <c r="Y37" s="2">
        <f ca="1"/>
        <v>0</v>
      </c>
      <c r="Z37" s="2">
        <f ca="1"/>
        <v>0</v>
      </c>
      <c r="AA37" s="2">
        <f ca="1"/>
        <v>0</v>
      </c>
      <c r="AB37" s="2">
        <f ca="1"/>
        <v>0</v>
      </c>
    </row>
    <row r="38" spans="1:28" x14ac:dyDescent="0.35">
      <c r="B38" t="s">
        <v>240</v>
      </c>
      <c r="C38" s="67"/>
      <c r="D38" s="67"/>
      <c r="E38" s="67"/>
      <c r="F38" s="67"/>
      <c r="G38" s="67" t="e">
        <f ca="1">G$34/_xlfn.AGGREGATE(1,2,C35:G35)</f>
        <v>#VALUE!</v>
      </c>
      <c r="H38" s="67" t="e">
        <f t="shared" ref="H38" ca="1" si="3">H$34/_xlfn.AGGREGATE(1,2,D$36:H$36)</f>
        <v>#VALUE!</v>
      </c>
      <c r="I38" s="67" t="e">
        <f t="shared" ref="I38" ca="1" si="4">I$34/_xlfn.AGGREGATE(1,2,E$36:I$36)</f>
        <v>#VALUE!</v>
      </c>
      <c r="J38" s="67" t="e">
        <f t="shared" ref="J38" ca="1" si="5">J$34/_xlfn.AGGREGATE(1,2,F$36:J$36)</f>
        <v>#VALUE!</v>
      </c>
      <c r="K38" s="67" t="e">
        <f t="shared" ref="K38" ca="1" si="6">K$34/_xlfn.AGGREGATE(1,2,G$36:K$36)</f>
        <v>#VALUE!</v>
      </c>
      <c r="L38" s="67" t="e">
        <f t="shared" ref="L38" ca="1" si="7">L$34/_xlfn.AGGREGATE(1,2,H$36:L$36)</f>
        <v>#N/A</v>
      </c>
      <c r="M38" s="67" t="e">
        <f t="shared" ref="M38" ca="1" si="8">M$34/_xlfn.AGGREGATE(1,2,I$36:M$36)</f>
        <v>#N/A</v>
      </c>
      <c r="N38" s="67">
        <f t="shared" ref="N38" ca="1" si="9">N$34/_xlfn.AGGREGATE(1,2,J$36:N$36)</f>
        <v>26.967879734854449</v>
      </c>
      <c r="O38" s="67">
        <f t="shared" ref="O38" ca="1" si="10">O$34/_xlfn.AGGREGATE(1,2,K$36:O$36)</f>
        <v>24.961064663407306</v>
      </c>
      <c r="P38" s="67">
        <f t="shared" ref="P38" ca="1" si="11">P$34/_xlfn.AGGREGATE(1,2,L$36:P$36)</f>
        <v>50.674018887331648</v>
      </c>
      <c r="Q38" s="67">
        <f t="shared" ref="Q38" ca="1" si="12">Q$34/_xlfn.AGGREGATE(1,2,M$36:Q$36)</f>
        <v>83.975965857134213</v>
      </c>
      <c r="R38" s="67">
        <f t="shared" ref="R38" ca="1" si="13">R$34/_xlfn.AGGREGATE(1,2,N$36:R$36)</f>
        <v>217.31961452734657</v>
      </c>
      <c r="S38" s="67">
        <f t="shared" ref="S38" ca="1" si="14">S$34/_xlfn.AGGREGATE(1,2,O$36:S$36)</f>
        <v>155.86172758460776</v>
      </c>
      <c r="T38" s="67">
        <f t="shared" ref="T38" ca="1" si="15">T$34/_xlfn.AGGREGATE(1,2,P$36:T$36)</f>
        <v>56.749538697585024</v>
      </c>
      <c r="U38" s="67">
        <f t="shared" ref="U38" ca="1" si="16">U$34/_xlfn.AGGREGATE(1,2,Q$36:U$36)</f>
        <v>71.339597556455089</v>
      </c>
      <c r="V38" s="71">
        <f ca="1">V$34/_xlfn.AGGREGATE(1,2,R$36:V$36)</f>
        <v>94.760570667753356</v>
      </c>
      <c r="W38" s="88">
        <f ca="1">W$34/$AA35</f>
        <v>98.032422957380291</v>
      </c>
      <c r="X38" s="13"/>
      <c r="Y38" s="13"/>
      <c r="Z38" s="13"/>
      <c r="AA38" s="13"/>
      <c r="AB38" s="13"/>
    </row>
    <row r="39" spans="1:28" x14ac:dyDescent="0.35">
      <c r="B39" t="s">
        <v>241</v>
      </c>
      <c r="C39" s="67"/>
      <c r="D39" s="67"/>
      <c r="E39" s="67"/>
      <c r="F39" s="67"/>
      <c r="G39" s="67" t="e">
        <f ca="1">G$34/_xlfn.AGGREGATE(1,2,C36:G36)</f>
        <v>#VALUE!</v>
      </c>
      <c r="H39" s="67" t="e">
        <f t="shared" ref="H39:U39" ca="1" si="17">H$34/_xlfn.AGGREGATE(1,2,D$36:H$36)</f>
        <v>#VALUE!</v>
      </c>
      <c r="I39" s="67" t="e">
        <f t="shared" ca="1" si="17"/>
        <v>#VALUE!</v>
      </c>
      <c r="J39" s="67" t="e">
        <f t="shared" ca="1" si="17"/>
        <v>#VALUE!</v>
      </c>
      <c r="K39" s="67" t="e">
        <f t="shared" ca="1" si="17"/>
        <v>#VALUE!</v>
      </c>
      <c r="L39" s="67" t="e">
        <f t="shared" ca="1" si="17"/>
        <v>#N/A</v>
      </c>
      <c r="M39" s="67" t="e">
        <f t="shared" ca="1" si="17"/>
        <v>#N/A</v>
      </c>
      <c r="N39" s="67">
        <f t="shared" ca="1" si="17"/>
        <v>26.967879734854449</v>
      </c>
      <c r="O39" s="67">
        <f t="shared" ca="1" si="17"/>
        <v>24.961064663407306</v>
      </c>
      <c r="P39" s="67">
        <f t="shared" ca="1" si="17"/>
        <v>50.674018887331648</v>
      </c>
      <c r="Q39" s="67">
        <f t="shared" ca="1" si="17"/>
        <v>83.975965857134213</v>
      </c>
      <c r="R39" s="67">
        <f t="shared" ca="1" si="17"/>
        <v>217.31961452734657</v>
      </c>
      <c r="S39" s="67">
        <f t="shared" ca="1" si="17"/>
        <v>155.86172758460776</v>
      </c>
      <c r="T39" s="67">
        <f t="shared" ca="1" si="17"/>
        <v>56.749538697585024</v>
      </c>
      <c r="U39" s="67">
        <f t="shared" ca="1" si="17"/>
        <v>71.339597556455089</v>
      </c>
      <c r="V39" s="71">
        <f ca="1">V$34/_xlfn.AGGREGATE(1,2,R$36:V$36)</f>
        <v>94.760570667753356</v>
      </c>
      <c r="W39" s="88">
        <f ca="1">W$34/$AA36</f>
        <v>188.24957255736786</v>
      </c>
      <c r="X39" s="67"/>
      <c r="Y39" s="67"/>
      <c r="Z39" s="67"/>
      <c r="AA39" s="67"/>
      <c r="AB39" s="67"/>
    </row>
    <row r="40" spans="1:28" ht="15" thickBot="1" x14ac:dyDescent="0.4">
      <c r="B40" t="s">
        <v>302</v>
      </c>
      <c r="C40" s="81"/>
      <c r="D40" s="81"/>
      <c r="E40" s="81"/>
      <c r="F40" s="81"/>
      <c r="G40" s="81" t="e">
        <f t="shared" ref="G40:V40" ca="1" si="18">1/G$39</f>
        <v>#VALUE!</v>
      </c>
      <c r="H40" s="81" t="e">
        <f t="shared" ca="1" si="18"/>
        <v>#VALUE!</v>
      </c>
      <c r="I40" s="81" t="e">
        <f t="shared" ca="1" si="18"/>
        <v>#VALUE!</v>
      </c>
      <c r="J40" s="81" t="e">
        <f t="shared" ca="1" si="18"/>
        <v>#VALUE!</v>
      </c>
      <c r="K40" s="81" t="e">
        <f t="shared" ca="1" si="18"/>
        <v>#VALUE!</v>
      </c>
      <c r="L40" s="81" t="e">
        <f t="shared" ca="1" si="18"/>
        <v>#N/A</v>
      </c>
      <c r="M40" s="81" t="e">
        <f t="shared" ca="1" si="18"/>
        <v>#N/A</v>
      </c>
      <c r="N40" s="81">
        <f t="shared" ca="1" si="18"/>
        <v>3.7081150236203293E-2</v>
      </c>
      <c r="O40" s="81">
        <f t="shared" ca="1" si="18"/>
        <v>4.0062393711354422E-2</v>
      </c>
      <c r="P40" s="81">
        <f t="shared" ca="1" si="18"/>
        <v>1.9733978515171547E-2</v>
      </c>
      <c r="Q40" s="81">
        <f t="shared" ca="1" si="18"/>
        <v>1.1908169079010891E-2</v>
      </c>
      <c r="R40" s="81">
        <f t="shared" ca="1" si="18"/>
        <v>4.6015174570179637E-3</v>
      </c>
      <c r="S40" s="81">
        <f t="shared" ca="1" si="18"/>
        <v>6.4159432562247293E-3</v>
      </c>
      <c r="T40" s="81">
        <f t="shared" ca="1" si="18"/>
        <v>1.7621288612211308E-2</v>
      </c>
      <c r="U40" s="81">
        <f t="shared" ca="1" si="18"/>
        <v>1.4017460628490972E-2</v>
      </c>
      <c r="V40" s="83">
        <f t="shared" ca="1" si="18"/>
        <v>1.0552912387011363E-2</v>
      </c>
      <c r="W40" s="104">
        <f t="shared" ref="W40" ca="1" si="19">1/W$39</f>
        <v>5.3120970550690431E-3</v>
      </c>
      <c r="X40" s="13"/>
      <c r="Y40" s="13"/>
      <c r="Z40" s="13"/>
      <c r="AA40" s="13"/>
      <c r="AB40" s="13"/>
    </row>
    <row r="41" spans="1:28" ht="15.5" thickTop="1" thickBot="1" x14ac:dyDescent="0.4">
      <c r="B41" t="s">
        <v>272</v>
      </c>
      <c r="C41" s="3"/>
      <c r="D41" s="81"/>
      <c r="E41" s="81"/>
      <c r="F41" s="81"/>
      <c r="G41" s="81"/>
      <c r="H41" s="81" t="e">
        <f>_xlfn.AGGREGATE(1,2,'Income statement'!C$99:H$99)</f>
        <v>#DIV/0!</v>
      </c>
      <c r="I41" s="81" t="e">
        <f>_xlfn.AGGREGATE(1,2,'Income statement'!D$99:I$99)</f>
        <v>#DIV/0!</v>
      </c>
      <c r="J41" s="81" t="e">
        <f>_xlfn.AGGREGATE(1,2,'Income statement'!E$99:J$99)</f>
        <v>#DIV/0!</v>
      </c>
      <c r="K41" s="81" t="e">
        <f>_xlfn.AGGREGATE(1,2,'Income statement'!F$99:K$99)</f>
        <v>#DIV/0!</v>
      </c>
      <c r="L41" s="81" t="e">
        <f>_xlfn.AGGREGATE(1,2,'Income statement'!G$99:L$99)</f>
        <v>#DIV/0!</v>
      </c>
      <c r="M41" s="81">
        <f>_xlfn.AGGREGATE(1,2,'Income statement'!H$99:M$99)</f>
        <v>0.61801264693829994</v>
      </c>
      <c r="N41" s="81">
        <f>_xlfn.AGGREGATE(1,2,'Income statement'!I$99:N$99)</f>
        <v>0.51414641705508923</v>
      </c>
      <c r="O41" s="81">
        <f>_xlfn.AGGREGATE(1,2,'Income statement'!J$99:O$99)</f>
        <v>0.44412107094163628</v>
      </c>
      <c r="P41" s="81">
        <f>_xlfn.AGGREGATE(1,2,'Income statement'!K$99:P$99)</f>
        <v>0.41375276597589461</v>
      </c>
      <c r="Q41" s="81">
        <f>_xlfn.AGGREGATE(1,2,'Income statement'!L$99:Q$99)</f>
        <v>0.36948305698861911</v>
      </c>
      <c r="R41" s="81">
        <f>_xlfn.AGGREGATE(1,2,'Income statement'!M$99:R$99)</f>
        <v>0.33197183783133788</v>
      </c>
      <c r="S41" s="81">
        <f>_xlfn.AGGREGATE(1,2,'Income statement'!N$99:S$99)</f>
        <v>0.24326913129095737</v>
      </c>
      <c r="T41" s="81">
        <f>_xlfn.AGGREGATE(1,2,'Income statement'!O$99:T$99)</f>
        <v>0.18451794878850522</v>
      </c>
      <c r="U41" s="81">
        <f>_xlfn.AGGREGATE(1,2,'Income statement'!P$99:U$99)</f>
        <v>0.14887837925954109</v>
      </c>
      <c r="V41" s="83">
        <f>_xlfn.AGGREGATE(1,2,'Income statement'!Q$99:V$99)</f>
        <v>0.12269101993334262</v>
      </c>
      <c r="W41" s="105">
        <f ca="1">'Income statement'!W$99</f>
        <v>6.7854406316859822E-2</v>
      </c>
      <c r="X41" s="13">
        <f ca="1">'Income statement'!X$99</f>
        <v>7.5830425933146747E-2</v>
      </c>
      <c r="Y41" s="13">
        <f ca="1">'Income statement'!Y$99</f>
        <v>8.1521560963966969E-2</v>
      </c>
      <c r="Z41" s="13">
        <f ca="1">'Income statement'!Z$99</f>
        <v>8.4225917629403249E-2</v>
      </c>
      <c r="AA41" s="13">
        <f ca="1">'Income statement'!AA$99</f>
        <v>8.6945993998988905E-2</v>
      </c>
      <c r="AB41" s="13">
        <f ca="1">'Income statement'!AB$99</f>
        <v>8.9648092139822277E-2</v>
      </c>
    </row>
    <row r="42" spans="1:28" ht="15.5" thickTop="1" thickBot="1" x14ac:dyDescent="0.4">
      <c r="B42" t="s">
        <v>303</v>
      </c>
      <c r="C42" s="3"/>
      <c r="D42" s="81"/>
      <c r="E42" s="81"/>
      <c r="F42" s="81"/>
      <c r="G42" s="81"/>
      <c r="H42" s="81" t="e">
        <f>LOGEST('Income statement'!C$7:H$7)-1</f>
        <v>#VALUE!</v>
      </c>
      <c r="I42" s="81" t="e">
        <f>LOGEST('Income statement'!D$7:I$7)-1</f>
        <v>#VALUE!</v>
      </c>
      <c r="J42" s="81" t="e">
        <f>LOGEST('Income statement'!E$7:J$7)-1</f>
        <v>#VALUE!</v>
      </c>
      <c r="K42" s="81" t="e">
        <f>LOGEST('Income statement'!F$7:K$7)-1</f>
        <v>#VALUE!</v>
      </c>
      <c r="L42" s="81" t="e">
        <f>LOGEST('Income statement'!G$7:L$7)-1</f>
        <v>#VALUE!</v>
      </c>
      <c r="M42" s="81" t="e">
        <f>LOGEST('Income statement'!H$7:M$7)-1</f>
        <v>#VALUE!</v>
      </c>
      <c r="N42" s="81" t="e">
        <f>LOGEST('Income statement'!I$7:N$7)-1</f>
        <v>#VALUE!</v>
      </c>
      <c r="O42" s="81" t="e">
        <f>LOGEST('Income statement'!J$7:O$7)-1</f>
        <v>#VALUE!</v>
      </c>
      <c r="P42" s="81" t="e">
        <f>LOGEST('Income statement'!K$7:P$7)-1</f>
        <v>#VALUE!</v>
      </c>
      <c r="Q42" s="81">
        <f>LOGEST('Income statement'!L$7:Q$7)-1</f>
        <v>0.68163771088531622</v>
      </c>
      <c r="R42" s="81">
        <f>LOGEST('Income statement'!M$7:R$7)-1</f>
        <v>0.48879827489008121</v>
      </c>
      <c r="S42" s="81">
        <f>LOGEST('Income statement'!N$7:S$7)-1</f>
        <v>0.41666672235983215</v>
      </c>
      <c r="T42" s="81">
        <f>LOGEST('Income statement'!O$7:T$7)-1</f>
        <v>0.37542554747094425</v>
      </c>
      <c r="U42" s="81">
        <f>LOGEST('Income statement'!P$7:U$7)-1</f>
        <v>0.33054444714798104</v>
      </c>
      <c r="V42" s="83">
        <f>LOGEST('Income statement'!Q$7:V$7)-1</f>
        <v>0.30625981460676877</v>
      </c>
      <c r="W42" s="105">
        <f>'Income statement'!W$42</f>
        <v>0.29253684986030071</v>
      </c>
      <c r="X42" s="13">
        <f>'Income statement'!X$42</f>
        <v>0.20739331246602538</v>
      </c>
      <c r="Y42" s="13">
        <f>'Income statement'!Y$42</f>
        <v>0.16369665623301269</v>
      </c>
      <c r="Z42" s="13">
        <f>'Income statement'!Z$42</f>
        <v>0.12</v>
      </c>
      <c r="AA42" s="13">
        <f>'Income statement'!AA$42</f>
        <v>0.12</v>
      </c>
      <c r="AB42" s="13">
        <f>'Income statement'!AB$42</f>
        <v>0.12</v>
      </c>
    </row>
    <row r="43" spans="1:28" ht="15" thickTop="1" x14ac:dyDescent="0.35">
      <c r="C43" s="67"/>
      <c r="D43" s="67"/>
      <c r="E43" s="67"/>
      <c r="F43" s="67"/>
      <c r="G43" s="67"/>
      <c r="H43" s="67"/>
      <c r="I43" s="67"/>
      <c r="J43" s="67"/>
      <c r="K43" s="67"/>
      <c r="L43" s="67"/>
      <c r="M43" s="67"/>
      <c r="N43" s="67"/>
      <c r="O43" s="67"/>
      <c r="P43" s="67"/>
      <c r="Q43" s="67"/>
      <c r="R43" s="67"/>
      <c r="S43" s="67"/>
      <c r="T43" s="67"/>
      <c r="U43" s="67"/>
      <c r="V43" s="71"/>
      <c r="W43" s="18"/>
    </row>
    <row r="44" spans="1:28" x14ac:dyDescent="0.35">
      <c r="A44" s="78"/>
      <c r="B44" t="s">
        <v>286</v>
      </c>
      <c r="C44" s="67"/>
      <c r="D44" s="67"/>
      <c r="E44" s="67"/>
      <c r="F44" s="67"/>
      <c r="G44" s="67" t="e">
        <f t="shared" ref="G44:V44" ca="1" si="20">ERF((LN(G40)-LN($C8))*$D8)</f>
        <v>#VALUE!</v>
      </c>
      <c r="H44" s="67" t="e">
        <f t="shared" ca="1" si="20"/>
        <v>#VALUE!</v>
      </c>
      <c r="I44" s="67" t="e">
        <f t="shared" ca="1" si="20"/>
        <v>#VALUE!</v>
      </c>
      <c r="J44" s="67" t="e">
        <f t="shared" ca="1" si="20"/>
        <v>#VALUE!</v>
      </c>
      <c r="K44" s="67" t="e">
        <f t="shared" ca="1" si="20"/>
        <v>#VALUE!</v>
      </c>
      <c r="L44" s="67" t="e">
        <f t="shared" ca="1" si="20"/>
        <v>#N/A</v>
      </c>
      <c r="M44" s="67" t="e">
        <f t="shared" ca="1" si="20"/>
        <v>#N/A</v>
      </c>
      <c r="N44" s="67">
        <f t="shared" ca="1" si="20"/>
        <v>-0.96097235009674287</v>
      </c>
      <c r="O44" s="67">
        <f t="shared" ca="1" si="20"/>
        <v>-0.93498789860428111</v>
      </c>
      <c r="P44" s="67">
        <f t="shared" ca="1" si="20"/>
        <v>-0.99988090092445547</v>
      </c>
      <c r="Q44" s="67">
        <f t="shared" ca="1" si="20"/>
        <v>-0.99999986844084898</v>
      </c>
      <c r="R44" s="67">
        <f t="shared" ca="1" si="20"/>
        <v>-0.99999999999999833</v>
      </c>
      <c r="S44" s="67">
        <f t="shared" ca="1" si="20"/>
        <v>-0.99999999999787259</v>
      </c>
      <c r="T44" s="67">
        <f t="shared" ca="1" si="20"/>
        <v>-0.99996930499707759</v>
      </c>
      <c r="U44" s="67">
        <f t="shared" ca="1" si="20"/>
        <v>-0.99999853097145974</v>
      </c>
      <c r="V44" s="71">
        <f t="shared" ca="1" si="20"/>
        <v>-0.9999999807265082</v>
      </c>
      <c r="W44" s="88">
        <f ca="1">ERF((LN($W40)-LN($C8))*$D8)</f>
        <v>-0.9999999999999597</v>
      </c>
    </row>
    <row r="45" spans="1:28" x14ac:dyDescent="0.35">
      <c r="A45" s="78"/>
      <c r="B45" t="s">
        <v>285</v>
      </c>
      <c r="C45" s="67"/>
      <c r="D45" s="67" t="e">
        <f t="shared" ref="D45:V45" si="21">ERF((LN(D41)-LN($C10))*$D10)</f>
        <v>#NUM!</v>
      </c>
      <c r="E45" s="67" t="e">
        <f t="shared" si="21"/>
        <v>#NUM!</v>
      </c>
      <c r="F45" s="67" t="e">
        <f t="shared" si="21"/>
        <v>#NUM!</v>
      </c>
      <c r="G45" s="67" t="e">
        <f t="shared" si="21"/>
        <v>#NUM!</v>
      </c>
      <c r="H45" s="67" t="e">
        <f t="shared" si="21"/>
        <v>#DIV/0!</v>
      </c>
      <c r="I45" s="67" t="e">
        <f t="shared" si="21"/>
        <v>#DIV/0!</v>
      </c>
      <c r="J45" s="67" t="e">
        <f t="shared" si="21"/>
        <v>#DIV/0!</v>
      </c>
      <c r="K45" s="67" t="e">
        <f t="shared" si="21"/>
        <v>#DIV/0!</v>
      </c>
      <c r="L45" s="67" t="e">
        <f t="shared" si="21"/>
        <v>#DIV/0!</v>
      </c>
      <c r="M45" s="67">
        <f t="shared" si="21"/>
        <v>1</v>
      </c>
      <c r="N45" s="67">
        <f t="shared" si="21"/>
        <v>1</v>
      </c>
      <c r="O45" s="67">
        <f t="shared" si="21"/>
        <v>1</v>
      </c>
      <c r="P45" s="67">
        <f t="shared" si="21"/>
        <v>1</v>
      </c>
      <c r="Q45" s="67">
        <f t="shared" si="21"/>
        <v>1</v>
      </c>
      <c r="R45" s="67">
        <f t="shared" si="21"/>
        <v>1</v>
      </c>
      <c r="S45" s="67">
        <f t="shared" si="21"/>
        <v>1</v>
      </c>
      <c r="T45" s="67">
        <f t="shared" si="21"/>
        <v>1</v>
      </c>
      <c r="U45" s="67">
        <f t="shared" si="21"/>
        <v>1</v>
      </c>
      <c r="V45" s="71">
        <f t="shared" si="21"/>
        <v>0.9999999985314344</v>
      </c>
      <c r="W45" s="88">
        <f ca="1">ERF((LN($W41)-LN($C9))*$D9)</f>
        <v>-7.0164277318181423E-2</v>
      </c>
    </row>
    <row r="46" spans="1:28" x14ac:dyDescent="0.35">
      <c r="A46" s="78"/>
      <c r="B46" t="s">
        <v>287</v>
      </c>
      <c r="C46" s="67"/>
      <c r="D46" s="67">
        <f t="shared" ref="D46:V46" si="22">ERF((D42-$C10)*$D10)</f>
        <v>-0.74210096470766063</v>
      </c>
      <c r="E46" s="67">
        <f t="shared" si="22"/>
        <v>-0.74210096470766063</v>
      </c>
      <c r="F46" s="67">
        <f t="shared" si="22"/>
        <v>-0.74210096470766063</v>
      </c>
      <c r="G46" s="67">
        <f t="shared" si="22"/>
        <v>-0.74210096470766063</v>
      </c>
      <c r="H46" s="67" t="e">
        <f t="shared" si="22"/>
        <v>#VALUE!</v>
      </c>
      <c r="I46" s="67" t="e">
        <f t="shared" si="22"/>
        <v>#VALUE!</v>
      </c>
      <c r="J46" s="67" t="e">
        <f t="shared" si="22"/>
        <v>#VALUE!</v>
      </c>
      <c r="K46" s="67" t="e">
        <f t="shared" si="22"/>
        <v>#VALUE!</v>
      </c>
      <c r="L46" s="67" t="e">
        <f t="shared" si="22"/>
        <v>#VALUE!</v>
      </c>
      <c r="M46" s="67" t="e">
        <f t="shared" si="22"/>
        <v>#VALUE!</v>
      </c>
      <c r="N46" s="67" t="e">
        <f t="shared" si="22"/>
        <v>#VALUE!</v>
      </c>
      <c r="O46" s="67" t="e">
        <f t="shared" si="22"/>
        <v>#VALUE!</v>
      </c>
      <c r="P46" s="67" t="e">
        <f t="shared" si="22"/>
        <v>#VALUE!</v>
      </c>
      <c r="Q46" s="67">
        <f t="shared" si="22"/>
        <v>1</v>
      </c>
      <c r="R46" s="67">
        <f t="shared" si="22"/>
        <v>0.99999999258659023</v>
      </c>
      <c r="S46" s="67">
        <f t="shared" si="22"/>
        <v>0.99999807541861985</v>
      </c>
      <c r="T46" s="67">
        <f t="shared" si="22"/>
        <v>0.99997058493243918</v>
      </c>
      <c r="U46" s="67">
        <f t="shared" si="22"/>
        <v>0.99960474750574524</v>
      </c>
      <c r="V46" s="71">
        <f t="shared" si="22"/>
        <v>0.99862475579533116</v>
      </c>
      <c r="W46" s="88">
        <f>ERF(($X$42-$C$10)*$D$10)</f>
        <v>0.92839376460106282</v>
      </c>
    </row>
    <row r="47" spans="1:28" ht="15" thickBot="1" x14ac:dyDescent="0.4">
      <c r="A47" s="78"/>
      <c r="B47" s="7" t="s">
        <v>271</v>
      </c>
      <c r="C47" s="86"/>
      <c r="D47" s="86"/>
      <c r="E47" s="86"/>
      <c r="F47" s="86"/>
      <c r="G47" s="86" t="e">
        <f t="shared" ref="G47:W47" ca="1" si="23">SUMPRODUCT(G$44:G$46,$E$8:$E$10)</f>
        <v>#VALUE!</v>
      </c>
      <c r="H47" s="86" t="e">
        <f t="shared" ca="1" si="23"/>
        <v>#VALUE!</v>
      </c>
      <c r="I47" s="86" t="e">
        <f t="shared" ca="1" si="23"/>
        <v>#VALUE!</v>
      </c>
      <c r="J47" s="86" t="e">
        <f t="shared" ca="1" si="23"/>
        <v>#VALUE!</v>
      </c>
      <c r="K47" s="86" t="e">
        <f t="shared" ca="1" si="23"/>
        <v>#VALUE!</v>
      </c>
      <c r="L47" s="86" t="e">
        <f t="shared" ca="1" si="23"/>
        <v>#N/A</v>
      </c>
      <c r="M47" s="86" t="e">
        <f t="shared" ca="1" si="23"/>
        <v>#N/A</v>
      </c>
      <c r="N47" s="86" t="e">
        <f t="shared" ca="1" si="23"/>
        <v>#VALUE!</v>
      </c>
      <c r="O47" s="86" t="e">
        <f t="shared" ca="1" si="23"/>
        <v>#VALUE!</v>
      </c>
      <c r="P47" s="86" t="e">
        <f t="shared" ca="1" si="23"/>
        <v>#VALUE!</v>
      </c>
      <c r="Q47" s="86">
        <f t="shared" ca="1" si="23"/>
        <v>6.5779575508795318E-8</v>
      </c>
      <c r="R47" s="86">
        <f t="shared" ca="1" si="23"/>
        <v>-1.8533516110696979E-9</v>
      </c>
      <c r="S47" s="86">
        <f t="shared" ca="1" si="23"/>
        <v>-4.8114428133350096E-7</v>
      </c>
      <c r="T47" s="86">
        <f t="shared" ca="1" si="23"/>
        <v>7.9937345709990559E-6</v>
      </c>
      <c r="U47" s="86">
        <f t="shared" ca="1" si="23"/>
        <v>-9.8078609293561492E-5</v>
      </c>
      <c r="V47" s="106">
        <f t="shared" ca="1" si="23"/>
        <v>-3.4380178156270813E-4</v>
      </c>
      <c r="W47" s="107">
        <f t="shared" ca="1" si="23"/>
        <v>-0.28544262817925958</v>
      </c>
    </row>
    <row r="48" spans="1:28" x14ac:dyDescent="0.35">
      <c r="V48" s="17"/>
      <c r="W48" s="18"/>
    </row>
  </sheetData>
  <mergeCells count="1">
    <mergeCell ref="C6:D6"/>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C72C8B-84DE-4FAB-85B6-544540DDE881}">
  <sheetPr codeName="Sheet10">
    <tabColor theme="0" tint="-0.249977111117893"/>
  </sheetPr>
  <dimension ref="A1:AB22"/>
  <sheetViews>
    <sheetView showGridLines="0" zoomScale="85" zoomScaleNormal="85" workbookViewId="0">
      <pane xSplit="2" ySplit="1" topLeftCell="C2" activePane="bottomRight" state="frozen"/>
      <selection activeCell="E4" sqref="E4"/>
      <selection pane="topRight" activeCell="E4" sqref="E4"/>
      <selection pane="bottomLeft" activeCell="E4" sqref="E4"/>
      <selection pane="bottomRight" activeCell="B1" sqref="B1:B2"/>
    </sheetView>
  </sheetViews>
  <sheetFormatPr defaultRowHeight="14.5" outlineLevelCol="1" x14ac:dyDescent="0.35"/>
  <cols>
    <col min="1" max="1" width="17.453125" style="58" customWidth="1" outlineLevel="1"/>
    <col min="2" max="2" width="33" bestFit="1" customWidth="1"/>
    <col min="3" max="3" width="23.7265625" bestFit="1" customWidth="1"/>
    <col min="4" max="28" width="10.81640625" bestFit="1" customWidth="1"/>
  </cols>
  <sheetData>
    <row r="1" spans="2:4" ht="23.5" x14ac:dyDescent="0.55000000000000004">
      <c r="B1" s="5" t="str">
        <f>'Start Here'!$H$5</f>
        <v>Trade Desk, Inc. Class A</v>
      </c>
    </row>
    <row r="2" spans="2:4" ht="20" thickBot="1" x14ac:dyDescent="0.5">
      <c r="B2" s="12" t="str" cm="1">
        <f t="array" aca="1" ref="B2" ca="1">_xlfn.TEXTAFTER(CELL("filename"), "]")</f>
        <v>Raw daily returns</v>
      </c>
    </row>
    <row r="3" spans="2:4" ht="15" thickTop="1" x14ac:dyDescent="0.35"/>
    <row r="5" spans="2:4" ht="17.5" thickBot="1" x14ac:dyDescent="0.45">
      <c r="B5" s="14" t="s">
        <v>293</v>
      </c>
    </row>
    <row r="6" spans="2:4" ht="15" thickTop="1" x14ac:dyDescent="0.35">
      <c r="B6" t="s">
        <v>291</v>
      </c>
    </row>
    <row r="7" spans="2:4" x14ac:dyDescent="0.35">
      <c r="B7" s="7" t="s">
        <v>289</v>
      </c>
      <c r="C7" s="2">
        <f>MIN(_xlfn.ANCHORARRAY('Share price history'!$G$6))</f>
        <v>2.2799593458954717</v>
      </c>
    </row>
    <row r="8" spans="2:4" x14ac:dyDescent="0.35">
      <c r="B8" s="7" t="s">
        <v>290</v>
      </c>
      <c r="C8" s="2">
        <f>MAX(_xlfn.ANCHORARRAY('Share price history'!$G$6))</f>
        <v>139.50986397185815</v>
      </c>
    </row>
    <row r="10" spans="2:4" x14ac:dyDescent="0.35">
      <c r="B10" t="s">
        <v>292</v>
      </c>
    </row>
    <row r="11" spans="2:4" x14ac:dyDescent="0.35">
      <c r="B11" s="7" t="s">
        <v>289</v>
      </c>
      <c r="C11" s="2" t="e">
        <f ca="1">_xlfn.LET(_xlpm.tmp, MIN($C$19:$V$22), IF(_xlpm.tmp&lt;=0, infinity, _xlpm.tmp))</f>
        <v>#VALUE!</v>
      </c>
    </row>
    <row r="12" spans="2:4" x14ac:dyDescent="0.35">
      <c r="B12" s="7" t="s">
        <v>290</v>
      </c>
      <c r="C12" s="2" t="e">
        <f ca="1">_xlfn.LET(_xlpm.tmp, MAX($C$19:$V$22), IF(_xlpm.tmp&lt;=0, -infinity, _xlpm.tmp))</f>
        <v>#VALUE!</v>
      </c>
    </row>
    <row r="13" spans="2:4" x14ac:dyDescent="0.35">
      <c r="C13" s="2"/>
    </row>
    <row r="14" spans="2:4" x14ac:dyDescent="0.35">
      <c r="B14" t="s">
        <v>295</v>
      </c>
      <c r="C14" s="79" t="s">
        <v>294</v>
      </c>
      <c r="D14" s="80" t="s">
        <v>114</v>
      </c>
    </row>
    <row r="15" spans="2:4" x14ac:dyDescent="0.35">
      <c r="B15" s="7" t="s">
        <v>289</v>
      </c>
      <c r="C15" s="2" t="e">
        <f ca="1">MIN($C7,$C11*10)/1.1</f>
        <v>#VALUE!</v>
      </c>
      <c r="D15" s="2" t="e">
        <f ca="1">$C15/10</f>
        <v>#VALUE!</v>
      </c>
    </row>
    <row r="16" spans="2:4" x14ac:dyDescent="0.35">
      <c r="B16" s="7" t="s">
        <v>290</v>
      </c>
      <c r="C16" s="2" t="e">
        <f ca="1">MAX($C8,$C12*10)*1.1</f>
        <v>#VALUE!</v>
      </c>
      <c r="D16" s="2" t="e">
        <f ca="1">$C16/10</f>
        <v>#VALUE!</v>
      </c>
    </row>
    <row r="18" spans="2:28" ht="17.5" thickBot="1" x14ac:dyDescent="0.45">
      <c r="B18" s="14" t="s">
        <v>305</v>
      </c>
      <c r="C18" s="4" t="e" cm="1">
        <f t="array" ref="C18:AB18">'Income statement'!$C$6:$AB$6</f>
        <v>#VALUE!</v>
      </c>
      <c r="D18" s="4" t="e">
        <v>#VALUE!</v>
      </c>
      <c r="E18" s="4" t="e">
        <v>#VALUE!</v>
      </c>
      <c r="F18" s="4" t="e">
        <v>#VALUE!</v>
      </c>
      <c r="G18" s="4" t="e">
        <v>#VALUE!</v>
      </c>
      <c r="H18" s="4" t="e">
        <v>#VALUE!</v>
      </c>
      <c r="I18" s="4" t="e">
        <v>#VALUE!</v>
      </c>
      <c r="J18" s="4" t="e">
        <v>#VALUE!</v>
      </c>
      <c r="K18" s="4" t="e">
        <v>#VALUE!</v>
      </c>
      <c r="L18" s="4">
        <v>42004</v>
      </c>
      <c r="M18" s="4">
        <v>42369</v>
      </c>
      <c r="N18" s="4">
        <v>42735</v>
      </c>
      <c r="O18" s="4">
        <v>43100</v>
      </c>
      <c r="P18" s="4">
        <v>43465</v>
      </c>
      <c r="Q18" s="4">
        <v>43830</v>
      </c>
      <c r="R18" s="4">
        <v>44196</v>
      </c>
      <c r="S18" s="4">
        <v>44561</v>
      </c>
      <c r="T18" s="4">
        <v>44926</v>
      </c>
      <c r="U18" s="4">
        <v>45291</v>
      </c>
      <c r="V18" s="21">
        <v>45657</v>
      </c>
      <c r="W18" s="22">
        <v>46022</v>
      </c>
      <c r="X18" s="4">
        <v>46022</v>
      </c>
      <c r="Y18" s="4">
        <v>46022</v>
      </c>
      <c r="Z18" s="4">
        <v>46022</v>
      </c>
      <c r="AA18" s="4">
        <v>46022</v>
      </c>
      <c r="AB18" s="4">
        <v>46022</v>
      </c>
    </row>
    <row r="19" spans="2:28" ht="15" thickTop="1" x14ac:dyDescent="0.35">
      <c r="B19" t="s">
        <v>251</v>
      </c>
      <c r="C19" s="2" t="e" cm="1">
        <f t="array" aca="1" ref="C19:AB19" ca="1">'Income statement'!$C$89:$AB$89</f>
        <v>#VALUE!</v>
      </c>
      <c r="D19" s="2" t="e">
        <f ca="1"/>
        <v>#VALUE!</v>
      </c>
      <c r="E19" s="2" t="e">
        <f ca="1"/>
        <v>#VALUE!</v>
      </c>
      <c r="F19" s="2" t="e">
        <f ca="1"/>
        <v>#VALUE!</v>
      </c>
      <c r="G19" s="2" t="e">
        <f ca="1"/>
        <v>#VALUE!</v>
      </c>
      <c r="H19" s="2" t="e">
        <f ca="1"/>
        <v>#VALUE!</v>
      </c>
      <c r="I19" s="2" t="e">
        <f ca="1"/>
        <v>#VALUE!</v>
      </c>
      <c r="J19" s="2" t="e">
        <f ca="1"/>
        <v>#VALUE!</v>
      </c>
      <c r="K19" s="2" t="e">
        <f ca="1"/>
        <v>#VALUE!</v>
      </c>
      <c r="L19" s="2">
        <f ca="1"/>
        <v>5.4956279271394237E-2</v>
      </c>
      <c r="M19" s="2">
        <f ca="1"/>
        <v>9.7099647551954896E-2</v>
      </c>
      <c r="N19" s="2">
        <f ca="1"/>
        <v>0.8841356673960612</v>
      </c>
      <c r="O19" s="2">
        <f ca="1"/>
        <v>0.5474487016524423</v>
      </c>
      <c r="P19" s="2">
        <f ca="1"/>
        <v>0.84394121372262165</v>
      </c>
      <c r="Q19" s="2">
        <f ca="1"/>
        <v>1.2622578755804712</v>
      </c>
      <c r="R19" s="2">
        <f ca="1"/>
        <v>2.044663999346779</v>
      </c>
      <c r="S19" s="2">
        <f ca="1"/>
        <v>3.0348056324467443</v>
      </c>
      <c r="T19" s="2">
        <f ca="1"/>
        <v>4.1942191328699305</v>
      </c>
      <c r="U19" s="2">
        <f ca="1"/>
        <v>4.2930733213110432</v>
      </c>
      <c r="V19" s="31">
        <f ca="1"/>
        <v>5.8465504737769063</v>
      </c>
      <c r="W19" s="32">
        <f ca="1"/>
        <v>6.3463041633686794</v>
      </c>
      <c r="X19" s="2">
        <f ca="1"/>
        <v>6.8634742414179302</v>
      </c>
      <c r="Y19" s="2">
        <f ca="1"/>
        <v>7.4408646941714336</v>
      </c>
      <c r="Z19" s="2">
        <f ca="1"/>
        <v>8.0710104111058936</v>
      </c>
      <c r="AA19" s="2">
        <f ca="1"/>
        <v>8.7642504428201526</v>
      </c>
      <c r="AB19" s="2">
        <f ca="1"/>
        <v>9.5284763811453157</v>
      </c>
    </row>
    <row r="20" spans="2:28" x14ac:dyDescent="0.35">
      <c r="B20" t="s">
        <v>283</v>
      </c>
      <c r="C20" s="2" t="e" cm="1">
        <f t="array" ref="C20:AB20">'Income statement'!$C$7:$AB$7/'Income statement'!$C$35:$AB$35/10</f>
        <v>#VALUE!</v>
      </c>
      <c r="D20" s="2" t="e">
        <v>#VALUE!</v>
      </c>
      <c r="E20" s="2" t="e">
        <v>#VALUE!</v>
      </c>
      <c r="F20" s="2" t="e">
        <v>#VALUE!</v>
      </c>
      <c r="G20" s="2" t="e">
        <v>#VALUE!</v>
      </c>
      <c r="H20" s="2" t="e">
        <v>#VALUE!</v>
      </c>
      <c r="I20" s="2" t="e">
        <v>#VALUE!</v>
      </c>
      <c r="J20" s="2" t="e">
        <v>#VALUE!</v>
      </c>
      <c r="K20" s="2" t="e">
        <v>#VALUE!</v>
      </c>
      <c r="L20" s="2">
        <v>1.119634285640753E-2</v>
      </c>
      <c r="M20" s="2">
        <v>2.8730778874188973E-2</v>
      </c>
      <c r="N20" s="2">
        <v>0.11100984682713347</v>
      </c>
      <c r="O20" s="2">
        <v>6.9960277828218634E-2</v>
      </c>
      <c r="P20" s="2">
        <v>0.10422859388989583</v>
      </c>
      <c r="Q20" s="2">
        <v>0.13827929548592227</v>
      </c>
      <c r="R20" s="2">
        <v>0.17066077406711849</v>
      </c>
      <c r="S20" s="2">
        <v>0.23999418301440206</v>
      </c>
      <c r="T20" s="2">
        <v>0.31560634095114265</v>
      </c>
      <c r="U20" s="2">
        <v>0.38908237401585821</v>
      </c>
      <c r="V20" s="31">
        <v>0.48709187048238378</v>
      </c>
      <c r="W20" s="32">
        <v>0.62958419186586201</v>
      </c>
      <c r="X20" s="2">
        <v>0.76015574289316878</v>
      </c>
      <c r="Y20" s="2">
        <v>0.88459069622110209</v>
      </c>
      <c r="Z20" s="2">
        <v>0.99074157976763466</v>
      </c>
      <c r="AA20" s="2">
        <v>1.1096305693397508</v>
      </c>
      <c r="AB20" s="2">
        <v>1.242786237660521</v>
      </c>
    </row>
    <row r="21" spans="2:28" x14ac:dyDescent="0.35">
      <c r="B21" t="s">
        <v>98</v>
      </c>
      <c r="C21" s="2" cm="1">
        <f t="array" aca="1" ref="C21:AB21" ca="1">'Income statement'!$C$84:$AB$84</f>
        <v>0</v>
      </c>
      <c r="D21" s="2" t="e">
        <f ca="1"/>
        <v>#VALUE!</v>
      </c>
      <c r="E21" s="2" t="e">
        <f ca="1"/>
        <v>#VALUE!</v>
      </c>
      <c r="F21" s="2" t="e">
        <f ca="1"/>
        <v>#VALUE!</v>
      </c>
      <c r="G21" s="2" t="e">
        <f ca="1"/>
        <v>#VALUE!</v>
      </c>
      <c r="H21" s="2" t="e">
        <f ca="1"/>
        <v>#VALUE!</v>
      </c>
      <c r="I21" s="2" t="e">
        <f ca="1"/>
        <v>#VALUE!</v>
      </c>
      <c r="J21" s="2" t="e">
        <f ca="1"/>
        <v>#VALUE!</v>
      </c>
      <c r="K21" s="2" t="e">
        <f ca="1"/>
        <v>#VALUE!</v>
      </c>
      <c r="L21" s="2" t="e">
        <f ca="1"/>
        <v>#VALUE!</v>
      </c>
      <c r="M21" s="2">
        <f ca="1"/>
        <v>2.2278078270449031E-2</v>
      </c>
      <c r="N21" s="2">
        <f ca="1"/>
        <v>-9.2054156100317711E-2</v>
      </c>
      <c r="O21" s="2">
        <f ca="1"/>
        <v>0.16298126283367556</v>
      </c>
      <c r="P21" s="2">
        <f ca="1"/>
        <v>0.19619583968658524</v>
      </c>
      <c r="Q21" s="2">
        <f ca="1"/>
        <v>0.23145119071784953</v>
      </c>
      <c r="R21" s="2">
        <f ca="1"/>
        <v>0.50068599293344629</v>
      </c>
      <c r="S21" s="2">
        <f ca="1"/>
        <v>0.27875194755265981</v>
      </c>
      <c r="T21" s="2">
        <f ca="1"/>
        <v>0.10693414391090324</v>
      </c>
      <c r="U21" s="2">
        <f ca="1"/>
        <v>0.35784171093692974</v>
      </c>
      <c r="V21" s="31">
        <f ca="1"/>
        <v>0.78449984332994716</v>
      </c>
      <c r="W21" s="32">
        <f ca="1"/>
        <v>0.47062378147819395</v>
      </c>
      <c r="X21" s="2">
        <f ca="1"/>
        <v>0.51717007804924986</v>
      </c>
      <c r="Y21" s="2">
        <f ca="1"/>
        <v>0.5773904527535032</v>
      </c>
      <c r="Z21" s="2">
        <f ca="1"/>
        <v>0.63014571693445998</v>
      </c>
      <c r="AA21" s="2">
        <f ca="1"/>
        <v>0.6932400317142593</v>
      </c>
      <c r="AB21" s="2">
        <f ca="1"/>
        <v>0.76422593832516394</v>
      </c>
    </row>
    <row r="22" spans="2:28" x14ac:dyDescent="0.35">
      <c r="B22" t="s">
        <v>411</v>
      </c>
      <c r="C22" s="2" cm="1">
        <f t="array" aca="1" ref="C22:AB22" ca="1">'Income statement'!$C$86:$AB$86</f>
        <v>0</v>
      </c>
      <c r="D22" s="2" t="e">
        <f ca="1"/>
        <v>#VALUE!</v>
      </c>
      <c r="E22" s="2" t="e">
        <f ca="1"/>
        <v>#VALUE!</v>
      </c>
      <c r="F22" s="2" t="e">
        <f ca="1"/>
        <v>#VALUE!</v>
      </c>
      <c r="G22" s="2" t="e">
        <f ca="1"/>
        <v>#VALUE!</v>
      </c>
      <c r="H22" s="2" t="e">
        <f ca="1"/>
        <v>#VALUE!</v>
      </c>
      <c r="I22" s="2" t="e">
        <f ca="1"/>
        <v>#VALUE!</v>
      </c>
      <c r="J22" s="2" t="e">
        <f ca="1"/>
        <v>#VALUE!</v>
      </c>
      <c r="K22" s="2" t="e">
        <f ca="1"/>
        <v>#VALUE!</v>
      </c>
      <c r="L22" s="2" t="e">
        <f ca="1"/>
        <v>#VALUE!</v>
      </c>
      <c r="M22" s="2">
        <f ca="1"/>
        <v>0.16695929264286571</v>
      </c>
      <c r="N22" s="2">
        <f ca="1"/>
        <v>3.8243960631530009E-2</v>
      </c>
      <c r="O22" s="2">
        <f ca="1"/>
        <v>0.34440531955852166</v>
      </c>
      <c r="P22" s="2">
        <f ca="1"/>
        <v>0.35379970839964814</v>
      </c>
      <c r="Q22" s="2">
        <f ca="1"/>
        <v>0.60129007788544753</v>
      </c>
      <c r="R22" s="2">
        <f ca="1"/>
        <v>0.54425532574333113</v>
      </c>
      <c r="S22" s="2">
        <f ca="1"/>
        <v>1.1803671516157102</v>
      </c>
      <c r="T22" s="2">
        <f ca="1"/>
        <v>1.2700595413960429</v>
      </c>
      <c r="U22" s="2">
        <f ca="1"/>
        <v>1.4474696207505797</v>
      </c>
      <c r="V22" s="31">
        <f ca="1"/>
        <v>1.8985541449706913</v>
      </c>
      <c r="W22" s="32">
        <f ca="1"/>
        <v>7.9318523322971707E-2</v>
      </c>
      <c r="X22" s="2">
        <f ca="1"/>
        <v>0.22494860778846035</v>
      </c>
      <c r="Y22" s="2">
        <f ca="1"/>
        <v>0.26472157313098599</v>
      </c>
      <c r="Z22" s="2">
        <f ca="1"/>
        <v>0.3146026957937022</v>
      </c>
      <c r="AA22" s="2">
        <f ca="1"/>
        <v>0.36101011586249215</v>
      </c>
      <c r="AB22" s="2">
        <f ca="1"/>
        <v>0.40640575124938622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59A1C-B81F-42FC-B3E8-5564D2155378}">
  <sheetPr codeName="Sheet12">
    <tabColor theme="0" tint="-0.249977111117893"/>
  </sheetPr>
  <dimension ref="A1:J4054"/>
  <sheetViews>
    <sheetView showGridLines="0" workbookViewId="0">
      <selection sqref="A1:A2"/>
    </sheetView>
  </sheetViews>
  <sheetFormatPr defaultRowHeight="14.5" x14ac:dyDescent="0.35"/>
  <cols>
    <col min="1" max="1" width="10.08984375" style="51" bestFit="1" customWidth="1"/>
    <col min="2" max="2" width="10.453125" bestFit="1" customWidth="1"/>
    <col min="4" max="4" width="18.6328125" style="51" bestFit="1" customWidth="1"/>
    <col min="5" max="5" width="10.08984375" style="57" bestFit="1" customWidth="1"/>
    <col min="6" max="6" width="8.7265625" style="57"/>
    <col min="7" max="7" width="18.1796875" style="2" bestFit="1" customWidth="1"/>
    <col min="8" max="9" width="17.08984375" style="57" bestFit="1" customWidth="1"/>
    <col min="10" max="10" width="12.453125" style="2" bestFit="1" customWidth="1"/>
  </cols>
  <sheetData>
    <row r="1" spans="1:10" ht="23.5" x14ac:dyDescent="0.55000000000000004">
      <c r="A1" s="5" t="str">
        <f>'Start Here'!$H$5</f>
        <v>Trade Desk, Inc. Class A</v>
      </c>
    </row>
    <row r="2" spans="1:10" ht="20" thickBot="1" x14ac:dyDescent="0.5">
      <c r="A2" s="12" t="str" cm="1">
        <f t="array" aca="1" ref="A2" ca="1">_xlfn.TEXTAFTER(CELL("filename"), "]")</f>
        <v>Raw daily returns</v>
      </c>
    </row>
    <row r="3" spans="1:10" ht="15" thickTop="1" x14ac:dyDescent="0.35"/>
    <row r="4" spans="1:10" s="1" customFormat="1" x14ac:dyDescent="0.35">
      <c r="A4" s="75" t="s">
        <v>281</v>
      </c>
      <c r="B4" s="75"/>
      <c r="C4" s="75"/>
      <c r="D4" s="74" t="s">
        <v>278</v>
      </c>
      <c r="E4" s="76" t="s">
        <v>280</v>
      </c>
      <c r="F4" s="76" t="s">
        <v>331</v>
      </c>
      <c r="G4" s="77" t="s">
        <v>263</v>
      </c>
    </row>
    <row r="5" spans="1:10" x14ac:dyDescent="0.35">
      <c r="A5" s="1" t="s">
        <v>276</v>
      </c>
      <c r="B5" s="51">
        <f>MIN(Daily_returns[price_date])+1</f>
        <v>42635</v>
      </c>
      <c r="H5"/>
      <c r="I5"/>
      <c r="J5"/>
    </row>
    <row r="6" spans="1:10" x14ac:dyDescent="0.35">
      <c r="A6" s="1" t="s">
        <v>277</v>
      </c>
      <c r="B6" s="51">
        <f>MAX(Daily_returns[price_date])</f>
        <v>45821</v>
      </c>
      <c r="D6" s="51" cm="1">
        <f t="array" ref="D6:D3192">_xlfn.SEQUENCE($B$7,,$B$6, -1)</f>
        <v>45821</v>
      </c>
      <c r="E6" s="57" cm="1">
        <f t="array" ref="E6:E3192">_xlfn.XLOOKUP(_xlfn.ANCHORARRAY($D$6),Daily_returns[price_date],Daily_returns[fin_curr_return_multiplier],1)</f>
        <v>0.96301499999999995</v>
      </c>
      <c r="F6" s="57" cm="1">
        <f t="array" ref="F6:F3192">_xlfn.SCAN(1,_xlfn.ANCHORARRAY($E$6),_xleta.PRODUCT)</f>
        <v>0.96301499999999995</v>
      </c>
      <c r="G6" s="2" cm="1">
        <f t="array" ref="G6:G3192">'Start Here'!$C$18/_xlfn.ANCHORARRAY($F$6)</f>
        <v>70.570032657850604</v>
      </c>
      <c r="H6"/>
      <c r="I6"/>
      <c r="J6"/>
    </row>
    <row r="7" spans="1:10" x14ac:dyDescent="0.35">
      <c r="A7" s="1" t="s">
        <v>279</v>
      </c>
      <c r="B7">
        <f>$B$6-$B$5+1</f>
        <v>3187</v>
      </c>
      <c r="D7" s="51">
        <v>45820</v>
      </c>
      <c r="E7" s="57">
        <v>0.97512799999999999</v>
      </c>
      <c r="F7" s="57">
        <v>0.93906289091999995</v>
      </c>
      <c r="G7" s="2">
        <v>72.370019790069207</v>
      </c>
      <c r="H7"/>
      <c r="I7"/>
      <c r="J7"/>
    </row>
    <row r="8" spans="1:10" x14ac:dyDescent="0.35">
      <c r="A8"/>
      <c r="D8" s="51">
        <v>45819</v>
      </c>
      <c r="E8" s="57">
        <v>1</v>
      </c>
      <c r="F8" s="57">
        <v>0.93906289091999995</v>
      </c>
      <c r="G8" s="2">
        <v>72.370019790069207</v>
      </c>
      <c r="H8"/>
      <c r="I8"/>
      <c r="J8"/>
    </row>
    <row r="9" spans="1:10" x14ac:dyDescent="0.35">
      <c r="A9"/>
      <c r="D9" s="51">
        <v>45818</v>
      </c>
      <c r="E9" s="57">
        <v>1.0123089999999999</v>
      </c>
      <c r="F9" s="57">
        <v>0.95062181604433416</v>
      </c>
      <c r="G9" s="2">
        <v>71.490048779640617</v>
      </c>
      <c r="H9"/>
      <c r="I9"/>
      <c r="J9"/>
    </row>
    <row r="10" spans="1:10" x14ac:dyDescent="0.35">
      <c r="A10"/>
      <c r="D10" s="51">
        <v>45817</v>
      </c>
      <c r="E10" s="57">
        <v>1.0004200000000001</v>
      </c>
      <c r="F10" s="57">
        <v>0.95102107720707285</v>
      </c>
      <c r="G10" s="2">
        <v>71.460035564703432</v>
      </c>
      <c r="H10"/>
      <c r="I10"/>
      <c r="J10"/>
    </row>
    <row r="11" spans="1:10" x14ac:dyDescent="0.35">
      <c r="A11"/>
      <c r="D11" s="51">
        <v>45816</v>
      </c>
      <c r="E11" s="57">
        <v>1</v>
      </c>
      <c r="F11" s="57">
        <v>0.95102107720707285</v>
      </c>
      <c r="G11" s="2">
        <v>71.460035564703432</v>
      </c>
      <c r="H11"/>
      <c r="I11"/>
      <c r="J11"/>
    </row>
    <row r="12" spans="1:10" x14ac:dyDescent="0.35">
      <c r="A12"/>
      <c r="D12" s="51">
        <v>45815</v>
      </c>
      <c r="E12" s="57">
        <v>1</v>
      </c>
      <c r="F12" s="57">
        <v>0.95102107720707285</v>
      </c>
      <c r="G12" s="2">
        <v>71.460035564703432</v>
      </c>
      <c r="H12"/>
      <c r="I12"/>
      <c r="J12"/>
    </row>
    <row r="13" spans="1:10" x14ac:dyDescent="0.35">
      <c r="A13"/>
      <c r="D13" s="51">
        <v>45814</v>
      </c>
      <c r="E13" s="57">
        <v>1.0049220000000001</v>
      </c>
      <c r="F13" s="57">
        <v>0.95570200294908614</v>
      </c>
      <c r="G13" s="2">
        <v>71.110031987262118</v>
      </c>
      <c r="H13"/>
      <c r="I13"/>
      <c r="J13"/>
    </row>
    <row r="14" spans="1:10" x14ac:dyDescent="0.35">
      <c r="A14"/>
      <c r="D14" s="51">
        <v>45813</v>
      </c>
      <c r="E14" s="57">
        <v>0.93504299999999996</v>
      </c>
      <c r="F14" s="57">
        <v>0.89362246794352229</v>
      </c>
      <c r="G14" s="2">
        <v>76.050012659591189</v>
      </c>
      <c r="H14"/>
      <c r="I14"/>
      <c r="J14"/>
    </row>
    <row r="15" spans="1:10" x14ac:dyDescent="0.35">
      <c r="A15"/>
      <c r="D15" s="51">
        <v>45812</v>
      </c>
      <c r="E15" s="57">
        <v>1.0221769999999999</v>
      </c>
      <c r="F15" s="57">
        <v>0.91344033341510567</v>
      </c>
      <c r="G15" s="2">
        <v>74.40004290802004</v>
      </c>
      <c r="H15"/>
      <c r="I15"/>
      <c r="J15"/>
    </row>
    <row r="16" spans="1:10" x14ac:dyDescent="0.35">
      <c r="A16"/>
      <c r="D16" s="51">
        <v>45811</v>
      </c>
      <c r="E16" s="57">
        <v>0.99505100000000002</v>
      </c>
      <c r="F16" s="57">
        <v>0.90891971720503428</v>
      </c>
      <c r="G16" s="2">
        <v>74.770080034108844</v>
      </c>
      <c r="H16"/>
      <c r="I16"/>
      <c r="J16"/>
    </row>
    <row r="17" spans="4:7" customFormat="1" x14ac:dyDescent="0.35">
      <c r="D17" s="51">
        <v>45810</v>
      </c>
      <c r="E17" s="57">
        <v>0.99401799999999996</v>
      </c>
      <c r="F17" s="57">
        <v>0.90348255945671374</v>
      </c>
      <c r="G17" s="2">
        <v>75.22004635138282</v>
      </c>
    </row>
    <row r="18" spans="4:7" customFormat="1" x14ac:dyDescent="0.35">
      <c r="D18" s="51">
        <v>45809</v>
      </c>
      <c r="E18" s="57">
        <v>1</v>
      </c>
      <c r="F18" s="57">
        <v>0.90348255945671374</v>
      </c>
      <c r="G18" s="2">
        <v>75.22004635138282</v>
      </c>
    </row>
    <row r="19" spans="4:7" customFormat="1" x14ac:dyDescent="0.35">
      <c r="D19" s="51">
        <v>45808</v>
      </c>
      <c r="E19" s="57">
        <v>1</v>
      </c>
      <c r="F19" s="57">
        <v>0.90348255945671374</v>
      </c>
      <c r="G19" s="2">
        <v>75.22004635138282</v>
      </c>
    </row>
    <row r="20" spans="4:7" customFormat="1" x14ac:dyDescent="0.35">
      <c r="D20" s="51">
        <v>45807</v>
      </c>
      <c r="E20" s="57">
        <v>1.0045409999999999</v>
      </c>
      <c r="F20" s="57">
        <v>0.90758527375920661</v>
      </c>
      <c r="G20" s="2">
        <v>74.880016197828482</v>
      </c>
    </row>
    <row r="21" spans="4:7" customFormat="1" x14ac:dyDescent="0.35">
      <c r="D21" s="51">
        <v>45806</v>
      </c>
      <c r="E21" s="57">
        <v>0.97322600000000004</v>
      </c>
      <c r="F21" s="57">
        <v>0.8832855856395776</v>
      </c>
      <c r="G21" s="2">
        <v>76.940007971250751</v>
      </c>
    </row>
    <row r="22" spans="4:7" customFormat="1" x14ac:dyDescent="0.35">
      <c r="D22" s="51">
        <v>45805</v>
      </c>
      <c r="E22" s="57">
        <v>1.0115700000000001</v>
      </c>
      <c r="F22" s="57">
        <v>0.89350519986542754</v>
      </c>
      <c r="G22" s="2">
        <v>76.059993842493114</v>
      </c>
    </row>
    <row r="23" spans="4:7" customFormat="1" x14ac:dyDescent="0.35">
      <c r="D23" s="51">
        <v>45804</v>
      </c>
      <c r="E23" s="57">
        <v>1.0293680000000001</v>
      </c>
      <c r="F23" s="57">
        <v>0.91974566057507545</v>
      </c>
      <c r="G23" s="2">
        <v>73.88999254153336</v>
      </c>
    </row>
    <row r="24" spans="4:7" customFormat="1" x14ac:dyDescent="0.35">
      <c r="D24" s="51">
        <v>45803</v>
      </c>
      <c r="E24" s="57">
        <v>1</v>
      </c>
      <c r="F24" s="57">
        <v>0.91974566057507545</v>
      </c>
      <c r="G24" s="2">
        <v>73.88999254153336</v>
      </c>
    </row>
    <row r="25" spans="4:7" customFormat="1" x14ac:dyDescent="0.35">
      <c r="D25" s="51">
        <v>45802</v>
      </c>
      <c r="E25" s="57">
        <v>1</v>
      </c>
      <c r="F25" s="57">
        <v>0.91974566057507545</v>
      </c>
      <c r="G25" s="2">
        <v>73.88999254153336</v>
      </c>
    </row>
    <row r="26" spans="4:7" customFormat="1" x14ac:dyDescent="0.35">
      <c r="D26" s="51">
        <v>45801</v>
      </c>
      <c r="E26" s="57">
        <v>1</v>
      </c>
      <c r="F26" s="57">
        <v>0.91974566057507545</v>
      </c>
      <c r="G26" s="2">
        <v>73.88999254153336</v>
      </c>
    </row>
    <row r="27" spans="4:7" customFormat="1" x14ac:dyDescent="0.35">
      <c r="D27" s="51">
        <v>45800</v>
      </c>
      <c r="E27" s="57">
        <v>0.99407999999999996</v>
      </c>
      <c r="F27" s="57">
        <v>0.91430076626447099</v>
      </c>
      <c r="G27" s="2">
        <v>74.330026297212854</v>
      </c>
    </row>
    <row r="28" spans="4:7" customFormat="1" x14ac:dyDescent="0.35">
      <c r="D28" s="51">
        <v>45799</v>
      </c>
      <c r="E28" s="57">
        <v>0.99812000000000001</v>
      </c>
      <c r="F28" s="57">
        <v>0.9125818808238938</v>
      </c>
      <c r="G28" s="2">
        <v>74.470029953525483</v>
      </c>
    </row>
    <row r="29" spans="4:7" customFormat="1" x14ac:dyDescent="0.35">
      <c r="D29" s="51">
        <v>45798</v>
      </c>
      <c r="E29" s="57">
        <v>0.96638999999999997</v>
      </c>
      <c r="F29" s="57">
        <v>0.88191000380940265</v>
      </c>
      <c r="G29" s="2">
        <v>77.060017129239213</v>
      </c>
    </row>
    <row r="30" spans="4:7" customFormat="1" x14ac:dyDescent="0.35">
      <c r="D30" s="51">
        <v>45797</v>
      </c>
      <c r="E30" s="57">
        <v>1.0096959999999999</v>
      </c>
      <c r="F30" s="57">
        <v>0.89046100320633859</v>
      </c>
      <c r="G30" s="2">
        <v>76.320018232457315</v>
      </c>
    </row>
    <row r="31" spans="4:7" customFormat="1" x14ac:dyDescent="0.35">
      <c r="D31" s="51">
        <v>45796</v>
      </c>
      <c r="E31" s="57">
        <v>1.0001310000000001</v>
      </c>
      <c r="F31" s="57">
        <v>0.89057765359775876</v>
      </c>
      <c r="G31" s="2">
        <v>76.310021619625132</v>
      </c>
    </row>
    <row r="32" spans="4:7" customFormat="1" x14ac:dyDescent="0.35">
      <c r="D32" s="51">
        <v>45795</v>
      </c>
      <c r="E32" s="57">
        <v>1</v>
      </c>
      <c r="F32" s="57">
        <v>0.89057765359775876</v>
      </c>
      <c r="G32" s="2">
        <v>76.310021619625132</v>
      </c>
    </row>
    <row r="33" spans="4:7" customFormat="1" x14ac:dyDescent="0.35">
      <c r="D33" s="51">
        <v>45794</v>
      </c>
      <c r="E33" s="57">
        <v>1</v>
      </c>
      <c r="F33" s="57">
        <v>0.89057765359775876</v>
      </c>
      <c r="G33" s="2">
        <v>76.310021619625132</v>
      </c>
    </row>
    <row r="34" spans="4:7" customFormat="1" x14ac:dyDescent="0.35">
      <c r="D34" s="51">
        <v>45793</v>
      </c>
      <c r="E34" s="57">
        <v>0.98464499999999999</v>
      </c>
      <c r="F34" s="57">
        <v>0.87690283372676514</v>
      </c>
      <c r="G34" s="2">
        <v>77.500034651702023</v>
      </c>
    </row>
    <row r="35" spans="4:7" customFormat="1" x14ac:dyDescent="0.35">
      <c r="D35" s="51">
        <v>45792</v>
      </c>
      <c r="E35" s="57">
        <v>0.97927699999999995</v>
      </c>
      <c r="F35" s="57">
        <v>0.8587307763034453</v>
      </c>
      <c r="G35" s="2">
        <v>79.140053990548154</v>
      </c>
    </row>
    <row r="36" spans="4:7" customFormat="1" x14ac:dyDescent="0.35">
      <c r="D36" s="51">
        <v>45791</v>
      </c>
      <c r="E36" s="57">
        <v>1.0127980000000001</v>
      </c>
      <c r="F36" s="57">
        <v>0.86972081277857682</v>
      </c>
      <c r="G36" s="2">
        <v>78.140018039676377</v>
      </c>
    </row>
    <row r="37" spans="4:7" customFormat="1" x14ac:dyDescent="0.35">
      <c r="D37" s="51">
        <v>45790</v>
      </c>
      <c r="E37" s="57">
        <v>0.98413099999999998</v>
      </c>
      <c r="F37" s="57">
        <v>0.85591921320059361</v>
      </c>
      <c r="G37" s="2">
        <v>79.400016907989254</v>
      </c>
    </row>
    <row r="38" spans="4:7" customFormat="1" x14ac:dyDescent="0.35">
      <c r="D38" s="51">
        <v>45789</v>
      </c>
      <c r="E38" s="57">
        <v>1.11768</v>
      </c>
      <c r="F38" s="57">
        <v>0.95664378621003943</v>
      </c>
      <c r="G38" s="2">
        <v>71.040026580049087</v>
      </c>
    </row>
    <row r="39" spans="4:7" customFormat="1" x14ac:dyDescent="0.35">
      <c r="D39" s="51">
        <v>45788</v>
      </c>
      <c r="E39" s="57">
        <v>1</v>
      </c>
      <c r="F39" s="57">
        <v>0.95664378621003943</v>
      </c>
      <c r="G39" s="2">
        <v>71.040026580049087</v>
      </c>
    </row>
    <row r="40" spans="4:7" customFormat="1" x14ac:dyDescent="0.35">
      <c r="D40" s="51">
        <v>45787</v>
      </c>
      <c r="E40" s="57">
        <v>1</v>
      </c>
      <c r="F40" s="57">
        <v>0.95664378621003943</v>
      </c>
      <c r="G40" s="2">
        <v>71.040026580049087</v>
      </c>
    </row>
    <row r="41" spans="4:7" customFormat="1" x14ac:dyDescent="0.35">
      <c r="D41" s="51">
        <v>45786</v>
      </c>
      <c r="E41" s="57">
        <v>1.1859770000000001</v>
      </c>
      <c r="F41" s="57">
        <v>1.134557527638024</v>
      </c>
      <c r="G41" s="2">
        <v>59.90000360888034</v>
      </c>
    </row>
    <row r="42" spans="4:7" customFormat="1" x14ac:dyDescent="0.35">
      <c r="D42" s="51">
        <v>45785</v>
      </c>
      <c r="E42" s="57">
        <v>1.0609280000000001</v>
      </c>
      <c r="F42" s="57">
        <v>1.2036838486819537</v>
      </c>
      <c r="G42" s="2">
        <v>56.460008227589746</v>
      </c>
    </row>
    <row r="43" spans="4:7" customFormat="1" x14ac:dyDescent="0.35">
      <c r="D43" s="51">
        <v>45784</v>
      </c>
      <c r="E43" s="57">
        <v>1.01492</v>
      </c>
      <c r="F43" s="57">
        <v>1.2216428117042886</v>
      </c>
      <c r="G43" s="2">
        <v>55.630008500758422</v>
      </c>
    </row>
    <row r="44" spans="4:7" customFormat="1" x14ac:dyDescent="0.35">
      <c r="D44" s="51">
        <v>45783</v>
      </c>
      <c r="E44" s="57">
        <v>1.0023420000000001</v>
      </c>
      <c r="F44" s="57">
        <v>1.2245038991693</v>
      </c>
      <c r="G44" s="2">
        <v>55.500027436502137</v>
      </c>
    </row>
    <row r="45" spans="4:7" customFormat="1" x14ac:dyDescent="0.35">
      <c r="D45" s="51">
        <v>45782</v>
      </c>
      <c r="E45" s="57">
        <v>1.026068</v>
      </c>
      <c r="F45" s="57">
        <v>1.2564242668128454</v>
      </c>
      <c r="G45" s="2">
        <v>54.090009079809654</v>
      </c>
    </row>
    <row r="46" spans="4:7" customFormat="1" x14ac:dyDescent="0.35">
      <c r="D46" s="51">
        <v>45781</v>
      </c>
      <c r="E46" s="57">
        <v>1</v>
      </c>
      <c r="F46" s="57">
        <v>1.2564242668128454</v>
      </c>
      <c r="G46" s="2">
        <v>54.090009079809654</v>
      </c>
    </row>
    <row r="47" spans="4:7" customFormat="1" x14ac:dyDescent="0.35">
      <c r="D47" s="51">
        <v>45780</v>
      </c>
      <c r="E47" s="57">
        <v>1</v>
      </c>
      <c r="F47" s="57">
        <v>1.2564242668128454</v>
      </c>
      <c r="G47" s="2">
        <v>54.090009079809654</v>
      </c>
    </row>
    <row r="48" spans="4:7" customFormat="1" x14ac:dyDescent="0.35">
      <c r="D48" s="51">
        <v>45779</v>
      </c>
      <c r="E48" s="57">
        <v>1.019412</v>
      </c>
      <c r="F48" s="57">
        <v>1.2808139746802163</v>
      </c>
      <c r="G48" s="2">
        <v>53.060008200619237</v>
      </c>
    </row>
    <row r="49" spans="4:7" customFormat="1" x14ac:dyDescent="0.35">
      <c r="D49" s="51">
        <v>45778</v>
      </c>
      <c r="E49" s="57">
        <v>0.98937200000000003</v>
      </c>
      <c r="F49" s="57">
        <v>1.2672014837573149</v>
      </c>
      <c r="G49" s="2">
        <v>53.629987710001132</v>
      </c>
    </row>
    <row r="50" spans="4:7" customFormat="1" x14ac:dyDescent="0.35">
      <c r="D50" s="51">
        <v>45777</v>
      </c>
      <c r="E50" s="57">
        <v>0.98097699999999999</v>
      </c>
      <c r="F50" s="57">
        <v>1.2430955099317995</v>
      </c>
      <c r="G50" s="2">
        <v>54.669974637530878</v>
      </c>
    </row>
    <row r="51" spans="4:7" customFormat="1" x14ac:dyDescent="0.35">
      <c r="D51" s="51">
        <v>45776</v>
      </c>
      <c r="E51" s="57">
        <v>1.0049630000000001</v>
      </c>
      <c r="F51" s="57">
        <v>1.2492649929475912</v>
      </c>
      <c r="G51" s="2">
        <v>54.3999874995705</v>
      </c>
    </row>
    <row r="52" spans="4:7" customFormat="1" x14ac:dyDescent="0.35">
      <c r="D52" s="51">
        <v>45775</v>
      </c>
      <c r="E52" s="57">
        <v>1.0079670000000001</v>
      </c>
      <c r="F52" s="57">
        <v>1.2592178871464048</v>
      </c>
      <c r="G52" s="2">
        <v>53.970008442310608</v>
      </c>
    </row>
    <row r="53" spans="4:7" customFormat="1" x14ac:dyDescent="0.35">
      <c r="D53" s="51">
        <v>45774</v>
      </c>
      <c r="E53" s="57">
        <v>1</v>
      </c>
      <c r="F53" s="57">
        <v>1.2592178871464048</v>
      </c>
      <c r="G53" s="2">
        <v>53.970008442310608</v>
      </c>
    </row>
    <row r="54" spans="4:7" customFormat="1" x14ac:dyDescent="0.35">
      <c r="D54" s="51">
        <v>45773</v>
      </c>
      <c r="E54" s="57">
        <v>1</v>
      </c>
      <c r="F54" s="57">
        <v>1.2592178871464048</v>
      </c>
      <c r="G54" s="2">
        <v>53.970008442310608</v>
      </c>
    </row>
    <row r="55" spans="4:7" customFormat="1" x14ac:dyDescent="0.35">
      <c r="D55" s="51">
        <v>45772</v>
      </c>
      <c r="E55" s="57">
        <v>1.0131410000000001</v>
      </c>
      <c r="F55" s="57">
        <v>1.2757652694013959</v>
      </c>
      <c r="G55" s="2">
        <v>53.269987536098725</v>
      </c>
    </row>
    <row r="56" spans="4:7" customFormat="1" x14ac:dyDescent="0.35">
      <c r="D56" s="51">
        <v>45771</v>
      </c>
      <c r="E56" s="57">
        <v>1.063698</v>
      </c>
      <c r="F56" s="57">
        <v>1.357028965531726</v>
      </c>
      <c r="G56" s="2">
        <v>50.079992193365719</v>
      </c>
    </row>
    <row r="57" spans="4:7" customFormat="1" x14ac:dyDescent="0.35">
      <c r="D57" s="51">
        <v>45770</v>
      </c>
      <c r="E57" s="57">
        <v>1.029182</v>
      </c>
      <c r="F57" s="57">
        <v>1.3966297848038729</v>
      </c>
      <c r="G57" s="2">
        <v>48.659996184703694</v>
      </c>
    </row>
    <row r="58" spans="4:7" customFormat="1" x14ac:dyDescent="0.35">
      <c r="D58" s="51">
        <v>45769</v>
      </c>
      <c r="E58" s="57">
        <v>1.023129</v>
      </c>
      <c r="F58" s="57">
        <v>1.4289324350966015</v>
      </c>
      <c r="G58" s="2">
        <v>47.559981375470443</v>
      </c>
    </row>
    <row r="59" spans="4:7" customFormat="1" x14ac:dyDescent="0.35">
      <c r="D59" s="51">
        <v>45768</v>
      </c>
      <c r="E59" s="57">
        <v>0.94627899999999998</v>
      </c>
      <c r="F59" s="57">
        <v>1.3521687557507769</v>
      </c>
      <c r="G59" s="2">
        <v>50.259998769359193</v>
      </c>
    </row>
    <row r="60" spans="4:7" customFormat="1" x14ac:dyDescent="0.35">
      <c r="D60" s="51">
        <v>45767</v>
      </c>
      <c r="E60" s="57">
        <v>1</v>
      </c>
      <c r="F60" s="57">
        <v>1.3521687557507769</v>
      </c>
      <c r="G60" s="2">
        <v>50.259998769359193</v>
      </c>
    </row>
    <row r="61" spans="4:7" customFormat="1" x14ac:dyDescent="0.35">
      <c r="D61" s="51">
        <v>45766</v>
      </c>
      <c r="E61" s="57">
        <v>1</v>
      </c>
      <c r="F61" s="57">
        <v>1.3521687557507769</v>
      </c>
      <c r="G61" s="2">
        <v>50.259998769359193</v>
      </c>
    </row>
    <row r="62" spans="4:7" customFormat="1" x14ac:dyDescent="0.35">
      <c r="D62" s="51">
        <v>45765</v>
      </c>
      <c r="E62" s="57">
        <v>1</v>
      </c>
      <c r="F62" s="57">
        <v>1.3521687557507769</v>
      </c>
      <c r="G62" s="2">
        <v>50.259998769359193</v>
      </c>
    </row>
    <row r="63" spans="4:7" customFormat="1" x14ac:dyDescent="0.35">
      <c r="D63" s="51">
        <v>45764</v>
      </c>
      <c r="E63" s="57">
        <v>1.037358</v>
      </c>
      <c r="F63" s="57">
        <v>1.4026830761281144</v>
      </c>
      <c r="G63" s="2">
        <v>48.450003537215878</v>
      </c>
    </row>
    <row r="64" spans="4:7" customFormat="1" x14ac:dyDescent="0.35">
      <c r="D64" s="51">
        <v>45763</v>
      </c>
      <c r="E64" s="57">
        <v>0.98395600000000005</v>
      </c>
      <c r="F64" s="57">
        <v>1.380178428854715</v>
      </c>
      <c r="G64" s="2">
        <v>49.240010261857115</v>
      </c>
    </row>
    <row r="65" spans="4:7" customFormat="1" x14ac:dyDescent="0.35">
      <c r="D65" s="51">
        <v>45762</v>
      </c>
      <c r="E65" s="57">
        <v>1.0123359999999999</v>
      </c>
      <c r="F65" s="57">
        <v>1.3972043099530667</v>
      </c>
      <c r="G65" s="2">
        <v>48.639987377567444</v>
      </c>
    </row>
    <row r="66" spans="4:7" customFormat="1" x14ac:dyDescent="0.35">
      <c r="D66" s="51">
        <v>45761</v>
      </c>
      <c r="E66" s="57">
        <v>0.97709900000000005</v>
      </c>
      <c r="F66" s="57">
        <v>1.3652069340508315</v>
      </c>
      <c r="G66" s="2">
        <v>49.77999913782272</v>
      </c>
    </row>
    <row r="67" spans="4:7" customFormat="1" x14ac:dyDescent="0.35">
      <c r="D67" s="51">
        <v>45760</v>
      </c>
      <c r="E67" s="57">
        <v>1</v>
      </c>
      <c r="F67" s="57">
        <v>1.3652069340508315</v>
      </c>
      <c r="G67" s="2">
        <v>49.77999913782272</v>
      </c>
    </row>
    <row r="68" spans="4:7" customFormat="1" x14ac:dyDescent="0.35">
      <c r="D68" s="51">
        <v>45759</v>
      </c>
      <c r="E68" s="57">
        <v>1</v>
      </c>
      <c r="F68" s="57">
        <v>1.3652069340508315</v>
      </c>
      <c r="G68" s="2">
        <v>49.77999913782272</v>
      </c>
    </row>
    <row r="69" spans="4:7" customFormat="1" x14ac:dyDescent="0.35">
      <c r="D69" s="51">
        <v>45758</v>
      </c>
      <c r="E69" s="57">
        <v>1.010351</v>
      </c>
      <c r="F69" s="57">
        <v>1.3793381910251916</v>
      </c>
      <c r="G69" s="2">
        <v>49.270005312829625</v>
      </c>
    </row>
    <row r="70" spans="4:7" customFormat="1" x14ac:dyDescent="0.35">
      <c r="D70" s="51">
        <v>45757</v>
      </c>
      <c r="E70" s="57">
        <v>0.91038399999999997</v>
      </c>
      <c r="F70" s="57">
        <v>1.2557274196982779</v>
      </c>
      <c r="G70" s="2">
        <v>54.120025519813211</v>
      </c>
    </row>
    <row r="71" spans="4:7" customFormat="1" x14ac:dyDescent="0.35">
      <c r="D71" s="51">
        <v>45756</v>
      </c>
      <c r="E71" s="57">
        <v>1.1954940000000001</v>
      </c>
      <c r="F71" s="57">
        <v>1.5012145958847731</v>
      </c>
      <c r="G71" s="2">
        <v>45.270010154641689</v>
      </c>
    </row>
    <row r="72" spans="4:7" customFormat="1" x14ac:dyDescent="0.35">
      <c r="D72" s="51">
        <v>45755</v>
      </c>
      <c r="E72" s="57">
        <v>0.97690999999999995</v>
      </c>
      <c r="F72" s="57">
        <v>1.4665515508657936</v>
      </c>
      <c r="G72" s="2">
        <v>46.340000772478213</v>
      </c>
    </row>
    <row r="73" spans="4:7" customFormat="1" x14ac:dyDescent="0.35">
      <c r="D73" s="51">
        <v>45754</v>
      </c>
      <c r="E73" s="57">
        <v>1.0021629999999999</v>
      </c>
      <c r="F73" s="57">
        <v>1.4697237018703162</v>
      </c>
      <c r="G73" s="2">
        <v>46.239983687761587</v>
      </c>
    </row>
    <row r="74" spans="4:7" customFormat="1" x14ac:dyDescent="0.35">
      <c r="D74" s="51">
        <v>45753</v>
      </c>
      <c r="E74" s="57">
        <v>1</v>
      </c>
      <c r="F74" s="57">
        <v>1.4697237018703162</v>
      </c>
      <c r="G74" s="2">
        <v>46.239983687761587</v>
      </c>
    </row>
    <row r="75" spans="4:7" customFormat="1" x14ac:dyDescent="0.35">
      <c r="D75" s="51">
        <v>45752</v>
      </c>
      <c r="E75" s="57">
        <v>1</v>
      </c>
      <c r="F75" s="57">
        <v>1.4697237018703162</v>
      </c>
      <c r="G75" s="2">
        <v>46.239983687761587</v>
      </c>
    </row>
    <row r="76" spans="4:7" customFormat="1" x14ac:dyDescent="0.35">
      <c r="D76" s="51">
        <v>45751</v>
      </c>
      <c r="E76" s="57">
        <v>0.94213499999999994</v>
      </c>
      <c r="F76" s="57">
        <v>1.3846781398615902</v>
      </c>
      <c r="G76" s="2">
        <v>49.079997758029997</v>
      </c>
    </row>
    <row r="77" spans="4:7" customFormat="1" x14ac:dyDescent="0.35">
      <c r="D77" s="51">
        <v>45750</v>
      </c>
      <c r="E77" s="57">
        <v>0.87175800000000003</v>
      </c>
      <c r="F77" s="57">
        <v>1.2071042458494601</v>
      </c>
      <c r="G77" s="2">
        <v>56.300025647060309</v>
      </c>
    </row>
    <row r="78" spans="4:7" customFormat="1" x14ac:dyDescent="0.35">
      <c r="D78" s="51">
        <v>45749</v>
      </c>
      <c r="E78" s="57">
        <v>0.985989</v>
      </c>
      <c r="F78" s="57">
        <v>1.1901915082608634</v>
      </c>
      <c r="G78" s="2">
        <v>57.100054510811283</v>
      </c>
    </row>
    <row r="79" spans="4:7" customFormat="1" x14ac:dyDescent="0.35">
      <c r="D79" s="51">
        <v>45748</v>
      </c>
      <c r="E79" s="57">
        <v>1.0434939999999999</v>
      </c>
      <c r="F79" s="57">
        <v>1.2419576977211613</v>
      </c>
      <c r="G79" s="2">
        <v>54.720060211952621</v>
      </c>
    </row>
    <row r="80" spans="4:7" customFormat="1" x14ac:dyDescent="0.35">
      <c r="D80" s="51">
        <v>45747</v>
      </c>
      <c r="E80" s="57">
        <v>0.97976700000000005</v>
      </c>
      <c r="F80" s="57">
        <v>1.2168291676231691</v>
      </c>
      <c r="G80" s="2">
        <v>55.850074774872617</v>
      </c>
    </row>
    <row r="81" spans="4:7" customFormat="1" x14ac:dyDescent="0.35">
      <c r="D81" s="51">
        <v>45746</v>
      </c>
      <c r="E81" s="57">
        <v>1</v>
      </c>
      <c r="F81" s="57">
        <v>1.2168291676231691</v>
      </c>
      <c r="G81" s="2">
        <v>55.850074774872617</v>
      </c>
    </row>
    <row r="82" spans="4:7" customFormat="1" x14ac:dyDescent="0.35">
      <c r="D82" s="51">
        <v>45745</v>
      </c>
      <c r="E82" s="57">
        <v>1</v>
      </c>
      <c r="F82" s="57">
        <v>1.2168291676231691</v>
      </c>
      <c r="G82" s="2">
        <v>55.850074774872617</v>
      </c>
    </row>
    <row r="83" spans="4:7" customFormat="1" x14ac:dyDescent="0.35">
      <c r="D83" s="51">
        <v>45744</v>
      </c>
      <c r="E83" s="57">
        <v>0.97537499999999999</v>
      </c>
      <c r="F83" s="57">
        <v>1.1868647493704485</v>
      </c>
      <c r="G83" s="2">
        <v>57.260104856975637</v>
      </c>
    </row>
    <row r="84" spans="4:7" customFormat="1" x14ac:dyDescent="0.35">
      <c r="D84" s="51">
        <v>45743</v>
      </c>
      <c r="E84" s="57">
        <v>0.97380999999999995</v>
      </c>
      <c r="F84" s="57">
        <v>1.1557807615844364</v>
      </c>
      <c r="G84" s="2">
        <v>58.800078923995073</v>
      </c>
    </row>
    <row r="85" spans="4:7" customFormat="1" x14ac:dyDescent="0.35">
      <c r="D85" s="51">
        <v>45742</v>
      </c>
      <c r="E85" s="57">
        <v>0.94838699999999998</v>
      </c>
      <c r="F85" s="57">
        <v>1.096127449136779</v>
      </c>
      <c r="G85" s="2">
        <v>62.000089545718225</v>
      </c>
    </row>
    <row r="86" spans="4:7" customFormat="1" x14ac:dyDescent="0.35">
      <c r="D86" s="51">
        <v>45741</v>
      </c>
      <c r="E86" s="57">
        <v>1.044826</v>
      </c>
      <c r="F86" s="57">
        <v>1.1452624581717843</v>
      </c>
      <c r="G86" s="2">
        <v>59.340109784517438</v>
      </c>
    </row>
    <row r="87" spans="4:7" customFormat="1" x14ac:dyDescent="0.35">
      <c r="D87" s="51">
        <v>45740</v>
      </c>
      <c r="E87" s="57">
        <v>1.053809</v>
      </c>
      <c r="F87" s="57">
        <v>1.2068878857835499</v>
      </c>
      <c r="G87" s="2">
        <v>56.310118612117982</v>
      </c>
    </row>
    <row r="88" spans="4:7" customFormat="1" x14ac:dyDescent="0.35">
      <c r="D88" s="51">
        <v>45739</v>
      </c>
      <c r="E88" s="57">
        <v>1</v>
      </c>
      <c r="F88" s="57">
        <v>1.2068878857835499</v>
      </c>
      <c r="G88" s="2">
        <v>56.310118612117982</v>
      </c>
    </row>
    <row r="89" spans="4:7" customFormat="1" x14ac:dyDescent="0.35">
      <c r="D89" s="51">
        <v>45738</v>
      </c>
      <c r="E89" s="57">
        <v>1</v>
      </c>
      <c r="F89" s="57">
        <v>1.2068878857835499</v>
      </c>
      <c r="G89" s="2">
        <v>56.310118612117982</v>
      </c>
    </row>
    <row r="90" spans="4:7" customFormat="1" x14ac:dyDescent="0.35">
      <c r="D90" s="51">
        <v>45737</v>
      </c>
      <c r="E90" s="57">
        <v>1.0082359999999999</v>
      </c>
      <c r="F90" s="57">
        <v>1.2168278144108631</v>
      </c>
      <c r="G90" s="2">
        <v>55.850136884735306</v>
      </c>
    </row>
    <row r="91" spans="4:7" customFormat="1" x14ac:dyDescent="0.35">
      <c r="D91" s="51">
        <v>45736</v>
      </c>
      <c r="E91" s="57">
        <v>1.0095810000000001</v>
      </c>
      <c r="F91" s="57">
        <v>1.2284862417007336</v>
      </c>
      <c r="G91" s="2">
        <v>55.320114864221203</v>
      </c>
    </row>
    <row r="92" spans="4:7" customFormat="1" x14ac:dyDescent="0.35">
      <c r="D92" s="51">
        <v>45735</v>
      </c>
      <c r="E92" s="57">
        <v>1.0322819999999999</v>
      </c>
      <c r="F92" s="57">
        <v>1.2681442345553167</v>
      </c>
      <c r="G92" s="2">
        <v>53.590118653838005</v>
      </c>
    </row>
    <row r="93" spans="4:7" customFormat="1" x14ac:dyDescent="0.35">
      <c r="D93" s="51">
        <v>45734</v>
      </c>
      <c r="E93" s="57">
        <v>0.94849600000000001</v>
      </c>
      <c r="F93" s="57">
        <v>1.2028297338987797</v>
      </c>
      <c r="G93" s="2">
        <v>56.500099793607987</v>
      </c>
    </row>
    <row r="94" spans="4:7" customFormat="1" x14ac:dyDescent="0.35">
      <c r="D94" s="51">
        <v>45733</v>
      </c>
      <c r="E94" s="57">
        <v>1.0474600000000001</v>
      </c>
      <c r="F94" s="57">
        <v>1.2599160330696157</v>
      </c>
      <c r="G94" s="2">
        <v>53.940102527645912</v>
      </c>
    </row>
    <row r="95" spans="4:7" customFormat="1" x14ac:dyDescent="0.35">
      <c r="D95" s="51">
        <v>45732</v>
      </c>
      <c r="E95" s="57">
        <v>1</v>
      </c>
      <c r="F95" s="57">
        <v>1.2599160330696157</v>
      </c>
      <c r="G95" s="2">
        <v>53.940102527645912</v>
      </c>
    </row>
    <row r="96" spans="4:7" customFormat="1" x14ac:dyDescent="0.35">
      <c r="D96" s="51">
        <v>45731</v>
      </c>
      <c r="E96" s="57">
        <v>1</v>
      </c>
      <c r="F96" s="57">
        <v>1.2599160330696157</v>
      </c>
      <c r="G96" s="2">
        <v>53.940102527645912</v>
      </c>
    </row>
    <row r="97" spans="4:7" customFormat="1" x14ac:dyDescent="0.35">
      <c r="D97" s="51">
        <v>45730</v>
      </c>
      <c r="E97" s="57">
        <v>1.0011140000000001</v>
      </c>
      <c r="F97" s="57">
        <v>1.2613195795304555</v>
      </c>
      <c r="G97" s="2">
        <v>53.880080118394012</v>
      </c>
    </row>
    <row r="98" spans="4:7" customFormat="1" x14ac:dyDescent="0.35">
      <c r="D98" s="51">
        <v>45729</v>
      </c>
      <c r="E98" s="57">
        <v>0.89501699999999995</v>
      </c>
      <c r="F98" s="57">
        <v>1.1289024661126097</v>
      </c>
      <c r="G98" s="2">
        <v>60.200063371303578</v>
      </c>
    </row>
    <row r="99" spans="4:7" customFormat="1" x14ac:dyDescent="0.35">
      <c r="D99" s="51">
        <v>45728</v>
      </c>
      <c r="E99" s="57">
        <v>1.0231140000000001</v>
      </c>
      <c r="F99" s="57">
        <v>1.1549959177143367</v>
      </c>
      <c r="G99" s="2">
        <v>58.840034806779663</v>
      </c>
    </row>
    <row r="100" spans="4:7" customFormat="1" x14ac:dyDescent="0.35">
      <c r="D100" s="51">
        <v>45727</v>
      </c>
      <c r="E100" s="57">
        <v>0.97562599999999999</v>
      </c>
      <c r="F100" s="57">
        <v>1.1268440472159675</v>
      </c>
      <c r="G100" s="2">
        <v>60.310031514924432</v>
      </c>
    </row>
    <row r="101" spans="4:7" customFormat="1" x14ac:dyDescent="0.35">
      <c r="D101" s="51">
        <v>45726</v>
      </c>
      <c r="E101" s="57">
        <v>0.92913299999999999</v>
      </c>
      <c r="F101" s="57">
        <v>1.0469879901219135</v>
      </c>
      <c r="G101" s="2">
        <v>64.910009132088121</v>
      </c>
    </row>
    <row r="102" spans="4:7" customFormat="1" x14ac:dyDescent="0.35">
      <c r="D102" s="51">
        <v>45725</v>
      </c>
      <c r="E102" s="57">
        <v>1</v>
      </c>
      <c r="F102" s="57">
        <v>1.0469879901219135</v>
      </c>
      <c r="G102" s="2">
        <v>64.910009132088121</v>
      </c>
    </row>
    <row r="103" spans="4:7" customFormat="1" x14ac:dyDescent="0.35">
      <c r="D103" s="51">
        <v>45724</v>
      </c>
      <c r="E103" s="57">
        <v>1</v>
      </c>
      <c r="F103" s="57">
        <v>1.0469879901219135</v>
      </c>
      <c r="G103" s="2">
        <v>64.910009132088121</v>
      </c>
    </row>
    <row r="104" spans="4:7" customFormat="1" x14ac:dyDescent="0.35">
      <c r="D104" s="51">
        <v>45723</v>
      </c>
      <c r="E104" s="57">
        <v>0.99892300000000001</v>
      </c>
      <c r="F104" s="57">
        <v>1.0458603840565521</v>
      </c>
      <c r="G104" s="2">
        <v>64.979992584101197</v>
      </c>
    </row>
    <row r="105" spans="4:7" customFormat="1" x14ac:dyDescent="0.35">
      <c r="D105" s="51">
        <v>45722</v>
      </c>
      <c r="E105" s="57">
        <v>0.97655499999999995</v>
      </c>
      <c r="F105" s="57">
        <v>1.0213401873523462</v>
      </c>
      <c r="G105" s="2">
        <v>66.540023433499599</v>
      </c>
    </row>
    <row r="106" spans="4:7" customFormat="1" x14ac:dyDescent="0.35">
      <c r="D106" s="51">
        <v>45721</v>
      </c>
      <c r="E106" s="57">
        <v>0.98431999999999997</v>
      </c>
      <c r="F106" s="57">
        <v>1.0053255732146613</v>
      </c>
      <c r="G106" s="2">
        <v>67.59999129703715</v>
      </c>
    </row>
    <row r="107" spans="4:7" customFormat="1" x14ac:dyDescent="0.35">
      <c r="D107" s="51">
        <v>45720</v>
      </c>
      <c r="E107" s="57">
        <v>1.006402</v>
      </c>
      <c r="F107" s="57">
        <v>1.0117616675343817</v>
      </c>
      <c r="G107" s="2">
        <v>67.169969154509971</v>
      </c>
    </row>
    <row r="108" spans="4:7" customFormat="1" x14ac:dyDescent="0.35">
      <c r="D108" s="51">
        <v>45719</v>
      </c>
      <c r="E108" s="57">
        <v>0.95520499999999997</v>
      </c>
      <c r="F108" s="57">
        <v>0.96643980363717907</v>
      </c>
      <c r="G108" s="2">
        <v>70.319951376416554</v>
      </c>
    </row>
    <row r="109" spans="4:7" customFormat="1" x14ac:dyDescent="0.35">
      <c r="D109" s="51">
        <v>45718</v>
      </c>
      <c r="E109" s="57">
        <v>1</v>
      </c>
      <c r="F109" s="57">
        <v>0.96643980363717907</v>
      </c>
      <c r="G109" s="2">
        <v>70.319951376416554</v>
      </c>
    </row>
    <row r="110" spans="4:7" customFormat="1" x14ac:dyDescent="0.35">
      <c r="D110" s="51">
        <v>45717</v>
      </c>
      <c r="E110" s="57">
        <v>1</v>
      </c>
      <c r="F110" s="57">
        <v>0.96643980363717907</v>
      </c>
      <c r="G110" s="2">
        <v>70.319951376416554</v>
      </c>
    </row>
    <row r="111" spans="4:7" customFormat="1" x14ac:dyDescent="0.35">
      <c r="D111" s="51">
        <v>45716</v>
      </c>
      <c r="E111" s="57">
        <v>0.98363400000000001</v>
      </c>
      <c r="F111" s="57">
        <v>0.95062304981085299</v>
      </c>
      <c r="G111" s="2">
        <v>71.489955996251197</v>
      </c>
    </row>
    <row r="112" spans="4:7" customFormat="1" x14ac:dyDescent="0.35">
      <c r="D112" s="51">
        <v>45715</v>
      </c>
      <c r="E112" s="57">
        <v>0.98702199999999995</v>
      </c>
      <c r="F112" s="57">
        <v>0.93828586387040769</v>
      </c>
      <c r="G112" s="2">
        <v>72.429951912167311</v>
      </c>
    </row>
    <row r="113" spans="4:7" customFormat="1" x14ac:dyDescent="0.35">
      <c r="D113" s="51">
        <v>45714</v>
      </c>
      <c r="E113" s="57">
        <v>0.96599100000000004</v>
      </c>
      <c r="F113" s="57">
        <v>0.90637569992603906</v>
      </c>
      <c r="G113" s="2">
        <v>74.979944856802291</v>
      </c>
    </row>
    <row r="114" spans="4:7" customFormat="1" x14ac:dyDescent="0.35">
      <c r="D114" s="51">
        <v>45713</v>
      </c>
      <c r="E114" s="57">
        <v>1.0105120000000001</v>
      </c>
      <c r="F114" s="57">
        <v>0.9159035212836617</v>
      </c>
      <c r="G114" s="2">
        <v>74.199954930572119</v>
      </c>
    </row>
    <row r="115" spans="4:7" customFormat="1" x14ac:dyDescent="0.35">
      <c r="D115" s="51">
        <v>45712</v>
      </c>
      <c r="E115" s="57">
        <v>1.0296970000000001</v>
      </c>
      <c r="F115" s="57">
        <v>0.94310310815522269</v>
      </c>
      <c r="G115" s="2">
        <v>72.059989424628895</v>
      </c>
    </row>
    <row r="116" spans="4:7" customFormat="1" x14ac:dyDescent="0.35">
      <c r="D116" s="51">
        <v>45711</v>
      </c>
      <c r="E116" s="57">
        <v>1</v>
      </c>
      <c r="F116" s="57">
        <v>0.94310310815522269</v>
      </c>
      <c r="G116" s="2">
        <v>72.059989424628895</v>
      </c>
    </row>
    <row r="117" spans="4:7" customFormat="1" x14ac:dyDescent="0.35">
      <c r="D117" s="51">
        <v>45710</v>
      </c>
      <c r="E117" s="57">
        <v>1</v>
      </c>
      <c r="F117" s="57">
        <v>0.94310310815522269</v>
      </c>
      <c r="G117" s="2">
        <v>72.059989424628895</v>
      </c>
    </row>
    <row r="118" spans="4:7" customFormat="1" x14ac:dyDescent="0.35">
      <c r="D118" s="51">
        <v>45709</v>
      </c>
      <c r="E118" s="57">
        <v>0.95153799999999999</v>
      </c>
      <c r="F118" s="57">
        <v>0.89739844532780433</v>
      </c>
      <c r="G118" s="2">
        <v>75.730017534380025</v>
      </c>
    </row>
    <row r="119" spans="4:7" customFormat="1" x14ac:dyDescent="0.35">
      <c r="D119" s="51">
        <v>45708</v>
      </c>
      <c r="E119" s="57">
        <v>0.98670999999999998</v>
      </c>
      <c r="F119" s="57">
        <v>0.88547201998939784</v>
      </c>
      <c r="G119" s="2">
        <v>76.750025371568157</v>
      </c>
    </row>
    <row r="120" spans="4:7" customFormat="1" x14ac:dyDescent="0.35">
      <c r="D120" s="51">
        <v>45707</v>
      </c>
      <c r="E120" s="57">
        <v>0.95901499999999995</v>
      </c>
      <c r="F120" s="57">
        <v>0.84918094925013232</v>
      </c>
      <c r="G120" s="2">
        <v>80.030057268726935</v>
      </c>
    </row>
    <row r="121" spans="4:7" customFormat="1" x14ac:dyDescent="0.35">
      <c r="D121" s="51">
        <v>45706</v>
      </c>
      <c r="E121" s="57">
        <v>0.99837799999999999</v>
      </c>
      <c r="F121" s="57">
        <v>0.84780357775044857</v>
      </c>
      <c r="G121" s="2">
        <v>80.160076913480609</v>
      </c>
    </row>
    <row r="122" spans="4:7" customFormat="1" x14ac:dyDescent="0.35">
      <c r="D122" s="51">
        <v>45705</v>
      </c>
      <c r="E122" s="57">
        <v>1</v>
      </c>
      <c r="F122" s="57">
        <v>0.84780357775044857</v>
      </c>
      <c r="G122" s="2">
        <v>80.160076913480609</v>
      </c>
    </row>
    <row r="123" spans="4:7" customFormat="1" x14ac:dyDescent="0.35">
      <c r="D123" s="51">
        <v>45704</v>
      </c>
      <c r="E123" s="57">
        <v>1</v>
      </c>
      <c r="F123" s="57">
        <v>0.84780357775044857</v>
      </c>
      <c r="G123" s="2">
        <v>80.160076913480609</v>
      </c>
    </row>
    <row r="124" spans="4:7" customFormat="1" x14ac:dyDescent="0.35">
      <c r="D124" s="51">
        <v>45703</v>
      </c>
      <c r="E124" s="57">
        <v>1</v>
      </c>
      <c r="F124" s="57">
        <v>0.84780357775044857</v>
      </c>
      <c r="G124" s="2">
        <v>80.160076913480609</v>
      </c>
    </row>
    <row r="125" spans="4:7" customFormat="1" x14ac:dyDescent="0.35">
      <c r="D125" s="51">
        <v>45702</v>
      </c>
      <c r="E125" s="57">
        <v>0.97851600000000005</v>
      </c>
      <c r="F125" s="57">
        <v>0.82958936568605801</v>
      </c>
      <c r="G125" s="2">
        <v>81.920047207690629</v>
      </c>
    </row>
    <row r="126" spans="4:7" customFormat="1" x14ac:dyDescent="0.35">
      <c r="D126" s="51">
        <v>45701</v>
      </c>
      <c r="E126" s="57">
        <v>0.67021200000000003</v>
      </c>
      <c r="F126" s="57">
        <v>0.55600074795518428</v>
      </c>
      <c r="G126" s="2">
        <v>122.23005139820032</v>
      </c>
    </row>
    <row r="127" spans="4:7" customFormat="1" x14ac:dyDescent="0.35">
      <c r="D127" s="51">
        <v>45700</v>
      </c>
      <c r="E127" s="57">
        <v>1.016804</v>
      </c>
      <c r="F127" s="57">
        <v>0.56534378452382317</v>
      </c>
      <c r="G127" s="2">
        <v>120.21004185487106</v>
      </c>
    </row>
    <row r="128" spans="4:7" customFormat="1" x14ac:dyDescent="0.35">
      <c r="D128" s="51">
        <v>45699</v>
      </c>
      <c r="E128" s="57">
        <v>0.98098600000000002</v>
      </c>
      <c r="F128" s="57">
        <v>0.55459433780488721</v>
      </c>
      <c r="G128" s="2">
        <v>122.54001775241549</v>
      </c>
    </row>
    <row r="129" spans="4:7" customFormat="1" x14ac:dyDescent="0.35">
      <c r="D129" s="51">
        <v>45698</v>
      </c>
      <c r="E129" s="57">
        <v>1.0447610000000001</v>
      </c>
      <c r="F129" s="57">
        <v>0.57941853495937179</v>
      </c>
      <c r="G129" s="2">
        <v>117.2900000597414</v>
      </c>
    </row>
    <row r="130" spans="4:7" customFormat="1" x14ac:dyDescent="0.35">
      <c r="D130" s="51">
        <v>45697</v>
      </c>
      <c r="E130" s="57">
        <v>1</v>
      </c>
      <c r="F130" s="57">
        <v>0.57941853495937179</v>
      </c>
      <c r="G130" s="2">
        <v>117.2900000597414</v>
      </c>
    </row>
    <row r="131" spans="4:7" customFormat="1" x14ac:dyDescent="0.35">
      <c r="D131" s="51">
        <v>45696</v>
      </c>
      <c r="E131" s="57">
        <v>1</v>
      </c>
      <c r="F131" s="57">
        <v>0.57941853495937179</v>
      </c>
      <c r="G131" s="2">
        <v>117.2900000597414</v>
      </c>
    </row>
    <row r="132" spans="4:7" customFormat="1" x14ac:dyDescent="0.35">
      <c r="D132" s="51">
        <v>45695</v>
      </c>
      <c r="E132" s="57">
        <v>1.0230269999999999</v>
      </c>
      <c r="F132" s="57">
        <v>0.59276080556388122</v>
      </c>
      <c r="G132" s="2">
        <v>114.64995553366764</v>
      </c>
    </row>
    <row r="133" spans="4:7" customFormat="1" x14ac:dyDescent="0.35">
      <c r="D133" s="51">
        <v>45694</v>
      </c>
      <c r="E133" s="57">
        <v>1.0027109999999999</v>
      </c>
      <c r="F133" s="57">
        <v>0.59436778010776481</v>
      </c>
      <c r="G133" s="2">
        <v>114.33997984829892</v>
      </c>
    </row>
    <row r="134" spans="4:7" customFormat="1" x14ac:dyDescent="0.35">
      <c r="D134" s="51">
        <v>45693</v>
      </c>
      <c r="E134" s="57">
        <v>1.0070460000000001</v>
      </c>
      <c r="F134" s="57">
        <v>0.59855569548640419</v>
      </c>
      <c r="G134" s="2">
        <v>113.53997716916497</v>
      </c>
    </row>
    <row r="135" spans="4:7" customFormat="1" x14ac:dyDescent="0.35">
      <c r="D135" s="51">
        <v>45692</v>
      </c>
      <c r="E135" s="57">
        <v>0.96269300000000002</v>
      </c>
      <c r="F135" s="57">
        <v>0.57622537815489294</v>
      </c>
      <c r="G135" s="2">
        <v>117.93996338309822</v>
      </c>
    </row>
    <row r="136" spans="4:7" customFormat="1" x14ac:dyDescent="0.35">
      <c r="D136" s="51">
        <v>45691</v>
      </c>
      <c r="E136" s="57">
        <v>0.99376500000000001</v>
      </c>
      <c r="F136" s="57">
        <v>0.57263261292209722</v>
      </c>
      <c r="G136" s="2">
        <v>118.679932763881</v>
      </c>
    </row>
    <row r="137" spans="4:7" customFormat="1" x14ac:dyDescent="0.35">
      <c r="D137" s="51">
        <v>45690</v>
      </c>
      <c r="E137" s="57">
        <v>1</v>
      </c>
      <c r="F137" s="57">
        <v>0.57263261292209722</v>
      </c>
      <c r="G137" s="2">
        <v>118.679932763881</v>
      </c>
    </row>
    <row r="138" spans="4:7" customFormat="1" x14ac:dyDescent="0.35">
      <c r="D138" s="51">
        <v>45689</v>
      </c>
      <c r="E138" s="57">
        <v>1</v>
      </c>
      <c r="F138" s="57">
        <v>0.57263261292209722</v>
      </c>
      <c r="G138" s="2">
        <v>118.679932763881</v>
      </c>
    </row>
    <row r="139" spans="4:7" customFormat="1" x14ac:dyDescent="0.35">
      <c r="D139" s="51">
        <v>45688</v>
      </c>
      <c r="E139" s="57">
        <v>0.99781399999999998</v>
      </c>
      <c r="F139" s="57">
        <v>0.57138083803024953</v>
      </c>
      <c r="G139" s="2">
        <v>118.93993546280268</v>
      </c>
    </row>
    <row r="140" spans="4:7" customFormat="1" x14ac:dyDescent="0.35">
      <c r="D140" s="51">
        <v>45687</v>
      </c>
      <c r="E140" s="57">
        <v>0.97022600000000003</v>
      </c>
      <c r="F140" s="57">
        <v>0.55436854495873689</v>
      </c>
      <c r="G140" s="2">
        <v>122.58992797843254</v>
      </c>
    </row>
    <row r="141" spans="4:7" customFormat="1" x14ac:dyDescent="0.35">
      <c r="D141" s="51">
        <v>45686</v>
      </c>
      <c r="E141" s="57">
        <v>1.0168379999999999</v>
      </c>
      <c r="F141" s="57">
        <v>0.56370300251875205</v>
      </c>
      <c r="G141" s="2">
        <v>120.55993971353602</v>
      </c>
    </row>
    <row r="142" spans="4:7" customFormat="1" x14ac:dyDescent="0.35">
      <c r="D142" s="51">
        <v>45685</v>
      </c>
      <c r="E142" s="57">
        <v>1.012259</v>
      </c>
      <c r="F142" s="57">
        <v>0.57061343762662942</v>
      </c>
      <c r="G142" s="2">
        <v>119.09989411162167</v>
      </c>
    </row>
    <row r="143" spans="4:7" customFormat="1" x14ac:dyDescent="0.35">
      <c r="D143" s="51">
        <v>45684</v>
      </c>
      <c r="E143" s="57">
        <v>0.99283100000000002</v>
      </c>
      <c r="F143" s="57">
        <v>0.56652270989228415</v>
      </c>
      <c r="G143" s="2">
        <v>119.95988653821411</v>
      </c>
    </row>
    <row r="144" spans="4:7" customFormat="1" x14ac:dyDescent="0.35">
      <c r="D144" s="51">
        <v>45683</v>
      </c>
      <c r="E144" s="57">
        <v>1</v>
      </c>
      <c r="F144" s="57">
        <v>0.56652270989228415</v>
      </c>
      <c r="G144" s="2">
        <v>119.95988653821411</v>
      </c>
    </row>
    <row r="145" spans="4:7" customFormat="1" x14ac:dyDescent="0.35">
      <c r="D145" s="51">
        <v>45682</v>
      </c>
      <c r="E145" s="57">
        <v>1</v>
      </c>
      <c r="F145" s="57">
        <v>0.56652270989228415</v>
      </c>
      <c r="G145" s="2">
        <v>119.95988653821411</v>
      </c>
    </row>
    <row r="146" spans="4:7" customFormat="1" x14ac:dyDescent="0.35">
      <c r="D146" s="51">
        <v>45681</v>
      </c>
      <c r="E146" s="57">
        <v>1.006883</v>
      </c>
      <c r="F146" s="57">
        <v>0.57042208570447273</v>
      </c>
      <c r="G146" s="2">
        <v>119.13984697150921</v>
      </c>
    </row>
    <row r="147" spans="4:7" customFormat="1" x14ac:dyDescent="0.35">
      <c r="D147" s="51">
        <v>45680</v>
      </c>
      <c r="E147" s="57">
        <v>0.98715699999999995</v>
      </c>
      <c r="F147" s="57">
        <v>0.5630961548577702</v>
      </c>
      <c r="G147" s="2">
        <v>120.68986693252361</v>
      </c>
    </row>
    <row r="148" spans="4:7" customFormat="1" x14ac:dyDescent="0.35">
      <c r="D148" s="51">
        <v>45679</v>
      </c>
      <c r="E148" s="57">
        <v>0.96939799999999998</v>
      </c>
      <c r="F148" s="57">
        <v>0.54586428632681272</v>
      </c>
      <c r="G148" s="2">
        <v>124.49981012187317</v>
      </c>
    </row>
    <row r="149" spans="4:7" customFormat="1" x14ac:dyDescent="0.35">
      <c r="D149" s="51">
        <v>45678</v>
      </c>
      <c r="E149" s="57">
        <v>1.0006429999999999</v>
      </c>
      <c r="F149" s="57">
        <v>0.54621527706292083</v>
      </c>
      <c r="G149" s="2">
        <v>124.41980818521009</v>
      </c>
    </row>
    <row r="150" spans="4:7" customFormat="1" x14ac:dyDescent="0.35">
      <c r="D150" s="51">
        <v>45677</v>
      </c>
      <c r="E150" s="57">
        <v>1</v>
      </c>
      <c r="F150" s="57">
        <v>0.54621527706292083</v>
      </c>
      <c r="G150" s="2">
        <v>124.41980818521009</v>
      </c>
    </row>
    <row r="151" spans="4:7" customFormat="1" x14ac:dyDescent="0.35">
      <c r="D151" s="51">
        <v>45676</v>
      </c>
      <c r="E151" s="57">
        <v>1</v>
      </c>
      <c r="F151" s="57">
        <v>0.54621527706292083</v>
      </c>
      <c r="G151" s="2">
        <v>124.41980818521009</v>
      </c>
    </row>
    <row r="152" spans="4:7" customFormat="1" x14ac:dyDescent="0.35">
      <c r="D152" s="51">
        <v>45675</v>
      </c>
      <c r="E152" s="57">
        <v>1</v>
      </c>
      <c r="F152" s="57">
        <v>0.54621527706292083</v>
      </c>
      <c r="G152" s="2">
        <v>124.41980818521009</v>
      </c>
    </row>
    <row r="153" spans="4:7" customFormat="1" x14ac:dyDescent="0.35">
      <c r="D153" s="51">
        <v>45674</v>
      </c>
      <c r="E153" s="57">
        <v>1.0296259999999999</v>
      </c>
      <c r="F153" s="57">
        <v>0.56239745086118687</v>
      </c>
      <c r="G153" s="2">
        <v>120.839808032441</v>
      </c>
    </row>
    <row r="154" spans="4:7" customFormat="1" x14ac:dyDescent="0.35">
      <c r="D154" s="51">
        <v>45673</v>
      </c>
      <c r="E154" s="57">
        <v>1.009693</v>
      </c>
      <c r="F154" s="57">
        <v>0.56784876935238437</v>
      </c>
      <c r="G154" s="2">
        <v>119.67975219442049</v>
      </c>
    </row>
    <row r="155" spans="4:7" customFormat="1" x14ac:dyDescent="0.35">
      <c r="D155" s="51">
        <v>45672</v>
      </c>
      <c r="E155" s="57">
        <v>1.0250090000000001</v>
      </c>
      <c r="F155" s="57">
        <v>0.58205009922511819</v>
      </c>
      <c r="G155" s="2">
        <v>116.75970864101727</v>
      </c>
    </row>
    <row r="156" spans="4:7" customFormat="1" x14ac:dyDescent="0.35">
      <c r="D156" s="51">
        <v>45671</v>
      </c>
      <c r="E156" s="57">
        <v>0.99041500000000005</v>
      </c>
      <c r="F156" s="57">
        <v>0.5764711490240455</v>
      </c>
      <c r="G156" s="2">
        <v>117.88968123566107</v>
      </c>
    </row>
    <row r="157" spans="4:7" customFormat="1" x14ac:dyDescent="0.35">
      <c r="D157" s="51">
        <v>45670</v>
      </c>
      <c r="E157" s="57">
        <v>0.99234</v>
      </c>
      <c r="F157" s="57">
        <v>0.57205538002252132</v>
      </c>
      <c r="G157" s="2">
        <v>118.7996868368312</v>
      </c>
    </row>
    <row r="158" spans="4:7" customFormat="1" x14ac:dyDescent="0.35">
      <c r="D158" s="51">
        <v>45669</v>
      </c>
      <c r="E158" s="57">
        <v>1</v>
      </c>
      <c r="F158" s="57">
        <v>0.57205538002252132</v>
      </c>
      <c r="G158" s="2">
        <v>118.7996868368312</v>
      </c>
    </row>
    <row r="159" spans="4:7" customFormat="1" x14ac:dyDescent="0.35">
      <c r="D159" s="51">
        <v>45668</v>
      </c>
      <c r="E159" s="57">
        <v>1</v>
      </c>
      <c r="F159" s="57">
        <v>0.57205538002252132</v>
      </c>
      <c r="G159" s="2">
        <v>118.7996868368312</v>
      </c>
    </row>
    <row r="160" spans="4:7" customFormat="1" x14ac:dyDescent="0.35">
      <c r="D160" s="51">
        <v>45667</v>
      </c>
      <c r="E160" s="57">
        <v>0.97761699999999996</v>
      </c>
      <c r="F160" s="57">
        <v>0.55925106445147721</v>
      </c>
      <c r="G160" s="2">
        <v>121.51966141835831</v>
      </c>
    </row>
    <row r="161" spans="4:7" customFormat="1" x14ac:dyDescent="0.35">
      <c r="D161" s="51">
        <v>45666</v>
      </c>
      <c r="E161" s="57">
        <v>1</v>
      </c>
      <c r="F161" s="57">
        <v>0.55925106445147721</v>
      </c>
      <c r="G161" s="2">
        <v>121.51966141835831</v>
      </c>
    </row>
    <row r="162" spans="4:7" customFormat="1" x14ac:dyDescent="0.35">
      <c r="D162" s="51">
        <v>45665</v>
      </c>
      <c r="E162" s="57">
        <v>1.0009060000000001</v>
      </c>
      <c r="F162" s="57">
        <v>0.55975774591587024</v>
      </c>
      <c r="G162" s="2">
        <v>121.40966426253645</v>
      </c>
    </row>
    <row r="163" spans="4:7" customFormat="1" x14ac:dyDescent="0.35">
      <c r="D163" s="51">
        <v>45664</v>
      </c>
      <c r="E163" s="57">
        <v>0.95915600000000001</v>
      </c>
      <c r="F163" s="57">
        <v>0.53689500054168249</v>
      </c>
      <c r="G163" s="2">
        <v>126.57968491312826</v>
      </c>
    </row>
    <row r="164" spans="4:7" customFormat="1" x14ac:dyDescent="0.35">
      <c r="D164" s="51">
        <v>45663</v>
      </c>
      <c r="E164" s="57">
        <v>1.0389029999999999</v>
      </c>
      <c r="F164" s="57">
        <v>0.55778182674775556</v>
      </c>
      <c r="G164" s="2">
        <v>121.83975300208803</v>
      </c>
    </row>
    <row r="165" spans="4:7" customFormat="1" x14ac:dyDescent="0.35">
      <c r="D165" s="51">
        <v>45662</v>
      </c>
      <c r="E165" s="57">
        <v>1</v>
      </c>
      <c r="F165" s="57">
        <v>0.55778182674775556</v>
      </c>
      <c r="G165" s="2">
        <v>121.83975300208803</v>
      </c>
    </row>
    <row r="166" spans="4:7" customFormat="1" x14ac:dyDescent="0.35">
      <c r="D166" s="51">
        <v>45661</v>
      </c>
      <c r="E166" s="57">
        <v>1</v>
      </c>
      <c r="F166" s="57">
        <v>0.55778182674775556</v>
      </c>
      <c r="G166" s="2">
        <v>121.83975300208803</v>
      </c>
    </row>
    <row r="167" spans="4:7" customFormat="1" x14ac:dyDescent="0.35">
      <c r="D167" s="51">
        <v>45660</v>
      </c>
      <c r="E167" s="57">
        <v>1.03491</v>
      </c>
      <c r="F167" s="57">
        <v>0.57725399031951974</v>
      </c>
      <c r="G167" s="2">
        <v>117.72980549235008</v>
      </c>
    </row>
    <row r="168" spans="4:7" customFormat="1" x14ac:dyDescent="0.35">
      <c r="D168" s="51">
        <v>45659</v>
      </c>
      <c r="E168" s="57">
        <v>1.0017020000000001</v>
      </c>
      <c r="F168" s="57">
        <v>0.5782364766110436</v>
      </c>
      <c r="G168" s="2">
        <v>117.52976982410944</v>
      </c>
    </row>
    <row r="169" spans="4:7" customFormat="1" x14ac:dyDescent="0.35">
      <c r="D169" s="51">
        <v>45658</v>
      </c>
      <c r="E169" s="57">
        <v>1</v>
      </c>
      <c r="F169" s="57">
        <v>0.5782364766110436</v>
      </c>
      <c r="G169" s="2">
        <v>117.52976982410944</v>
      </c>
    </row>
    <row r="170" spans="4:7" customFormat="1" x14ac:dyDescent="0.35">
      <c r="D170" s="51">
        <v>45657</v>
      </c>
      <c r="E170" s="57">
        <v>0.97803099999999998</v>
      </c>
      <c r="F170" s="57">
        <v>0.56553319945637559</v>
      </c>
      <c r="G170" s="2">
        <v>120.16977971466082</v>
      </c>
    </row>
    <row r="171" spans="4:7" customFormat="1" x14ac:dyDescent="0.35">
      <c r="D171" s="51">
        <v>45656</v>
      </c>
      <c r="E171" s="57">
        <v>0.98995</v>
      </c>
      <c r="F171" s="57">
        <v>0.55984959080183905</v>
      </c>
      <c r="G171" s="2">
        <v>121.38974666868106</v>
      </c>
    </row>
    <row r="172" spans="4:7" customFormat="1" x14ac:dyDescent="0.35">
      <c r="D172" s="51">
        <v>45655</v>
      </c>
      <c r="E172" s="57">
        <v>1</v>
      </c>
      <c r="F172" s="57">
        <v>0.55984959080183905</v>
      </c>
      <c r="G172" s="2">
        <v>121.38974666868106</v>
      </c>
    </row>
    <row r="173" spans="4:7" customFormat="1" x14ac:dyDescent="0.35">
      <c r="D173" s="51">
        <v>45654</v>
      </c>
      <c r="E173" s="57">
        <v>1</v>
      </c>
      <c r="F173" s="57">
        <v>0.55984959080183905</v>
      </c>
      <c r="G173" s="2">
        <v>121.38974666868106</v>
      </c>
    </row>
    <row r="174" spans="4:7" customFormat="1" x14ac:dyDescent="0.35">
      <c r="D174" s="51">
        <v>45653</v>
      </c>
      <c r="E174" s="57">
        <v>0.98323300000000002</v>
      </c>
      <c r="F174" s="57">
        <v>0.55046259271286457</v>
      </c>
      <c r="G174" s="2">
        <v>123.45979708642922</v>
      </c>
    </row>
    <row r="175" spans="4:7" customFormat="1" x14ac:dyDescent="0.35">
      <c r="D175" s="51">
        <v>45652</v>
      </c>
      <c r="E175" s="57">
        <v>0.99596600000000002</v>
      </c>
      <c r="F175" s="57">
        <v>0.5482420266138609</v>
      </c>
      <c r="G175" s="2">
        <v>123.95985112587098</v>
      </c>
    </row>
    <row r="176" spans="4:7" customFormat="1" x14ac:dyDescent="0.35">
      <c r="D176" s="51">
        <v>45651</v>
      </c>
      <c r="E176" s="57">
        <v>1</v>
      </c>
      <c r="F176" s="57">
        <v>0.5482420266138609</v>
      </c>
      <c r="G176" s="2">
        <v>123.95985112587098</v>
      </c>
    </row>
    <row r="177" spans="4:7" customFormat="1" x14ac:dyDescent="0.35">
      <c r="D177" s="51">
        <v>45650</v>
      </c>
      <c r="E177" s="57">
        <v>1.018821</v>
      </c>
      <c r="F177" s="57">
        <v>0.55856048979676032</v>
      </c>
      <c r="G177" s="2">
        <v>121.66990190217025</v>
      </c>
    </row>
    <row r="178" spans="4:7" customFormat="1" x14ac:dyDescent="0.35">
      <c r="D178" s="51">
        <v>45649</v>
      </c>
      <c r="E178" s="57">
        <v>0.97328199999999998</v>
      </c>
      <c r="F178" s="57">
        <v>0.54363687063037047</v>
      </c>
      <c r="G178" s="2">
        <v>125.00991686085867</v>
      </c>
    </row>
    <row r="179" spans="4:7" customFormat="1" x14ac:dyDescent="0.35">
      <c r="D179" s="51">
        <v>45648</v>
      </c>
      <c r="E179" s="57">
        <v>1</v>
      </c>
      <c r="F179" s="57">
        <v>0.54363687063037047</v>
      </c>
      <c r="G179" s="2">
        <v>125.00991686085867</v>
      </c>
    </row>
    <row r="180" spans="4:7" customFormat="1" x14ac:dyDescent="0.35">
      <c r="D180" s="51">
        <v>45647</v>
      </c>
      <c r="E180" s="57">
        <v>1</v>
      </c>
      <c r="F180" s="57">
        <v>0.54363687063037047</v>
      </c>
      <c r="G180" s="2">
        <v>125.00991686085867</v>
      </c>
    </row>
    <row r="181" spans="4:7" customFormat="1" x14ac:dyDescent="0.35">
      <c r="D181" s="51">
        <v>45646</v>
      </c>
      <c r="E181" s="57">
        <v>0.99033499999999997</v>
      </c>
      <c r="F181" s="57">
        <v>0.53838262027572792</v>
      </c>
      <c r="G181" s="2">
        <v>126.22992912586011</v>
      </c>
    </row>
    <row r="182" spans="4:7" customFormat="1" x14ac:dyDescent="0.35">
      <c r="D182" s="51">
        <v>45645</v>
      </c>
      <c r="E182" s="57">
        <v>0.986711</v>
      </c>
      <c r="F182" s="57">
        <v>0.53122805363488379</v>
      </c>
      <c r="G182" s="2">
        <v>127.92999077324578</v>
      </c>
    </row>
    <row r="183" spans="4:7" customFormat="1" x14ac:dyDescent="0.35">
      <c r="D183" s="51">
        <v>45644</v>
      </c>
      <c r="E183" s="57">
        <v>0.94748900000000003</v>
      </c>
      <c r="F183" s="57">
        <v>0.50333273731046246</v>
      </c>
      <c r="G183" s="2">
        <v>135.02002743382326</v>
      </c>
    </row>
    <row r="184" spans="4:7" customFormat="1" x14ac:dyDescent="0.35">
      <c r="D184" s="51">
        <v>45643</v>
      </c>
      <c r="E184" s="57">
        <v>1.0178670000000001</v>
      </c>
      <c r="F184" s="57">
        <v>0.5123257833279885</v>
      </c>
      <c r="G184" s="2">
        <v>132.64997041246377</v>
      </c>
    </row>
    <row r="185" spans="4:7" customFormat="1" x14ac:dyDescent="0.35">
      <c r="D185" s="51">
        <v>45642</v>
      </c>
      <c r="E185" s="57">
        <v>1.0017370000000001</v>
      </c>
      <c r="F185" s="57">
        <v>0.51321569321362925</v>
      </c>
      <c r="G185" s="2">
        <v>132.41995694724639</v>
      </c>
    </row>
    <row r="186" spans="4:7" customFormat="1" x14ac:dyDescent="0.35">
      <c r="D186" s="51">
        <v>45641</v>
      </c>
      <c r="E186" s="57">
        <v>1</v>
      </c>
      <c r="F186" s="57">
        <v>0.51321569321362925</v>
      </c>
      <c r="G186" s="2">
        <v>132.41995694724639</v>
      </c>
    </row>
    <row r="187" spans="4:7" customFormat="1" x14ac:dyDescent="0.35">
      <c r="D187" s="51">
        <v>45640</v>
      </c>
      <c r="E187" s="57">
        <v>1</v>
      </c>
      <c r="F187" s="57">
        <v>0.51321569321362925</v>
      </c>
      <c r="G187" s="2">
        <v>132.41995694724639</v>
      </c>
    </row>
    <row r="188" spans="4:7" customFormat="1" x14ac:dyDescent="0.35">
      <c r="D188" s="51">
        <v>45639</v>
      </c>
      <c r="E188" s="57">
        <v>0.99138999999999999</v>
      </c>
      <c r="F188" s="57">
        <v>0.5087969060950599</v>
      </c>
      <c r="G188" s="2">
        <v>133.56999460075892</v>
      </c>
    </row>
    <row r="189" spans="4:7" customFormat="1" x14ac:dyDescent="0.35">
      <c r="D189" s="51">
        <v>45638</v>
      </c>
      <c r="E189" s="57">
        <v>0.99604800000000004</v>
      </c>
      <c r="F189" s="57">
        <v>0.50678614072217221</v>
      </c>
      <c r="G189" s="2">
        <v>134.09995763332583</v>
      </c>
    </row>
    <row r="190" spans="4:7" customFormat="1" x14ac:dyDescent="0.35">
      <c r="D190" s="51">
        <v>45637</v>
      </c>
      <c r="E190" s="57">
        <v>1.0108550000000001</v>
      </c>
      <c r="F190" s="57">
        <v>0.51228730427971136</v>
      </c>
      <c r="G190" s="2">
        <v>132.65993404922153</v>
      </c>
    </row>
    <row r="191" spans="4:7" customFormat="1" x14ac:dyDescent="0.35">
      <c r="D191" s="51">
        <v>45636</v>
      </c>
      <c r="E191" s="57">
        <v>0.984344</v>
      </c>
      <c r="F191" s="57">
        <v>0.50426693424390823</v>
      </c>
      <c r="G191" s="2">
        <v>134.76989147007706</v>
      </c>
    </row>
    <row r="192" spans="4:7" customFormat="1" x14ac:dyDescent="0.35">
      <c r="D192" s="51">
        <v>45635</v>
      </c>
      <c r="E192" s="57">
        <v>0.96880200000000005</v>
      </c>
      <c r="F192" s="57">
        <v>0.4885348144293668</v>
      </c>
      <c r="G192" s="2">
        <v>139.10984026671812</v>
      </c>
    </row>
    <row r="193" spans="4:7" customFormat="1" x14ac:dyDescent="0.35">
      <c r="D193" s="51">
        <v>45634</v>
      </c>
      <c r="E193" s="57">
        <v>1</v>
      </c>
      <c r="F193" s="57">
        <v>0.4885348144293668</v>
      </c>
      <c r="G193" s="2">
        <v>139.10984026671812</v>
      </c>
    </row>
    <row r="194" spans="4:7" customFormat="1" x14ac:dyDescent="0.35">
      <c r="D194" s="51">
        <v>45633</v>
      </c>
      <c r="E194" s="57">
        <v>1</v>
      </c>
      <c r="F194" s="57">
        <v>0.4885348144293668</v>
      </c>
      <c r="G194" s="2">
        <v>139.10984026671812</v>
      </c>
    </row>
    <row r="195" spans="4:7" customFormat="1" x14ac:dyDescent="0.35">
      <c r="D195" s="51">
        <v>45632</v>
      </c>
      <c r="E195" s="57">
        <v>1.020167</v>
      </c>
      <c r="F195" s="57">
        <v>0.49838709603196385</v>
      </c>
      <c r="G195" s="2">
        <v>136.35987075323757</v>
      </c>
    </row>
    <row r="196" spans="4:7" customFormat="1" x14ac:dyDescent="0.35">
      <c r="D196" s="51">
        <v>45631</v>
      </c>
      <c r="E196" s="57">
        <v>0.97742099999999998</v>
      </c>
      <c r="F196" s="57">
        <v>0.48713401379065813</v>
      </c>
      <c r="G196" s="2">
        <v>139.50986397185815</v>
      </c>
    </row>
    <row r="197" spans="4:7" customFormat="1" x14ac:dyDescent="0.35">
      <c r="D197" s="51">
        <v>45630</v>
      </c>
      <c r="E197" s="57">
        <v>1.002515</v>
      </c>
      <c r="F197" s="57">
        <v>0.48835915583534167</v>
      </c>
      <c r="G197" s="2">
        <v>139.15987688150116</v>
      </c>
    </row>
    <row r="198" spans="4:7" customFormat="1" x14ac:dyDescent="0.35">
      <c r="D198" s="51">
        <v>45629</v>
      </c>
      <c r="E198" s="57">
        <v>1.029595</v>
      </c>
      <c r="F198" s="57">
        <v>0.50281214505228866</v>
      </c>
      <c r="G198" s="2">
        <v>135.15982195086531</v>
      </c>
    </row>
    <row r="199" spans="4:7" customFormat="1" x14ac:dyDescent="0.35">
      <c r="D199" s="51">
        <v>45628</v>
      </c>
      <c r="E199" s="57">
        <v>1.05142</v>
      </c>
      <c r="F199" s="57">
        <v>0.52866674555087734</v>
      </c>
      <c r="G199" s="2">
        <v>128.54979166352675</v>
      </c>
    </row>
    <row r="200" spans="4:7" customFormat="1" x14ac:dyDescent="0.35">
      <c r="D200" s="51">
        <v>45627</v>
      </c>
      <c r="E200" s="57">
        <v>1</v>
      </c>
      <c r="F200" s="57">
        <v>0.52866674555087734</v>
      </c>
      <c r="G200" s="2">
        <v>128.54979166352675</v>
      </c>
    </row>
    <row r="201" spans="4:7" customFormat="1" x14ac:dyDescent="0.35">
      <c r="D201" s="51">
        <v>45626</v>
      </c>
      <c r="E201" s="57">
        <v>1</v>
      </c>
      <c r="F201" s="57">
        <v>0.52866674555087734</v>
      </c>
      <c r="G201" s="2">
        <v>128.54979166352675</v>
      </c>
    </row>
    <row r="202" spans="4:7" customFormat="1" x14ac:dyDescent="0.35">
      <c r="D202" s="51">
        <v>45625</v>
      </c>
      <c r="E202" s="57">
        <v>1.0031209999999999</v>
      </c>
      <c r="F202" s="57">
        <v>0.53031671446374162</v>
      </c>
      <c r="G202" s="2">
        <v>128.14983602529182</v>
      </c>
    </row>
    <row r="203" spans="4:7" customFormat="1" x14ac:dyDescent="0.35">
      <c r="D203" s="51">
        <v>45624</v>
      </c>
      <c r="E203" s="57">
        <v>1</v>
      </c>
      <c r="F203" s="57">
        <v>0.53031671446374162</v>
      </c>
      <c r="G203" s="2">
        <v>128.14983602529182</v>
      </c>
    </row>
    <row r="204" spans="4:7" customFormat="1" x14ac:dyDescent="0.35">
      <c r="D204" s="51">
        <v>45623</v>
      </c>
      <c r="E204" s="57">
        <v>0.99356500000000003</v>
      </c>
      <c r="F204" s="57">
        <v>0.52690412640616746</v>
      </c>
      <c r="G204" s="2">
        <v>128.97982117455004</v>
      </c>
    </row>
    <row r="205" spans="4:7" customFormat="1" x14ac:dyDescent="0.35">
      <c r="D205" s="51">
        <v>45622</v>
      </c>
      <c r="E205" s="57">
        <v>0.99714000000000003</v>
      </c>
      <c r="F205" s="57">
        <v>0.5253971806046458</v>
      </c>
      <c r="G205" s="2">
        <v>129.34976149241837</v>
      </c>
    </row>
    <row r="206" spans="4:7" customFormat="1" x14ac:dyDescent="0.35">
      <c r="D206" s="51">
        <v>45621</v>
      </c>
      <c r="E206" s="57">
        <v>0.99730099999999999</v>
      </c>
      <c r="F206" s="57">
        <v>0.5239791336141939</v>
      </c>
      <c r="G206" s="2">
        <v>129.69982131013441</v>
      </c>
    </row>
    <row r="207" spans="4:7" customFormat="1" x14ac:dyDescent="0.35">
      <c r="D207" s="51">
        <v>45620</v>
      </c>
      <c r="E207" s="57">
        <v>1</v>
      </c>
      <c r="F207" s="57">
        <v>0.5239791336141939</v>
      </c>
      <c r="G207" s="2">
        <v>129.69982131013441</v>
      </c>
    </row>
    <row r="208" spans="4:7" customFormat="1" x14ac:dyDescent="0.35">
      <c r="D208" s="51">
        <v>45619</v>
      </c>
      <c r="E208" s="57">
        <v>1</v>
      </c>
      <c r="F208" s="57">
        <v>0.5239791336141939</v>
      </c>
      <c r="G208" s="2">
        <v>129.69982131013441</v>
      </c>
    </row>
    <row r="209" spans="4:7" customFormat="1" x14ac:dyDescent="0.35">
      <c r="D209" s="51">
        <v>45618</v>
      </c>
      <c r="E209" s="57">
        <v>1.0184530000000001</v>
      </c>
      <c r="F209" s="57">
        <v>0.53364812056677668</v>
      </c>
      <c r="G209" s="2">
        <v>127.34983480841473</v>
      </c>
    </row>
    <row r="210" spans="4:7" customFormat="1" x14ac:dyDescent="0.35">
      <c r="D210" s="51">
        <v>45617</v>
      </c>
      <c r="E210" s="57">
        <v>1.0278449999999999</v>
      </c>
      <c r="F210" s="57">
        <v>0.54850755248395855</v>
      </c>
      <c r="G210" s="2">
        <v>123.89984366165592</v>
      </c>
    </row>
    <row r="211" spans="4:7" customFormat="1" x14ac:dyDescent="0.35">
      <c r="D211" s="51">
        <v>45616</v>
      </c>
      <c r="E211" s="57">
        <v>1.037515</v>
      </c>
      <c r="F211" s="57">
        <v>0.56908481331539429</v>
      </c>
      <c r="G211" s="2">
        <v>119.41980950796462</v>
      </c>
    </row>
    <row r="212" spans="4:7" customFormat="1" x14ac:dyDescent="0.35">
      <c r="D212" s="51">
        <v>45615</v>
      </c>
      <c r="E212" s="57">
        <v>1.018421</v>
      </c>
      <c r="F212" s="57">
        <v>0.57956792466147722</v>
      </c>
      <c r="G212" s="2">
        <v>117.25976733390671</v>
      </c>
    </row>
    <row r="213" spans="4:7" customFormat="1" x14ac:dyDescent="0.35">
      <c r="D213" s="51">
        <v>45614</v>
      </c>
      <c r="E213" s="57">
        <v>0.99246699999999999</v>
      </c>
      <c r="F213" s="57">
        <v>0.57520203948500226</v>
      </c>
      <c r="G213" s="2">
        <v>118.14978969971467</v>
      </c>
    </row>
    <row r="214" spans="4:7" customFormat="1" x14ac:dyDescent="0.35">
      <c r="D214" s="51">
        <v>45613</v>
      </c>
      <c r="E214" s="57">
        <v>1</v>
      </c>
      <c r="F214" s="57">
        <v>0.57520203948500226</v>
      </c>
      <c r="G214" s="2">
        <v>118.14978969971467</v>
      </c>
    </row>
    <row r="215" spans="4:7" customFormat="1" x14ac:dyDescent="0.35">
      <c r="D215" s="51">
        <v>45612</v>
      </c>
      <c r="E215" s="57">
        <v>1</v>
      </c>
      <c r="F215" s="57">
        <v>0.57520203948500226</v>
      </c>
      <c r="G215" s="2">
        <v>118.14978969971467</v>
      </c>
    </row>
    <row r="216" spans="4:7" customFormat="1" x14ac:dyDescent="0.35">
      <c r="D216" s="51">
        <v>45611</v>
      </c>
      <c r="E216" s="57">
        <v>0.93859199999999998</v>
      </c>
      <c r="F216" s="57">
        <v>0.53988003264430728</v>
      </c>
      <c r="G216" s="2">
        <v>125.87981753489765</v>
      </c>
    </row>
    <row r="217" spans="4:7" customFormat="1" x14ac:dyDescent="0.35">
      <c r="D217" s="51">
        <v>45610</v>
      </c>
      <c r="E217" s="57">
        <v>0.98923399999999995</v>
      </c>
      <c r="F217" s="57">
        <v>0.53406768421285866</v>
      </c>
      <c r="G217" s="2">
        <v>127.24978876069531</v>
      </c>
    </row>
    <row r="218" spans="4:7" customFormat="1" x14ac:dyDescent="0.35">
      <c r="D218" s="51">
        <v>45609</v>
      </c>
      <c r="E218" s="57">
        <v>0.96989300000000001</v>
      </c>
      <c r="F218" s="57">
        <v>0.51798850844426214</v>
      </c>
      <c r="G218" s="2">
        <v>131.1998217954922</v>
      </c>
    </row>
    <row r="219" spans="4:7" customFormat="1" x14ac:dyDescent="0.35">
      <c r="D219" s="51">
        <v>45608</v>
      </c>
      <c r="E219" s="57">
        <v>1.014381</v>
      </c>
      <c r="F219" s="57">
        <v>0.52543770118419908</v>
      </c>
      <c r="G219" s="2">
        <v>129.33978632830483</v>
      </c>
    </row>
    <row r="220" spans="4:7" customFormat="1" x14ac:dyDescent="0.35">
      <c r="D220" s="51">
        <v>45607</v>
      </c>
      <c r="E220" s="57">
        <v>1.0336449999999999</v>
      </c>
      <c r="F220" s="57">
        <v>0.54311605264054141</v>
      </c>
      <c r="G220" s="2">
        <v>125.12979439585627</v>
      </c>
    </row>
    <row r="221" spans="4:7" customFormat="1" x14ac:dyDescent="0.35">
      <c r="D221" s="51">
        <v>45606</v>
      </c>
      <c r="E221" s="57">
        <v>1</v>
      </c>
      <c r="F221" s="57">
        <v>0.54311605264054141</v>
      </c>
      <c r="G221" s="2">
        <v>125.12979439585627</v>
      </c>
    </row>
    <row r="222" spans="4:7" customFormat="1" x14ac:dyDescent="0.35">
      <c r="D222" s="51">
        <v>45605</v>
      </c>
      <c r="E222" s="57">
        <v>1</v>
      </c>
      <c r="F222" s="57">
        <v>0.54311605264054141</v>
      </c>
      <c r="G222" s="2">
        <v>125.12979439585627</v>
      </c>
    </row>
    <row r="223" spans="4:7" customFormat="1" x14ac:dyDescent="0.35">
      <c r="D223" s="51">
        <v>45604</v>
      </c>
      <c r="E223" s="57">
        <v>0.944164</v>
      </c>
      <c r="F223" s="57">
        <v>0.51279062472530412</v>
      </c>
      <c r="G223" s="2">
        <v>132.52972406897135</v>
      </c>
    </row>
    <row r="224" spans="4:7" customFormat="1" x14ac:dyDescent="0.35">
      <c r="D224" s="51">
        <v>45603</v>
      </c>
      <c r="E224" s="57">
        <v>1.0618540000000001</v>
      </c>
      <c r="F224" s="57">
        <v>0.54450877602706316</v>
      </c>
      <c r="G224" s="2">
        <v>124.80974227056764</v>
      </c>
    </row>
    <row r="225" spans="4:7" customFormat="1" x14ac:dyDescent="0.35">
      <c r="D225" s="51">
        <v>45602</v>
      </c>
      <c r="E225" s="57">
        <v>1.0406040000000001</v>
      </c>
      <c r="F225" s="57">
        <v>0.56661801036886605</v>
      </c>
      <c r="G225" s="2">
        <v>119.93971027457864</v>
      </c>
    </row>
    <row r="226" spans="4:7" customFormat="1" x14ac:dyDescent="0.35">
      <c r="D226" s="51">
        <v>45601</v>
      </c>
      <c r="E226" s="57">
        <v>1.0141199999999999</v>
      </c>
      <c r="F226" s="57">
        <v>0.57461865667527434</v>
      </c>
      <c r="G226" s="2">
        <v>118.26974152425618</v>
      </c>
    </row>
    <row r="227" spans="4:7" customFormat="1" x14ac:dyDescent="0.35">
      <c r="D227" s="51">
        <v>45600</v>
      </c>
      <c r="E227" s="57">
        <v>0.99228099999999997</v>
      </c>
      <c r="F227" s="57">
        <v>0.57018317526439788</v>
      </c>
      <c r="G227" s="2">
        <v>119.18976733834083</v>
      </c>
    </row>
    <row r="228" spans="4:7" customFormat="1" x14ac:dyDescent="0.35">
      <c r="D228" s="51">
        <v>45599</v>
      </c>
      <c r="E228" s="57">
        <v>1</v>
      </c>
      <c r="F228" s="57">
        <v>0.57018317526439788</v>
      </c>
      <c r="G228" s="2">
        <v>119.18976733834083</v>
      </c>
    </row>
    <row r="229" spans="4:7" customFormat="1" x14ac:dyDescent="0.35">
      <c r="D229" s="51">
        <v>45598</v>
      </c>
      <c r="E229" s="57">
        <v>1</v>
      </c>
      <c r="F229" s="57">
        <v>0.57018317526439788</v>
      </c>
      <c r="G229" s="2">
        <v>119.18976733834083</v>
      </c>
    </row>
    <row r="230" spans="4:7" customFormat="1" x14ac:dyDescent="0.35">
      <c r="D230" s="51">
        <v>45597</v>
      </c>
      <c r="E230" s="57">
        <v>0.99151500000000004</v>
      </c>
      <c r="F230" s="57">
        <v>0.56534517102227944</v>
      </c>
      <c r="G230" s="2">
        <v>120.20974704199213</v>
      </c>
    </row>
    <row r="231" spans="4:7" customFormat="1" x14ac:dyDescent="0.35">
      <c r="D231" s="51">
        <v>45596</v>
      </c>
      <c r="E231" s="57">
        <v>0.98548899999999995</v>
      </c>
      <c r="F231" s="57">
        <v>0.55714144724557513</v>
      </c>
      <c r="G231" s="2">
        <v>121.97979585971242</v>
      </c>
    </row>
    <row r="232" spans="4:7" customFormat="1" x14ac:dyDescent="0.35">
      <c r="D232" s="51">
        <v>45595</v>
      </c>
      <c r="E232" s="57">
        <v>1.0029600000000001</v>
      </c>
      <c r="F232" s="57">
        <v>0.5587905859294221</v>
      </c>
      <c r="G232" s="2">
        <v>121.61980124801828</v>
      </c>
    </row>
    <row r="233" spans="4:7" customFormat="1" x14ac:dyDescent="0.35">
      <c r="D233" s="51">
        <v>45594</v>
      </c>
      <c r="E233" s="57">
        <v>1.022189</v>
      </c>
      <c r="F233" s="57">
        <v>0.57118959024061</v>
      </c>
      <c r="G233" s="2">
        <v>118.97975936741472</v>
      </c>
    </row>
    <row r="234" spans="4:7" customFormat="1" x14ac:dyDescent="0.35">
      <c r="D234" s="51">
        <v>45593</v>
      </c>
      <c r="E234" s="57">
        <v>0.99589899999999998</v>
      </c>
      <c r="F234" s="57">
        <v>0.56884714173103323</v>
      </c>
      <c r="G234" s="2">
        <v>119.46970462608631</v>
      </c>
    </row>
    <row r="235" spans="4:7" customFormat="1" x14ac:dyDescent="0.35">
      <c r="D235" s="51">
        <v>45592</v>
      </c>
      <c r="E235" s="57">
        <v>1</v>
      </c>
      <c r="F235" s="57">
        <v>0.56884714173103323</v>
      </c>
      <c r="G235" s="2">
        <v>119.46970462608631</v>
      </c>
    </row>
    <row r="236" spans="4:7" customFormat="1" x14ac:dyDescent="0.35">
      <c r="D236" s="51">
        <v>45591</v>
      </c>
      <c r="E236" s="57">
        <v>1</v>
      </c>
      <c r="F236" s="57">
        <v>0.56884714173103323</v>
      </c>
      <c r="G236" s="2">
        <v>119.46970462608631</v>
      </c>
    </row>
    <row r="237" spans="4:7" customFormat="1" x14ac:dyDescent="0.35">
      <c r="D237" s="51">
        <v>45590</v>
      </c>
      <c r="E237" s="57">
        <v>1.010659</v>
      </c>
      <c r="F237" s="57">
        <v>0.57491048341474427</v>
      </c>
      <c r="G237" s="2">
        <v>118.20970735538526</v>
      </c>
    </row>
    <row r="238" spans="4:7" customFormat="1" x14ac:dyDescent="0.35">
      <c r="D238" s="51">
        <v>45589</v>
      </c>
      <c r="E238" s="57">
        <v>1.0088760000000001</v>
      </c>
      <c r="F238" s="57">
        <v>0.58001338886553355</v>
      </c>
      <c r="G238" s="2">
        <v>117.16970901814025</v>
      </c>
    </row>
    <row r="239" spans="4:7" customFormat="1" x14ac:dyDescent="0.35">
      <c r="D239" s="51">
        <v>45588</v>
      </c>
      <c r="E239" s="57">
        <v>0.98511899999999997</v>
      </c>
      <c r="F239" s="57">
        <v>0.57138220962582553</v>
      </c>
      <c r="G239" s="2">
        <v>118.93964994903179</v>
      </c>
    </row>
    <row r="240" spans="4:7" customFormat="1" x14ac:dyDescent="0.35">
      <c r="D240" s="51">
        <v>45587</v>
      </c>
      <c r="E240" s="57">
        <v>1.006175</v>
      </c>
      <c r="F240" s="57">
        <v>0.57491049477026501</v>
      </c>
      <c r="G240" s="2">
        <v>118.20970502053002</v>
      </c>
    </row>
    <row r="241" spans="4:7" customFormat="1" x14ac:dyDescent="0.35">
      <c r="D241" s="51">
        <v>45586</v>
      </c>
      <c r="E241" s="57">
        <v>0.99536899999999995</v>
      </c>
      <c r="F241" s="57">
        <v>0.57224808426898388</v>
      </c>
      <c r="G241" s="2">
        <v>118.75968110372136</v>
      </c>
    </row>
    <row r="242" spans="4:7" customFormat="1" x14ac:dyDescent="0.35">
      <c r="D242" s="51">
        <v>45585</v>
      </c>
      <c r="E242" s="57">
        <v>1</v>
      </c>
      <c r="F242" s="57">
        <v>0.57224808426898388</v>
      </c>
      <c r="G242" s="2">
        <v>118.75968110372136</v>
      </c>
    </row>
    <row r="243" spans="4:7" customFormat="1" x14ac:dyDescent="0.35">
      <c r="D243" s="51">
        <v>45584</v>
      </c>
      <c r="E243" s="57">
        <v>1</v>
      </c>
      <c r="F243" s="57">
        <v>0.57224808426898388</v>
      </c>
      <c r="G243" s="2">
        <v>118.75968110372136</v>
      </c>
    </row>
    <row r="244" spans="4:7" customFormat="1" x14ac:dyDescent="0.35">
      <c r="D244" s="51">
        <v>45583</v>
      </c>
      <c r="E244" s="57">
        <v>1.009606</v>
      </c>
      <c r="F244" s="57">
        <v>0.57774509936647178</v>
      </c>
      <c r="G244" s="2">
        <v>117.62972991812782</v>
      </c>
    </row>
    <row r="245" spans="4:7" customFormat="1" x14ac:dyDescent="0.35">
      <c r="D245" s="51">
        <v>45582</v>
      </c>
      <c r="E245" s="57">
        <v>0.99737200000000004</v>
      </c>
      <c r="F245" s="57">
        <v>0.57622678524533677</v>
      </c>
      <c r="G245" s="2">
        <v>117.93967538503969</v>
      </c>
    </row>
    <row r="246" spans="4:7" customFormat="1" x14ac:dyDescent="0.35">
      <c r="D246" s="51">
        <v>45581</v>
      </c>
      <c r="E246" s="57">
        <v>1.0022089999999999</v>
      </c>
      <c r="F246" s="57">
        <v>0.57749967021394366</v>
      </c>
      <c r="G246" s="2">
        <v>117.67972088161221</v>
      </c>
    </row>
    <row r="247" spans="4:7" customFormat="1" x14ac:dyDescent="0.35">
      <c r="D247" s="51">
        <v>45580</v>
      </c>
      <c r="E247" s="57">
        <v>0.99754200000000004</v>
      </c>
      <c r="F247" s="57">
        <v>0.57608017602455786</v>
      </c>
      <c r="G247" s="2">
        <v>117.96969038056764</v>
      </c>
    </row>
    <row r="248" spans="4:7" customFormat="1" x14ac:dyDescent="0.35">
      <c r="D248" s="51">
        <v>45579</v>
      </c>
      <c r="E248" s="57">
        <v>1.000594</v>
      </c>
      <c r="F248" s="57">
        <v>0.57642236764911647</v>
      </c>
      <c r="G248" s="2">
        <v>117.89965798372529</v>
      </c>
    </row>
    <row r="249" spans="4:7" customFormat="1" x14ac:dyDescent="0.35">
      <c r="D249" s="51">
        <v>45578</v>
      </c>
      <c r="E249" s="57">
        <v>1</v>
      </c>
      <c r="F249" s="57">
        <v>0.57642236764911647</v>
      </c>
      <c r="G249" s="2">
        <v>117.89965798372529</v>
      </c>
    </row>
    <row r="250" spans="4:7" customFormat="1" x14ac:dyDescent="0.35">
      <c r="D250" s="51">
        <v>45577</v>
      </c>
      <c r="E250" s="57">
        <v>1</v>
      </c>
      <c r="F250" s="57">
        <v>0.57642236764911647</v>
      </c>
      <c r="G250" s="2">
        <v>117.89965798372529</v>
      </c>
    </row>
    <row r="251" spans="4:7" customFormat="1" x14ac:dyDescent="0.35">
      <c r="D251" s="51">
        <v>45576</v>
      </c>
      <c r="E251" s="57">
        <v>1.0189269999999999</v>
      </c>
      <c r="F251" s="57">
        <v>0.58733231380161122</v>
      </c>
      <c r="G251" s="2">
        <v>115.70962196872328</v>
      </c>
    </row>
    <row r="252" spans="4:7" customFormat="1" x14ac:dyDescent="0.35">
      <c r="D252" s="51">
        <v>45575</v>
      </c>
      <c r="E252" s="57">
        <v>1.0012110000000001</v>
      </c>
      <c r="F252" s="57">
        <v>0.58804357323362499</v>
      </c>
      <c r="G252" s="2">
        <v>115.56966710186293</v>
      </c>
    </row>
    <row r="253" spans="4:7" customFormat="1" x14ac:dyDescent="0.35">
      <c r="D253" s="51">
        <v>45574</v>
      </c>
      <c r="E253" s="57">
        <v>1.0090809999999999</v>
      </c>
      <c r="F253" s="57">
        <v>0.59338359692215947</v>
      </c>
      <c r="G253" s="2">
        <v>114.52962359004177</v>
      </c>
    </row>
    <row r="254" spans="4:7" customFormat="1" x14ac:dyDescent="0.35">
      <c r="D254" s="51">
        <v>45573</v>
      </c>
      <c r="E254" s="57">
        <v>1.024419</v>
      </c>
      <c r="F254" s="57">
        <v>0.6078734309754017</v>
      </c>
      <c r="G254" s="2">
        <v>111.79958941609026</v>
      </c>
    </row>
    <row r="255" spans="4:7" customFormat="1" x14ac:dyDescent="0.35">
      <c r="D255" s="51">
        <v>45572</v>
      </c>
      <c r="E255" s="57">
        <v>0.98938099999999995</v>
      </c>
      <c r="F255" s="57">
        <v>0.60141842301187387</v>
      </c>
      <c r="G255" s="2">
        <v>112.99953144045648</v>
      </c>
    </row>
    <row r="256" spans="4:7" customFormat="1" x14ac:dyDescent="0.35">
      <c r="D256" s="51">
        <v>45571</v>
      </c>
      <c r="E256" s="57">
        <v>1</v>
      </c>
      <c r="F256" s="57">
        <v>0.60141842301187387</v>
      </c>
      <c r="G256" s="2">
        <v>112.99953144045648</v>
      </c>
    </row>
    <row r="257" spans="4:7" customFormat="1" x14ac:dyDescent="0.35">
      <c r="D257" s="51">
        <v>45570</v>
      </c>
      <c r="E257" s="57">
        <v>1</v>
      </c>
      <c r="F257" s="57">
        <v>0.60141842301187387</v>
      </c>
      <c r="G257" s="2">
        <v>112.99953144045648</v>
      </c>
    </row>
    <row r="258" spans="4:7" customFormat="1" x14ac:dyDescent="0.35">
      <c r="D258" s="51">
        <v>45569</v>
      </c>
      <c r="E258" s="57">
        <v>1.013817</v>
      </c>
      <c r="F258" s="57">
        <v>0.60972822136262894</v>
      </c>
      <c r="G258" s="2">
        <v>111.45949558989095</v>
      </c>
    </row>
    <row r="259" spans="4:7" customFormat="1" x14ac:dyDescent="0.35">
      <c r="D259" s="51">
        <v>45568</v>
      </c>
      <c r="E259" s="57">
        <v>1.0252969999999999</v>
      </c>
      <c r="F259" s="57">
        <v>0.62515251617843925</v>
      </c>
      <c r="G259" s="2">
        <v>108.70947207481439</v>
      </c>
    </row>
    <row r="260" spans="4:7" customFormat="1" x14ac:dyDescent="0.35">
      <c r="D260" s="51">
        <v>45567</v>
      </c>
      <c r="E260" s="57">
        <v>0.99990800000000002</v>
      </c>
      <c r="F260" s="57">
        <v>0.6250950021469508</v>
      </c>
      <c r="G260" s="2">
        <v>108.71947426644691</v>
      </c>
    </row>
    <row r="261" spans="4:7" customFormat="1" x14ac:dyDescent="0.35">
      <c r="D261" s="51">
        <v>45566</v>
      </c>
      <c r="E261" s="57">
        <v>0.99151800000000001</v>
      </c>
      <c r="F261" s="57">
        <v>0.61979294633874038</v>
      </c>
      <c r="G261" s="2">
        <v>109.64952150787671</v>
      </c>
    </row>
    <row r="262" spans="4:7" customFormat="1" x14ac:dyDescent="0.35">
      <c r="D262" s="51">
        <v>45565</v>
      </c>
      <c r="E262" s="57">
        <v>1.001827</v>
      </c>
      <c r="F262" s="57">
        <v>0.62092530805170132</v>
      </c>
      <c r="G262" s="2">
        <v>109.44955716693272</v>
      </c>
    </row>
    <row r="263" spans="4:7" customFormat="1" x14ac:dyDescent="0.35">
      <c r="D263" s="51">
        <v>45564</v>
      </c>
      <c r="E263" s="57">
        <v>1</v>
      </c>
      <c r="F263" s="57">
        <v>0.62092530805170132</v>
      </c>
      <c r="G263" s="2">
        <v>109.44955716693272</v>
      </c>
    </row>
    <row r="264" spans="4:7" customFormat="1" x14ac:dyDescent="0.35">
      <c r="D264" s="51">
        <v>45563</v>
      </c>
      <c r="E264" s="57">
        <v>1</v>
      </c>
      <c r="F264" s="57">
        <v>0.62092530805170132</v>
      </c>
      <c r="G264" s="2">
        <v>109.44955716693272</v>
      </c>
    </row>
    <row r="265" spans="4:7" customFormat="1" x14ac:dyDescent="0.35">
      <c r="D265" s="51">
        <v>45562</v>
      </c>
      <c r="E265" s="57">
        <v>1.000823</v>
      </c>
      <c r="F265" s="57">
        <v>0.62143632958022788</v>
      </c>
      <c r="G265" s="2">
        <v>109.35955425378185</v>
      </c>
    </row>
    <row r="266" spans="4:7" customFormat="1" x14ac:dyDescent="0.35">
      <c r="D266" s="51">
        <v>45561</v>
      </c>
      <c r="E266" s="57">
        <v>0.98771699999999996</v>
      </c>
      <c r="F266" s="57">
        <v>0.61380322714399393</v>
      </c>
      <c r="G266" s="2">
        <v>110.71952214428005</v>
      </c>
    </row>
    <row r="267" spans="4:7" customFormat="1" x14ac:dyDescent="0.35">
      <c r="D267" s="51">
        <v>45560</v>
      </c>
      <c r="E267" s="57">
        <v>0.99936800000000003</v>
      </c>
      <c r="F267" s="57">
        <v>0.61341530350443896</v>
      </c>
      <c r="G267" s="2">
        <v>110.7895411342769</v>
      </c>
    </row>
    <row r="268" spans="4:7" customFormat="1" x14ac:dyDescent="0.35">
      <c r="D268" s="51">
        <v>45559</v>
      </c>
      <c r="E268" s="57">
        <v>1.020824</v>
      </c>
      <c r="F268" s="57">
        <v>0.62618906378461536</v>
      </c>
      <c r="G268" s="2">
        <v>108.52952236063896</v>
      </c>
    </row>
    <row r="269" spans="4:7" customFormat="1" x14ac:dyDescent="0.35">
      <c r="D269" s="51">
        <v>45558</v>
      </c>
      <c r="E269" s="57">
        <v>0.99105100000000002</v>
      </c>
      <c r="F269" s="57">
        <v>0.62058529785280681</v>
      </c>
      <c r="G269" s="2">
        <v>109.50952308270611</v>
      </c>
    </row>
    <row r="270" spans="4:7" customFormat="1" x14ac:dyDescent="0.35">
      <c r="D270" s="51">
        <v>45557</v>
      </c>
      <c r="E270" s="57">
        <v>1</v>
      </c>
      <c r="F270" s="57">
        <v>0.62058529785280681</v>
      </c>
      <c r="G270" s="2">
        <v>109.50952308270611</v>
      </c>
    </row>
    <row r="271" spans="4:7" customFormat="1" x14ac:dyDescent="0.35">
      <c r="D271" s="51">
        <v>45556</v>
      </c>
      <c r="E271" s="57">
        <v>1</v>
      </c>
      <c r="F271" s="57">
        <v>0.62058529785280681</v>
      </c>
      <c r="G271" s="2">
        <v>109.50952308270611</v>
      </c>
    </row>
    <row r="272" spans="4:7" customFormat="1" x14ac:dyDescent="0.35">
      <c r="D272" s="51">
        <v>45555</v>
      </c>
      <c r="E272" s="57">
        <v>0.99428000000000005</v>
      </c>
      <c r="F272" s="57">
        <v>0.61703554994908882</v>
      </c>
      <c r="G272" s="2">
        <v>110.13952114364777</v>
      </c>
    </row>
    <row r="273" spans="4:7" customFormat="1" x14ac:dyDescent="0.35">
      <c r="D273" s="51">
        <v>45554</v>
      </c>
      <c r="E273" s="57">
        <v>1.0196259999999999</v>
      </c>
      <c r="F273" s="57">
        <v>0.62914548965238959</v>
      </c>
      <c r="G273" s="2">
        <v>108.01952985079605</v>
      </c>
    </row>
    <row r="274" spans="4:7" customFormat="1" x14ac:dyDescent="0.35">
      <c r="D274" s="51">
        <v>45553</v>
      </c>
      <c r="E274" s="57">
        <v>1.020597</v>
      </c>
      <c r="F274" s="57">
        <v>0.64210399930275985</v>
      </c>
      <c r="G274" s="2">
        <v>105.83955258617853</v>
      </c>
    </row>
    <row r="275" spans="4:7" customFormat="1" x14ac:dyDescent="0.35">
      <c r="D275" s="51">
        <v>45552</v>
      </c>
      <c r="E275" s="57">
        <v>1.0044599999999999</v>
      </c>
      <c r="F275" s="57">
        <v>0.64496778313965009</v>
      </c>
      <c r="G275" s="2">
        <v>105.36960415166213</v>
      </c>
    </row>
    <row r="276" spans="4:7" customFormat="1" x14ac:dyDescent="0.35">
      <c r="D276" s="51">
        <v>45551</v>
      </c>
      <c r="E276" s="57">
        <v>0.99349399999999999</v>
      </c>
      <c r="F276" s="57">
        <v>0.64077162274254351</v>
      </c>
      <c r="G276" s="2">
        <v>106.05962809202887</v>
      </c>
    </row>
    <row r="277" spans="4:7" customFormat="1" x14ac:dyDescent="0.35">
      <c r="D277" s="51">
        <v>45550</v>
      </c>
      <c r="E277" s="57">
        <v>1</v>
      </c>
      <c r="F277" s="57">
        <v>0.64077162274254351</v>
      </c>
      <c r="G277" s="2">
        <v>106.05962809202887</v>
      </c>
    </row>
    <row r="278" spans="4:7" customFormat="1" x14ac:dyDescent="0.35">
      <c r="D278" s="51">
        <v>45549</v>
      </c>
      <c r="E278" s="57">
        <v>1</v>
      </c>
      <c r="F278" s="57">
        <v>0.64077162274254351</v>
      </c>
      <c r="G278" s="2">
        <v>106.05962809202887</v>
      </c>
    </row>
    <row r="279" spans="4:7" customFormat="1" x14ac:dyDescent="0.35">
      <c r="D279" s="51">
        <v>45548</v>
      </c>
      <c r="E279" s="57">
        <v>1.0149280000000001</v>
      </c>
      <c r="F279" s="57">
        <v>0.65033706152684423</v>
      </c>
      <c r="G279" s="2">
        <v>104.49965720920979</v>
      </c>
    </row>
    <row r="280" spans="4:7" customFormat="1" x14ac:dyDescent="0.35">
      <c r="D280" s="51">
        <v>45547</v>
      </c>
      <c r="E280" s="57">
        <v>1.0284420000000001</v>
      </c>
      <c r="F280" s="57">
        <v>0.66883394823079079</v>
      </c>
      <c r="G280" s="2">
        <v>101.6096748374821</v>
      </c>
    </row>
    <row r="281" spans="4:7" customFormat="1" x14ac:dyDescent="0.35">
      <c r="D281" s="51">
        <v>45546</v>
      </c>
      <c r="E281" s="57">
        <v>1.019055</v>
      </c>
      <c r="F281" s="57">
        <v>0.68157857911432851</v>
      </c>
      <c r="G281" s="2">
        <v>99.709706382366122</v>
      </c>
    </row>
    <row r="282" spans="4:7" customFormat="1" x14ac:dyDescent="0.35">
      <c r="D282" s="51">
        <v>45545</v>
      </c>
      <c r="E282" s="57">
        <v>1.003927</v>
      </c>
      <c r="F282" s="57">
        <v>0.68425513819451045</v>
      </c>
      <c r="G282" s="2">
        <v>99.319678006833286</v>
      </c>
    </row>
    <row r="283" spans="4:7" customFormat="1" x14ac:dyDescent="0.35">
      <c r="D283" s="51">
        <v>45544</v>
      </c>
      <c r="E283" s="57">
        <v>0.99013099999999998</v>
      </c>
      <c r="F283" s="57">
        <v>0.67750222423566886</v>
      </c>
      <c r="G283" s="2">
        <v>100.30963378263411</v>
      </c>
    </row>
    <row r="284" spans="4:7" customFormat="1" x14ac:dyDescent="0.35">
      <c r="D284" s="51">
        <v>45543</v>
      </c>
      <c r="E284" s="57">
        <v>1</v>
      </c>
      <c r="F284" s="57">
        <v>0.67750222423566886</v>
      </c>
      <c r="G284" s="2">
        <v>100.30963378263411</v>
      </c>
    </row>
    <row r="285" spans="4:7" customFormat="1" x14ac:dyDescent="0.35">
      <c r="D285" s="51">
        <v>45542</v>
      </c>
      <c r="E285" s="57">
        <v>1</v>
      </c>
      <c r="F285" s="57">
        <v>0.67750222423566886</v>
      </c>
      <c r="G285" s="2">
        <v>100.30963378263411</v>
      </c>
    </row>
    <row r="286" spans="4:7" customFormat="1" x14ac:dyDescent="0.35">
      <c r="D286" s="51">
        <v>45541</v>
      </c>
      <c r="E286" s="57">
        <v>0.968804</v>
      </c>
      <c r="F286" s="57">
        <v>0.65636686484841289</v>
      </c>
      <c r="G286" s="2">
        <v>103.53965691990754</v>
      </c>
    </row>
    <row r="287" spans="4:7" customFormat="1" x14ac:dyDescent="0.35">
      <c r="D287" s="51">
        <v>45540</v>
      </c>
      <c r="E287" s="57">
        <v>1.0216080000000001</v>
      </c>
      <c r="F287" s="57">
        <v>0.67054964006405748</v>
      </c>
      <c r="G287" s="2">
        <v>101.3496927587759</v>
      </c>
    </row>
    <row r="288" spans="4:7" customFormat="1" x14ac:dyDescent="0.35">
      <c r="D288" s="51">
        <v>45539</v>
      </c>
      <c r="E288" s="57">
        <v>1.003763</v>
      </c>
      <c r="F288" s="57">
        <v>0.67307291835961847</v>
      </c>
      <c r="G288" s="2">
        <v>100.96974361355809</v>
      </c>
    </row>
    <row r="289" spans="4:7" customFormat="1" x14ac:dyDescent="0.35">
      <c r="D289" s="51">
        <v>45538</v>
      </c>
      <c r="E289" s="57">
        <v>0.965943</v>
      </c>
      <c r="F289" s="57">
        <v>0.6501500739790449</v>
      </c>
      <c r="G289" s="2">
        <v>104.52971201567597</v>
      </c>
    </row>
    <row r="290" spans="4:7" customFormat="1" x14ac:dyDescent="0.35">
      <c r="D290" s="51">
        <v>45537</v>
      </c>
      <c r="E290" s="57">
        <v>1</v>
      </c>
      <c r="F290" s="57">
        <v>0.6501500739790449</v>
      </c>
      <c r="G290" s="2">
        <v>104.52971201567597</v>
      </c>
    </row>
    <row r="291" spans="4:7" customFormat="1" x14ac:dyDescent="0.35">
      <c r="D291" s="51">
        <v>45536</v>
      </c>
      <c r="E291" s="57">
        <v>1</v>
      </c>
      <c r="F291" s="57">
        <v>0.6501500739790449</v>
      </c>
      <c r="G291" s="2">
        <v>104.52971201567597</v>
      </c>
    </row>
    <row r="292" spans="4:7" customFormat="1" x14ac:dyDescent="0.35">
      <c r="D292" s="51">
        <v>45535</v>
      </c>
      <c r="E292" s="57">
        <v>1</v>
      </c>
      <c r="F292" s="57">
        <v>0.6501500739790449</v>
      </c>
      <c r="G292" s="2">
        <v>104.52971201567597</v>
      </c>
    </row>
    <row r="293" spans="4:7" customFormat="1" x14ac:dyDescent="0.35">
      <c r="D293" s="51">
        <v>45534</v>
      </c>
      <c r="E293" s="57">
        <v>1.009854</v>
      </c>
      <c r="F293" s="57">
        <v>0.65655665280803444</v>
      </c>
      <c r="G293" s="2">
        <v>103.50972716419994</v>
      </c>
    </row>
    <row r="294" spans="4:7" customFormat="1" x14ac:dyDescent="0.35">
      <c r="D294" s="51">
        <v>45533</v>
      </c>
      <c r="E294" s="57">
        <v>1.0130159999999999</v>
      </c>
      <c r="F294" s="57">
        <v>0.66510239420098372</v>
      </c>
      <c r="G294" s="2">
        <v>102.17975546704095</v>
      </c>
    </row>
    <row r="295" spans="4:7" customFormat="1" x14ac:dyDescent="0.35">
      <c r="D295" s="51">
        <v>45532</v>
      </c>
      <c r="E295" s="57">
        <v>0.98325600000000002</v>
      </c>
      <c r="F295" s="57">
        <v>0.65396591971248241</v>
      </c>
      <c r="G295" s="2">
        <v>103.91978840407886</v>
      </c>
    </row>
    <row r="296" spans="4:7" customFormat="1" x14ac:dyDescent="0.35">
      <c r="D296" s="51">
        <v>45531</v>
      </c>
      <c r="E296" s="57">
        <v>0.99951900000000005</v>
      </c>
      <c r="F296" s="57">
        <v>0.65365136210510077</v>
      </c>
      <c r="G296" s="2">
        <v>103.96979787685761</v>
      </c>
    </row>
    <row r="297" spans="4:7" customFormat="1" x14ac:dyDescent="0.35">
      <c r="D297" s="51">
        <v>45530</v>
      </c>
      <c r="E297" s="57">
        <v>0.99019000000000001</v>
      </c>
      <c r="F297" s="57">
        <v>0.64723904224284978</v>
      </c>
      <c r="G297" s="2">
        <v>104.9998463697448</v>
      </c>
    </row>
    <row r="298" spans="4:7" customFormat="1" x14ac:dyDescent="0.35">
      <c r="D298" s="51">
        <v>45529</v>
      </c>
      <c r="E298" s="57">
        <v>1</v>
      </c>
      <c r="F298" s="57">
        <v>0.64723904224284978</v>
      </c>
      <c r="G298" s="2">
        <v>104.9998463697448</v>
      </c>
    </row>
    <row r="299" spans="4:7" customFormat="1" x14ac:dyDescent="0.35">
      <c r="D299" s="51">
        <v>45528</v>
      </c>
      <c r="E299" s="57">
        <v>1</v>
      </c>
      <c r="F299" s="57">
        <v>0.64723904224284978</v>
      </c>
      <c r="G299" s="2">
        <v>104.9998463697448</v>
      </c>
    </row>
    <row r="300" spans="4:7" customFormat="1" x14ac:dyDescent="0.35">
      <c r="D300" s="51">
        <v>45527</v>
      </c>
      <c r="E300" s="57">
        <v>1.017738</v>
      </c>
      <c r="F300" s="57">
        <v>0.65871976837415347</v>
      </c>
      <c r="G300" s="2">
        <v>103.16982010079687</v>
      </c>
    </row>
    <row r="301" spans="4:7" customFormat="1" x14ac:dyDescent="0.35">
      <c r="D301" s="51">
        <v>45526</v>
      </c>
      <c r="E301" s="57">
        <v>0.98859699999999995</v>
      </c>
      <c r="F301" s="57">
        <v>0.65120838685538296</v>
      </c>
      <c r="G301" s="2">
        <v>104.35983530275418</v>
      </c>
    </row>
    <row r="302" spans="4:7" customFormat="1" x14ac:dyDescent="0.35">
      <c r="D302" s="51">
        <v>45525</v>
      </c>
      <c r="E302" s="57">
        <v>1.0217350000000001</v>
      </c>
      <c r="F302" s="57">
        <v>0.66536240114368472</v>
      </c>
      <c r="G302" s="2">
        <v>102.13982618071631</v>
      </c>
    </row>
    <row r="303" spans="4:7" customFormat="1" x14ac:dyDescent="0.35">
      <c r="D303" s="51">
        <v>45524</v>
      </c>
      <c r="E303" s="57">
        <v>0.99512900000000004</v>
      </c>
      <c r="F303" s="57">
        <v>0.66212142088771386</v>
      </c>
      <c r="G303" s="2">
        <v>102.63978457136341</v>
      </c>
    </row>
    <row r="304" spans="4:7" customFormat="1" x14ac:dyDescent="0.35">
      <c r="D304" s="51">
        <v>45523</v>
      </c>
      <c r="E304" s="57">
        <v>1.0119290000000001</v>
      </c>
      <c r="F304" s="57">
        <v>0.67001986731748342</v>
      </c>
      <c r="G304" s="2">
        <v>101.429828151346</v>
      </c>
    </row>
    <row r="305" spans="4:7" customFormat="1" x14ac:dyDescent="0.35">
      <c r="D305" s="51">
        <v>45522</v>
      </c>
      <c r="E305" s="57">
        <v>1</v>
      </c>
      <c r="F305" s="57">
        <v>0.67001986731748342</v>
      </c>
      <c r="G305" s="2">
        <v>101.429828151346</v>
      </c>
    </row>
    <row r="306" spans="4:7" customFormat="1" x14ac:dyDescent="0.35">
      <c r="D306" s="51">
        <v>45521</v>
      </c>
      <c r="E306" s="57">
        <v>1</v>
      </c>
      <c r="F306" s="57">
        <v>0.67001986731748342</v>
      </c>
      <c r="G306" s="2">
        <v>101.429828151346</v>
      </c>
    </row>
    <row r="307" spans="4:7" customFormat="1" x14ac:dyDescent="0.35">
      <c r="D307" s="51">
        <v>45520</v>
      </c>
      <c r="E307" s="57">
        <v>1.0092540000000001</v>
      </c>
      <c r="F307" s="57">
        <v>0.67622023116963947</v>
      </c>
      <c r="G307" s="2">
        <v>100.49980297461887</v>
      </c>
    </row>
    <row r="308" spans="4:7" customFormat="1" x14ac:dyDescent="0.35">
      <c r="D308" s="51">
        <v>45519</v>
      </c>
      <c r="E308" s="57">
        <v>1.01834</v>
      </c>
      <c r="F308" s="57">
        <v>0.68862211020929065</v>
      </c>
      <c r="G308" s="2">
        <v>98.689831465540848</v>
      </c>
    </row>
    <row r="309" spans="4:7" customFormat="1" x14ac:dyDescent="0.35">
      <c r="D309" s="51">
        <v>45518</v>
      </c>
      <c r="E309" s="57">
        <v>1.003763</v>
      </c>
      <c r="F309" s="57">
        <v>0.69121339521000813</v>
      </c>
      <c r="G309" s="2">
        <v>98.319853855482677</v>
      </c>
    </row>
    <row r="310" spans="4:7" customFormat="1" x14ac:dyDescent="0.35">
      <c r="D310" s="51">
        <v>45517</v>
      </c>
      <c r="E310" s="57">
        <v>1.01319</v>
      </c>
      <c r="F310" s="57">
        <v>0.70033049989282814</v>
      </c>
      <c r="G310" s="2">
        <v>97.039897606058773</v>
      </c>
    </row>
    <row r="311" spans="4:7" customFormat="1" x14ac:dyDescent="0.35">
      <c r="D311" s="51">
        <v>45516</v>
      </c>
      <c r="E311" s="57">
        <v>0.97724100000000003</v>
      </c>
      <c r="F311" s="57">
        <v>0.68439167804576728</v>
      </c>
      <c r="G311" s="2">
        <v>99.299863192455874</v>
      </c>
    </row>
    <row r="312" spans="4:7" customFormat="1" x14ac:dyDescent="0.35">
      <c r="D312" s="51">
        <v>45515</v>
      </c>
      <c r="E312" s="57">
        <v>1</v>
      </c>
      <c r="F312" s="57">
        <v>0.68439167804576728</v>
      </c>
      <c r="G312" s="2">
        <v>99.299863192455874</v>
      </c>
    </row>
    <row r="313" spans="4:7" customFormat="1" x14ac:dyDescent="0.35">
      <c r="D313" s="51">
        <v>45514</v>
      </c>
      <c r="E313" s="57">
        <v>1</v>
      </c>
      <c r="F313" s="57">
        <v>0.68439167804576728</v>
      </c>
      <c r="G313" s="2">
        <v>99.299863192455874</v>
      </c>
    </row>
    <row r="314" spans="4:7" customFormat="1" x14ac:dyDescent="0.35">
      <c r="D314" s="51">
        <v>45513</v>
      </c>
      <c r="E314" s="57">
        <v>1.1249579999999999</v>
      </c>
      <c r="F314" s="57">
        <v>0.76991189335101018</v>
      </c>
      <c r="G314" s="2">
        <v>88.269840467338227</v>
      </c>
    </row>
    <row r="315" spans="4:7" customFormat="1" x14ac:dyDescent="0.35">
      <c r="D315" s="51">
        <v>45512</v>
      </c>
      <c r="E315" s="57">
        <v>1.039571</v>
      </c>
      <c r="F315" s="57">
        <v>0.80037807688280305</v>
      </c>
      <c r="G315" s="2">
        <v>84.909871925379051</v>
      </c>
    </row>
    <row r="316" spans="4:7" customFormat="1" x14ac:dyDescent="0.35">
      <c r="D316" s="51">
        <v>45511</v>
      </c>
      <c r="E316" s="57">
        <v>1.0014149999999999</v>
      </c>
      <c r="F316" s="57">
        <v>0.80151061186159211</v>
      </c>
      <c r="G316" s="2">
        <v>84.789894225050617</v>
      </c>
    </row>
    <row r="317" spans="4:7" customFormat="1" x14ac:dyDescent="0.35">
      <c r="D317" s="51">
        <v>45510</v>
      </c>
      <c r="E317" s="57">
        <v>1.018866</v>
      </c>
      <c r="F317" s="57">
        <v>0.8166319110649729</v>
      </c>
      <c r="G317" s="2">
        <v>83.219868191745149</v>
      </c>
    </row>
    <row r="318" spans="4:7" customFormat="1" x14ac:dyDescent="0.35">
      <c r="D318" s="51">
        <v>45509</v>
      </c>
      <c r="E318" s="57">
        <v>1.0016849999999999</v>
      </c>
      <c r="F318" s="57">
        <v>0.81800793583511733</v>
      </c>
      <c r="G318" s="2">
        <v>83.07987859631038</v>
      </c>
    </row>
    <row r="319" spans="4:7" customFormat="1" x14ac:dyDescent="0.35">
      <c r="D319" s="51">
        <v>45508</v>
      </c>
      <c r="E319" s="57">
        <v>1</v>
      </c>
      <c r="F319" s="57">
        <v>0.81800793583511733</v>
      </c>
      <c r="G319" s="2">
        <v>83.07987859631038</v>
      </c>
    </row>
    <row r="320" spans="4:7" customFormat="1" x14ac:dyDescent="0.35">
      <c r="D320" s="51">
        <v>45507</v>
      </c>
      <c r="E320" s="57">
        <v>1</v>
      </c>
      <c r="F320" s="57">
        <v>0.81800793583511733</v>
      </c>
      <c r="G320" s="2">
        <v>83.07987859631038</v>
      </c>
    </row>
    <row r="321" spans="4:7" customFormat="1" x14ac:dyDescent="0.35">
      <c r="D321" s="51">
        <v>45506</v>
      </c>
      <c r="E321" s="57">
        <v>0.94678099999999998</v>
      </c>
      <c r="F321" s="57">
        <v>0.77447437149790821</v>
      </c>
      <c r="G321" s="2">
        <v>87.749837181259849</v>
      </c>
    </row>
    <row r="322" spans="4:7" customFormat="1" x14ac:dyDescent="0.35">
      <c r="D322" s="51">
        <v>45505</v>
      </c>
      <c r="E322" s="57">
        <v>0.976302</v>
      </c>
      <c r="F322" s="57">
        <v>0.75612087784215076</v>
      </c>
      <c r="G322" s="2">
        <v>89.87980889239175</v>
      </c>
    </row>
    <row r="323" spans="4:7" customFormat="1" x14ac:dyDescent="0.35">
      <c r="D323" s="51">
        <v>45504</v>
      </c>
      <c r="E323" s="57">
        <v>1.000445</v>
      </c>
      <c r="F323" s="57">
        <v>0.75645735163279049</v>
      </c>
      <c r="G323" s="2">
        <v>89.839830167967008</v>
      </c>
    </row>
    <row r="324" spans="4:7" customFormat="1" x14ac:dyDescent="0.35">
      <c r="D324" s="51">
        <v>45503</v>
      </c>
      <c r="E324" s="57">
        <v>0.974298</v>
      </c>
      <c r="F324" s="57">
        <v>0.73701488478112454</v>
      </c>
      <c r="G324" s="2">
        <v>92.209806617653939</v>
      </c>
    </row>
    <row r="325" spans="4:7" customFormat="1" x14ac:dyDescent="0.35">
      <c r="D325" s="51">
        <v>45502</v>
      </c>
      <c r="E325" s="57">
        <v>0.99761999999999995</v>
      </c>
      <c r="F325" s="57">
        <v>0.73526078935534545</v>
      </c>
      <c r="G325" s="2">
        <v>92.429789516703693</v>
      </c>
    </row>
    <row r="326" spans="4:7" customFormat="1" x14ac:dyDescent="0.35">
      <c r="D326" s="51">
        <v>45501</v>
      </c>
      <c r="E326" s="57">
        <v>1</v>
      </c>
      <c r="F326" s="57">
        <v>0.73526078935534545</v>
      </c>
      <c r="G326" s="2">
        <v>92.429789516703693</v>
      </c>
    </row>
    <row r="327" spans="4:7" customFormat="1" x14ac:dyDescent="0.35">
      <c r="D327" s="51">
        <v>45500</v>
      </c>
      <c r="E327" s="57">
        <v>1</v>
      </c>
      <c r="F327" s="57">
        <v>0.73526078935534545</v>
      </c>
      <c r="G327" s="2">
        <v>92.429789516703693</v>
      </c>
    </row>
    <row r="328" spans="4:7" customFormat="1" x14ac:dyDescent="0.35">
      <c r="D328" s="51">
        <v>45499</v>
      </c>
      <c r="E328" s="57">
        <v>1.017055</v>
      </c>
      <c r="F328" s="57">
        <v>0.74780066211780094</v>
      </c>
      <c r="G328" s="2">
        <v>90.879833948708466</v>
      </c>
    </row>
    <row r="329" spans="4:7" customFormat="1" x14ac:dyDescent="0.35">
      <c r="D329" s="51">
        <v>45498</v>
      </c>
      <c r="E329" s="57">
        <v>1.0174650000000001</v>
      </c>
      <c r="F329" s="57">
        <v>0.76086100068168838</v>
      </c>
      <c r="G329" s="2">
        <v>89.31986254928519</v>
      </c>
    </row>
    <row r="330" spans="4:7" customFormat="1" x14ac:dyDescent="0.35">
      <c r="D330" s="51">
        <v>45497</v>
      </c>
      <c r="E330" s="57">
        <v>0.88523300000000005</v>
      </c>
      <c r="F330" s="57">
        <v>0.6735392662164531</v>
      </c>
      <c r="G330" s="2">
        <v>100.89983377176991</v>
      </c>
    </row>
    <row r="331" spans="4:7" customFormat="1" x14ac:dyDescent="0.35">
      <c r="D331" s="51">
        <v>45496</v>
      </c>
      <c r="E331" s="57">
        <v>1.00458</v>
      </c>
      <c r="F331" s="57">
        <v>0.6766240760557245</v>
      </c>
      <c r="G331" s="2">
        <v>100.43981939892284</v>
      </c>
    </row>
    <row r="332" spans="4:7" customFormat="1" x14ac:dyDescent="0.35">
      <c r="D332" s="51">
        <v>45495</v>
      </c>
      <c r="E332" s="57">
        <v>1.046141</v>
      </c>
      <c r="F332" s="57">
        <v>0.70784418754901168</v>
      </c>
      <c r="G332" s="2">
        <v>96.009829840263237</v>
      </c>
    </row>
    <row r="333" spans="4:7" customFormat="1" x14ac:dyDescent="0.35">
      <c r="D333" s="51">
        <v>45494</v>
      </c>
      <c r="E333" s="57">
        <v>1</v>
      </c>
      <c r="F333" s="57">
        <v>0.70784418754901168</v>
      </c>
      <c r="G333" s="2">
        <v>96.009829840263237</v>
      </c>
    </row>
    <row r="334" spans="4:7" customFormat="1" x14ac:dyDescent="0.35">
      <c r="D334" s="51">
        <v>45493</v>
      </c>
      <c r="E334" s="57">
        <v>1</v>
      </c>
      <c r="F334" s="57">
        <v>0.70784418754901168</v>
      </c>
      <c r="G334" s="2">
        <v>96.009829840263237</v>
      </c>
    </row>
    <row r="335" spans="4:7" customFormat="1" x14ac:dyDescent="0.35">
      <c r="D335" s="51">
        <v>45492</v>
      </c>
      <c r="E335" s="57">
        <v>1.0030300000000001</v>
      </c>
      <c r="F335" s="57">
        <v>0.70998895543728524</v>
      </c>
      <c r="G335" s="2">
        <v>95.7197988497485</v>
      </c>
    </row>
    <row r="336" spans="4:7" customFormat="1" x14ac:dyDescent="0.35">
      <c r="D336" s="51">
        <v>45491</v>
      </c>
      <c r="E336" s="57">
        <v>1.0050399999999999</v>
      </c>
      <c r="F336" s="57">
        <v>0.71356729977268907</v>
      </c>
      <c r="G336" s="2">
        <v>95.239790306603226</v>
      </c>
    </row>
    <row r="337" spans="4:7" customFormat="1" x14ac:dyDescent="0.35">
      <c r="D337" s="51">
        <v>45490</v>
      </c>
      <c r="E337" s="57">
        <v>0.94343699999999997</v>
      </c>
      <c r="F337" s="57">
        <v>0.67320579259564639</v>
      </c>
      <c r="G337" s="2">
        <v>100.94981467400922</v>
      </c>
    </row>
    <row r="338" spans="4:7" customFormat="1" x14ac:dyDescent="0.35">
      <c r="D338" s="51">
        <v>45489</v>
      </c>
      <c r="E338" s="57">
        <v>1.0085919999999999</v>
      </c>
      <c r="F338" s="57">
        <v>0.67898997676562811</v>
      </c>
      <c r="G338" s="2">
        <v>100.08984274514296</v>
      </c>
    </row>
    <row r="339" spans="4:7" customFormat="1" x14ac:dyDescent="0.35">
      <c r="D339" s="51">
        <v>45488</v>
      </c>
      <c r="E339" s="57">
        <v>1.006132</v>
      </c>
      <c r="F339" s="57">
        <v>0.68315354330315492</v>
      </c>
      <c r="G339" s="2">
        <v>99.479832412787758</v>
      </c>
    </row>
    <row r="340" spans="4:7" customFormat="1" x14ac:dyDescent="0.35">
      <c r="D340" s="51">
        <v>45487</v>
      </c>
      <c r="E340" s="57">
        <v>1</v>
      </c>
      <c r="F340" s="57">
        <v>0.68315354330315492</v>
      </c>
      <c r="G340" s="2">
        <v>99.479832412787758</v>
      </c>
    </row>
    <row r="341" spans="4:7" customFormat="1" x14ac:dyDescent="0.35">
      <c r="D341" s="51">
        <v>45486</v>
      </c>
      <c r="E341" s="57">
        <v>1</v>
      </c>
      <c r="F341" s="57">
        <v>0.68315354330315492</v>
      </c>
      <c r="G341" s="2">
        <v>99.479832412787758</v>
      </c>
    </row>
    <row r="342" spans="4:7" customFormat="1" x14ac:dyDescent="0.35">
      <c r="D342" s="51">
        <v>45485</v>
      </c>
      <c r="E342" s="57">
        <v>1.0092319999999999</v>
      </c>
      <c r="F342" s="57">
        <v>0.68946041681492953</v>
      </c>
      <c r="G342" s="2">
        <v>98.569835689700454</v>
      </c>
    </row>
    <row r="343" spans="4:7" customFormat="1" x14ac:dyDescent="0.35">
      <c r="D343" s="51">
        <v>45484</v>
      </c>
      <c r="E343" s="57">
        <v>0.98747700000000005</v>
      </c>
      <c r="F343" s="57">
        <v>0.6808263040151562</v>
      </c>
      <c r="G343" s="2">
        <v>99.819880047535747</v>
      </c>
    </row>
    <row r="344" spans="4:7" customFormat="1" x14ac:dyDescent="0.35">
      <c r="D344" s="51">
        <v>45483</v>
      </c>
      <c r="E344" s="57">
        <v>0.98325499999999999</v>
      </c>
      <c r="F344" s="57">
        <v>0.66942586755442246</v>
      </c>
      <c r="G344" s="2">
        <v>101.51982959408875</v>
      </c>
    </row>
    <row r="345" spans="4:7" customFormat="1" x14ac:dyDescent="0.35">
      <c r="D345" s="51">
        <v>45482</v>
      </c>
      <c r="E345" s="57">
        <v>1.024627</v>
      </c>
      <c r="F345" s="57">
        <v>0.68591181839468518</v>
      </c>
      <c r="G345" s="2">
        <v>99.079791567164207</v>
      </c>
    </row>
    <row r="346" spans="4:7" customFormat="1" x14ac:dyDescent="0.35">
      <c r="D346" s="51">
        <v>45481</v>
      </c>
      <c r="E346" s="57">
        <v>0.99179200000000001</v>
      </c>
      <c r="F346" s="57">
        <v>0.68028185418930165</v>
      </c>
      <c r="G346" s="2">
        <v>99.89976887004957</v>
      </c>
    </row>
    <row r="347" spans="4:7" customFormat="1" x14ac:dyDescent="0.35">
      <c r="D347" s="51">
        <v>45480</v>
      </c>
      <c r="E347" s="57">
        <v>1</v>
      </c>
      <c r="F347" s="57">
        <v>0.68028185418930165</v>
      </c>
      <c r="G347" s="2">
        <v>99.89976887004957</v>
      </c>
    </row>
    <row r="348" spans="4:7" customFormat="1" x14ac:dyDescent="0.35">
      <c r="D348" s="51">
        <v>45479</v>
      </c>
      <c r="E348" s="57">
        <v>1</v>
      </c>
      <c r="F348" s="57">
        <v>0.68028185418930165</v>
      </c>
      <c r="G348" s="2">
        <v>99.89976887004957</v>
      </c>
    </row>
    <row r="349" spans="4:7" customFormat="1" x14ac:dyDescent="0.35">
      <c r="D349" s="51">
        <v>45478</v>
      </c>
      <c r="E349" s="57">
        <v>1.0043230000000001</v>
      </c>
      <c r="F349" s="57">
        <v>0.68322271264496204</v>
      </c>
      <c r="G349" s="2">
        <v>99.469761092845189</v>
      </c>
    </row>
    <row r="350" spans="4:7" customFormat="1" x14ac:dyDescent="0.35">
      <c r="D350" s="51">
        <v>45477</v>
      </c>
      <c r="E350" s="57">
        <v>1</v>
      </c>
      <c r="F350" s="57">
        <v>0.68322271264496204</v>
      </c>
      <c r="G350" s="2">
        <v>99.469761092845189</v>
      </c>
    </row>
    <row r="351" spans="4:7" customFormat="1" x14ac:dyDescent="0.35">
      <c r="D351" s="51">
        <v>45476</v>
      </c>
      <c r="E351" s="57">
        <v>1.0114909999999999</v>
      </c>
      <c r="F351" s="57">
        <v>0.69107362483596524</v>
      </c>
      <c r="G351" s="2">
        <v>98.339739150269452</v>
      </c>
    </row>
    <row r="352" spans="4:7" customFormat="1" x14ac:dyDescent="0.35">
      <c r="D352" s="51">
        <v>45475</v>
      </c>
      <c r="E352" s="57">
        <v>1.0037769999999999</v>
      </c>
      <c r="F352" s="57">
        <v>0.69368380991697065</v>
      </c>
      <c r="G352" s="2">
        <v>97.969707564797218</v>
      </c>
    </row>
    <row r="353" spans="4:7" customFormat="1" x14ac:dyDescent="0.35">
      <c r="D353" s="51">
        <v>45474</v>
      </c>
      <c r="E353" s="57">
        <v>1.003072</v>
      </c>
      <c r="F353" s="57">
        <v>0.69581480658103556</v>
      </c>
      <c r="G353" s="2">
        <v>97.669666349770722</v>
      </c>
    </row>
    <row r="354" spans="4:7" customFormat="1" x14ac:dyDescent="0.35">
      <c r="D354" s="51">
        <v>45473</v>
      </c>
      <c r="E354" s="57">
        <v>1</v>
      </c>
      <c r="F354" s="57">
        <v>0.69581480658103556</v>
      </c>
      <c r="G354" s="2">
        <v>97.669666349770722</v>
      </c>
    </row>
    <row r="355" spans="4:7" customFormat="1" x14ac:dyDescent="0.35">
      <c r="D355" s="51">
        <v>45472</v>
      </c>
      <c r="E355" s="57">
        <v>1</v>
      </c>
      <c r="F355" s="57">
        <v>0.69581480658103556</v>
      </c>
      <c r="G355" s="2">
        <v>97.669666349770722</v>
      </c>
    </row>
    <row r="356" spans="4:7" customFormat="1" x14ac:dyDescent="0.35">
      <c r="D356" s="51">
        <v>45471</v>
      </c>
      <c r="E356" s="57">
        <v>0.99439999999999995</v>
      </c>
      <c r="F356" s="57">
        <v>0.69191824366418175</v>
      </c>
      <c r="G356" s="2">
        <v>98.21969665101642</v>
      </c>
    </row>
    <row r="357" spans="4:7" customFormat="1" x14ac:dyDescent="0.35">
      <c r="D357" s="51">
        <v>45470</v>
      </c>
      <c r="E357" s="57">
        <v>1.00522</v>
      </c>
      <c r="F357" s="57">
        <v>0.69553005689610881</v>
      </c>
      <c r="G357" s="2">
        <v>97.709652266186922</v>
      </c>
    </row>
    <row r="358" spans="4:7" customFormat="1" x14ac:dyDescent="0.35">
      <c r="D358" s="51">
        <v>45469</v>
      </c>
      <c r="E358" s="57">
        <v>0.99979499999999999</v>
      </c>
      <c r="F358" s="57">
        <v>0.69538747323444505</v>
      </c>
      <c r="G358" s="2">
        <v>97.729686851991588</v>
      </c>
    </row>
    <row r="359" spans="4:7" customFormat="1" x14ac:dyDescent="0.35">
      <c r="D359" s="51">
        <v>45468</v>
      </c>
      <c r="E359" s="57">
        <v>1.020572</v>
      </c>
      <c r="F359" s="57">
        <v>0.70969298433382411</v>
      </c>
      <c r="G359" s="2">
        <v>95.759717934640165</v>
      </c>
    </row>
    <row r="360" spans="4:7" customFormat="1" x14ac:dyDescent="0.35">
      <c r="D360" s="51">
        <v>45467</v>
      </c>
      <c r="E360" s="57">
        <v>0.980043</v>
      </c>
      <c r="F360" s="57">
        <v>0.69552964144547402</v>
      </c>
      <c r="G360" s="2">
        <v>97.709710629676607</v>
      </c>
    </row>
    <row r="361" spans="4:7" customFormat="1" x14ac:dyDescent="0.35">
      <c r="D361" s="51">
        <v>45466</v>
      </c>
      <c r="E361" s="57">
        <v>1</v>
      </c>
      <c r="F361" s="57">
        <v>0.69552964144547402</v>
      </c>
      <c r="G361" s="2">
        <v>97.709710629676607</v>
      </c>
    </row>
    <row r="362" spans="4:7" customFormat="1" x14ac:dyDescent="0.35">
      <c r="D362" s="51">
        <v>45465</v>
      </c>
      <c r="E362" s="57">
        <v>1</v>
      </c>
      <c r="F362" s="57">
        <v>0.69552964144547402</v>
      </c>
      <c r="G362" s="2">
        <v>97.709710629676607</v>
      </c>
    </row>
    <row r="363" spans="4:7" customFormat="1" x14ac:dyDescent="0.35">
      <c r="D363" s="51">
        <v>45464</v>
      </c>
      <c r="E363" s="57">
        <v>1.0044200000000001</v>
      </c>
      <c r="F363" s="57">
        <v>0.69860388246066307</v>
      </c>
      <c r="G363" s="2">
        <v>97.27973420449274</v>
      </c>
    </row>
    <row r="364" spans="4:7" customFormat="1" x14ac:dyDescent="0.35">
      <c r="D364" s="51">
        <v>45463</v>
      </c>
      <c r="E364" s="57">
        <v>0.98015099999999999</v>
      </c>
      <c r="F364" s="57">
        <v>0.68473729399770134</v>
      </c>
      <c r="G364" s="2">
        <v>99.24974234020344</v>
      </c>
    </row>
    <row r="365" spans="4:7" customFormat="1" x14ac:dyDescent="0.35">
      <c r="D365" s="51">
        <v>45462</v>
      </c>
      <c r="E365" s="57">
        <v>1</v>
      </c>
      <c r="F365" s="57">
        <v>0.68473729399770134</v>
      </c>
      <c r="G365" s="2">
        <v>99.24974234020344</v>
      </c>
    </row>
    <row r="366" spans="4:7" customFormat="1" x14ac:dyDescent="0.35">
      <c r="D366" s="51">
        <v>45461</v>
      </c>
      <c r="E366" s="57">
        <v>1.016073</v>
      </c>
      <c r="F366" s="57">
        <v>0.69574307652412637</v>
      </c>
      <c r="G366" s="2">
        <v>97.679735944369597</v>
      </c>
    </row>
    <row r="367" spans="4:7" customFormat="1" x14ac:dyDescent="0.35">
      <c r="D367" s="51">
        <v>45460</v>
      </c>
      <c r="E367" s="57">
        <v>1.0211159999999999</v>
      </c>
      <c r="F367" s="57">
        <v>0.71043438732800979</v>
      </c>
      <c r="G367" s="2">
        <v>95.659783946554171</v>
      </c>
    </row>
    <row r="368" spans="4:7" customFormat="1" x14ac:dyDescent="0.35">
      <c r="D368" s="51">
        <v>45459</v>
      </c>
      <c r="E368" s="57">
        <v>1</v>
      </c>
      <c r="F368" s="57">
        <v>0.71043438732800979</v>
      </c>
      <c r="G368" s="2">
        <v>95.659783946554171</v>
      </c>
    </row>
    <row r="369" spans="4:7" customFormat="1" x14ac:dyDescent="0.35">
      <c r="D369" s="51">
        <v>45458</v>
      </c>
      <c r="E369" s="57">
        <v>1</v>
      </c>
      <c r="F369" s="57">
        <v>0.71043438732800979</v>
      </c>
      <c r="G369" s="2">
        <v>95.659783946554171</v>
      </c>
    </row>
    <row r="370" spans="4:7" customFormat="1" x14ac:dyDescent="0.35">
      <c r="D370" s="51">
        <v>45457</v>
      </c>
      <c r="E370" s="57">
        <v>1.000418</v>
      </c>
      <c r="F370" s="57">
        <v>0.71073134890191292</v>
      </c>
      <c r="G370" s="2">
        <v>95.619814863941031</v>
      </c>
    </row>
    <row r="371" spans="4:7" customFormat="1" x14ac:dyDescent="0.35">
      <c r="D371" s="51">
        <v>45456</v>
      </c>
      <c r="E371" s="57">
        <v>0.98111999999999999</v>
      </c>
      <c r="F371" s="57">
        <v>0.6973127410346448</v>
      </c>
      <c r="G371" s="2">
        <v>97.459856963410218</v>
      </c>
    </row>
    <row r="372" spans="4:7" customFormat="1" x14ac:dyDescent="0.35">
      <c r="D372" s="51">
        <v>45455</v>
      </c>
      <c r="E372" s="57">
        <v>1.0571649999999999</v>
      </c>
      <c r="F372" s="57">
        <v>0.73717462387589017</v>
      </c>
      <c r="G372" s="2">
        <v>92.189825583906227</v>
      </c>
    </row>
    <row r="373" spans="4:7" customFormat="1" x14ac:dyDescent="0.35">
      <c r="D373" s="51">
        <v>45454</v>
      </c>
      <c r="E373" s="57">
        <v>0.995035</v>
      </c>
      <c r="F373" s="57">
        <v>0.73351455186834635</v>
      </c>
      <c r="G373" s="2">
        <v>92.649831999785164</v>
      </c>
    </row>
    <row r="374" spans="4:7" customFormat="1" x14ac:dyDescent="0.35">
      <c r="D374" s="51">
        <v>45453</v>
      </c>
      <c r="E374" s="57">
        <v>0.98385900000000004</v>
      </c>
      <c r="F374" s="57">
        <v>0.72167489348663938</v>
      </c>
      <c r="G374" s="2">
        <v>94.169827180302434</v>
      </c>
    </row>
    <row r="375" spans="4:7" customFormat="1" x14ac:dyDescent="0.35">
      <c r="D375" s="51">
        <v>45452</v>
      </c>
      <c r="E375" s="57">
        <v>1</v>
      </c>
      <c r="F375" s="57">
        <v>0.72167489348663938</v>
      </c>
      <c r="G375" s="2">
        <v>94.169827180302434</v>
      </c>
    </row>
    <row r="376" spans="4:7" customFormat="1" x14ac:dyDescent="0.35">
      <c r="D376" s="51">
        <v>45451</v>
      </c>
      <c r="E376" s="57">
        <v>1</v>
      </c>
      <c r="F376" s="57">
        <v>0.72167489348663938</v>
      </c>
      <c r="G376" s="2">
        <v>94.169827180302434</v>
      </c>
    </row>
    <row r="377" spans="4:7" customFormat="1" x14ac:dyDescent="0.35">
      <c r="D377" s="51">
        <v>45450</v>
      </c>
      <c r="E377" s="57">
        <v>0.96892699999999998</v>
      </c>
      <c r="F377" s="57">
        <v>0.69925028952132906</v>
      </c>
      <c r="G377" s="2">
        <v>97.189806022850462</v>
      </c>
    </row>
    <row r="378" spans="4:7" customFormat="1" x14ac:dyDescent="0.35">
      <c r="D378" s="51">
        <v>45449</v>
      </c>
      <c r="E378" s="57">
        <v>0.99774200000000002</v>
      </c>
      <c r="F378" s="57">
        <v>0.69767138236758997</v>
      </c>
      <c r="G378" s="2">
        <v>97.40975725473163</v>
      </c>
    </row>
    <row r="379" spans="4:7" customFormat="1" x14ac:dyDescent="0.35">
      <c r="D379" s="51">
        <v>45448</v>
      </c>
      <c r="E379" s="57">
        <v>1.031012</v>
      </c>
      <c r="F379" s="57">
        <v>0.71930756727757372</v>
      </c>
      <c r="G379" s="2">
        <v>94.479751210200874</v>
      </c>
    </row>
    <row r="380" spans="4:7" customFormat="1" x14ac:dyDescent="0.35">
      <c r="D380" s="51">
        <v>45447</v>
      </c>
      <c r="E380" s="57">
        <v>1.0147139999999999</v>
      </c>
      <c r="F380" s="57">
        <v>0.72989145882249584</v>
      </c>
      <c r="G380" s="2">
        <v>93.109734575654699</v>
      </c>
    </row>
    <row r="381" spans="4:7" customFormat="1" x14ac:dyDescent="0.35">
      <c r="D381" s="51">
        <v>45446</v>
      </c>
      <c r="E381" s="57">
        <v>1.003557</v>
      </c>
      <c r="F381" s="57">
        <v>0.73248768274152753</v>
      </c>
      <c r="G381" s="2">
        <v>92.779717121852272</v>
      </c>
    </row>
    <row r="382" spans="4:7" customFormat="1" x14ac:dyDescent="0.35">
      <c r="D382" s="51">
        <v>45445</v>
      </c>
      <c r="E382" s="57">
        <v>1</v>
      </c>
      <c r="F382" s="57">
        <v>0.73248768274152753</v>
      </c>
      <c r="G382" s="2">
        <v>92.779717121852272</v>
      </c>
    </row>
    <row r="383" spans="4:7" customFormat="1" x14ac:dyDescent="0.35">
      <c r="D383" s="51">
        <v>45444</v>
      </c>
      <c r="E383" s="57">
        <v>1</v>
      </c>
      <c r="F383" s="57">
        <v>0.73248768274152753</v>
      </c>
      <c r="G383" s="2">
        <v>92.779717121852272</v>
      </c>
    </row>
    <row r="384" spans="4:7" customFormat="1" x14ac:dyDescent="0.35">
      <c r="D384" s="51">
        <v>45443</v>
      </c>
      <c r="E384" s="57">
        <v>0.99007599999999996</v>
      </c>
      <c r="F384" s="57">
        <v>0.72521847497800063</v>
      </c>
      <c r="G384" s="2">
        <v>93.709692106315345</v>
      </c>
    </row>
    <row r="385" spans="4:7" customFormat="1" x14ac:dyDescent="0.35">
      <c r="D385" s="51">
        <v>45442</v>
      </c>
      <c r="E385" s="57">
        <v>0.98177099999999995</v>
      </c>
      <c r="F385" s="57">
        <v>0.71199846739762662</v>
      </c>
      <c r="G385" s="2">
        <v>95.449643660604508</v>
      </c>
    </row>
    <row r="386" spans="4:7" customFormat="1" x14ac:dyDescent="0.35">
      <c r="D386" s="51">
        <v>45441</v>
      </c>
      <c r="E386" s="57">
        <v>1.0037860000000001</v>
      </c>
      <c r="F386" s="57">
        <v>0.71469409359519409</v>
      </c>
      <c r="G386" s="2">
        <v>95.089634305125287</v>
      </c>
    </row>
    <row r="387" spans="4:7" customFormat="1" x14ac:dyDescent="0.35">
      <c r="D387" s="51">
        <v>45440</v>
      </c>
      <c r="E387" s="57">
        <v>1.0035879999999999</v>
      </c>
      <c r="F387" s="57">
        <v>0.71725841600301354</v>
      </c>
      <c r="G387" s="2">
        <v>94.749672480266113</v>
      </c>
    </row>
    <row r="388" spans="4:7" customFormat="1" x14ac:dyDescent="0.35">
      <c r="D388" s="51">
        <v>45439</v>
      </c>
      <c r="E388" s="57">
        <v>1</v>
      </c>
      <c r="F388" s="57">
        <v>0.71725841600301354</v>
      </c>
      <c r="G388" s="2">
        <v>94.749672480266113</v>
      </c>
    </row>
    <row r="389" spans="4:7" customFormat="1" x14ac:dyDescent="0.35">
      <c r="D389" s="51">
        <v>45438</v>
      </c>
      <c r="E389" s="57">
        <v>1</v>
      </c>
      <c r="F389" s="57">
        <v>0.71725841600301354</v>
      </c>
      <c r="G389" s="2">
        <v>94.749672480266113</v>
      </c>
    </row>
    <row r="390" spans="4:7" customFormat="1" x14ac:dyDescent="0.35">
      <c r="D390" s="51">
        <v>45437</v>
      </c>
      <c r="E390" s="57">
        <v>1</v>
      </c>
      <c r="F390" s="57">
        <v>0.71725841600301354</v>
      </c>
      <c r="G390" s="2">
        <v>94.749672480266113</v>
      </c>
    </row>
    <row r="391" spans="4:7" customFormat="1" x14ac:dyDescent="0.35">
      <c r="D391" s="51">
        <v>45436</v>
      </c>
      <c r="E391" s="57">
        <v>1.024214</v>
      </c>
      <c r="F391" s="57">
        <v>0.73462611128811051</v>
      </c>
      <c r="G391" s="2">
        <v>92.509643961385137</v>
      </c>
    </row>
    <row r="392" spans="4:7" customFormat="1" x14ac:dyDescent="0.35">
      <c r="D392" s="51">
        <v>45435</v>
      </c>
      <c r="E392" s="57">
        <v>0.97052000000000005</v>
      </c>
      <c r="F392" s="57">
        <v>0.71296933352733705</v>
      </c>
      <c r="G392" s="2">
        <v>95.319667767161036</v>
      </c>
    </row>
    <row r="393" spans="4:7" customFormat="1" x14ac:dyDescent="0.35">
      <c r="D393" s="51">
        <v>45434</v>
      </c>
      <c r="E393" s="57">
        <v>0.99655000000000005</v>
      </c>
      <c r="F393" s="57">
        <v>0.71050958932666775</v>
      </c>
      <c r="G393" s="2">
        <v>95.649659091025072</v>
      </c>
    </row>
    <row r="394" spans="4:7" customFormat="1" x14ac:dyDescent="0.35">
      <c r="D394" s="51">
        <v>45433</v>
      </c>
      <c r="E394" s="57">
        <v>0.98102599999999995</v>
      </c>
      <c r="F394" s="57">
        <v>0.69702838037878356</v>
      </c>
      <c r="G394" s="2">
        <v>97.499616820578723</v>
      </c>
    </row>
    <row r="395" spans="4:7" customFormat="1" x14ac:dyDescent="0.35">
      <c r="D395" s="51">
        <v>45432</v>
      </c>
      <c r="E395" s="57">
        <v>1.0286979999999999</v>
      </c>
      <c r="F395" s="57">
        <v>0.71703170083889378</v>
      </c>
      <c r="G395" s="2">
        <v>94.779630970973741</v>
      </c>
    </row>
    <row r="396" spans="4:7" customFormat="1" x14ac:dyDescent="0.35">
      <c r="D396" s="51">
        <v>45431</v>
      </c>
      <c r="E396" s="57">
        <v>1</v>
      </c>
      <c r="F396" s="57">
        <v>0.71703170083889378</v>
      </c>
      <c r="G396" s="2">
        <v>94.779630970973741</v>
      </c>
    </row>
    <row r="397" spans="4:7" customFormat="1" x14ac:dyDescent="0.35">
      <c r="D397" s="51">
        <v>45430</v>
      </c>
      <c r="E397" s="57">
        <v>1</v>
      </c>
      <c r="F397" s="57">
        <v>0.71703170083889378</v>
      </c>
      <c r="G397" s="2">
        <v>94.779630970973741</v>
      </c>
    </row>
    <row r="398" spans="4:7" customFormat="1" x14ac:dyDescent="0.35">
      <c r="D398" s="51">
        <v>45429</v>
      </c>
      <c r="E398" s="57">
        <v>1.0170619999999999</v>
      </c>
      <c r="F398" s="57">
        <v>0.72926569571860689</v>
      </c>
      <c r="G398" s="2">
        <v>93.189629512235982</v>
      </c>
    </row>
    <row r="399" spans="4:7" customFormat="1" x14ac:dyDescent="0.35">
      <c r="D399" s="51">
        <v>45428</v>
      </c>
      <c r="E399" s="57">
        <v>1.0325759999999999</v>
      </c>
      <c r="F399" s="57">
        <v>0.75302225502233622</v>
      </c>
      <c r="G399" s="2">
        <v>90.249656695716325</v>
      </c>
    </row>
    <row r="400" spans="4:7" customFormat="1" x14ac:dyDescent="0.35">
      <c r="D400" s="51">
        <v>45427</v>
      </c>
      <c r="E400" s="57">
        <v>1.0472269999999999</v>
      </c>
      <c r="F400" s="57">
        <v>0.78858523706027606</v>
      </c>
      <c r="G400" s="2">
        <v>86.17965034869836</v>
      </c>
    </row>
    <row r="401" spans="4:7" customFormat="1" x14ac:dyDescent="0.35">
      <c r="D401" s="51">
        <v>45426</v>
      </c>
      <c r="E401" s="57">
        <v>0.98457700000000004</v>
      </c>
      <c r="F401" s="57">
        <v>0.77642288694909545</v>
      </c>
      <c r="G401" s="2">
        <v>87.529619672913697</v>
      </c>
    </row>
    <row r="402" spans="4:7" customFormat="1" x14ac:dyDescent="0.35">
      <c r="D402" s="51">
        <v>45425</v>
      </c>
      <c r="E402" s="57">
        <v>1.0030939999999999</v>
      </c>
      <c r="F402" s="57">
        <v>0.77882513936131592</v>
      </c>
      <c r="G402" s="2">
        <v>87.25963835185307</v>
      </c>
    </row>
    <row r="403" spans="4:7" customFormat="1" x14ac:dyDescent="0.35">
      <c r="D403" s="51">
        <v>45424</v>
      </c>
      <c r="E403" s="57">
        <v>1</v>
      </c>
      <c r="F403" s="57">
        <v>0.77882513936131592</v>
      </c>
      <c r="G403" s="2">
        <v>87.25963835185307</v>
      </c>
    </row>
    <row r="404" spans="4:7" customFormat="1" x14ac:dyDescent="0.35">
      <c r="D404" s="51">
        <v>45423</v>
      </c>
      <c r="E404" s="57">
        <v>1</v>
      </c>
      <c r="F404" s="57">
        <v>0.77882513936131592</v>
      </c>
      <c r="G404" s="2">
        <v>87.25963835185307</v>
      </c>
    </row>
    <row r="405" spans="4:7" customFormat="1" x14ac:dyDescent="0.35">
      <c r="D405" s="51">
        <v>45422</v>
      </c>
      <c r="E405" s="57">
        <v>0.98409800000000003</v>
      </c>
      <c r="F405" s="57">
        <v>0.76644026199519233</v>
      </c>
      <c r="G405" s="2">
        <v>88.669663338258047</v>
      </c>
    </row>
    <row r="406" spans="4:7" customFormat="1" x14ac:dyDescent="0.35">
      <c r="D406" s="51">
        <v>45421</v>
      </c>
      <c r="E406" s="57">
        <v>1.030807</v>
      </c>
      <c r="F406" s="57">
        <v>0.79005198714647829</v>
      </c>
      <c r="G406" s="2">
        <v>86.019655801966849</v>
      </c>
    </row>
    <row r="407" spans="4:7" customFormat="1" x14ac:dyDescent="0.35">
      <c r="D407" s="51">
        <v>45420</v>
      </c>
      <c r="E407" s="57">
        <v>0.95961600000000002</v>
      </c>
      <c r="F407" s="57">
        <v>0.75814652769755497</v>
      </c>
      <c r="G407" s="2">
        <v>89.63966399264585</v>
      </c>
    </row>
    <row r="408" spans="4:7" customFormat="1" x14ac:dyDescent="0.35">
      <c r="D408" s="51">
        <v>45419</v>
      </c>
      <c r="E408" s="57">
        <v>0.98117299999999996</v>
      </c>
      <c r="F408" s="57">
        <v>0.74387290302059306</v>
      </c>
      <c r="G408" s="2">
        <v>91.359692931466569</v>
      </c>
    </row>
    <row r="409" spans="4:7" customFormat="1" x14ac:dyDescent="0.35">
      <c r="D409" s="51">
        <v>45418</v>
      </c>
      <c r="E409" s="57">
        <v>1.0312680000000001</v>
      </c>
      <c r="F409" s="57">
        <v>0.76713232095224104</v>
      </c>
      <c r="G409" s="2">
        <v>88.589671095647844</v>
      </c>
    </row>
    <row r="410" spans="4:7" customFormat="1" x14ac:dyDescent="0.35">
      <c r="D410" s="51">
        <v>45417</v>
      </c>
      <c r="E410" s="57">
        <v>1</v>
      </c>
      <c r="F410" s="57">
        <v>0.76713232095224104</v>
      </c>
      <c r="G410" s="2">
        <v>88.589671095647844</v>
      </c>
    </row>
    <row r="411" spans="4:7" customFormat="1" x14ac:dyDescent="0.35">
      <c r="D411" s="51">
        <v>45416</v>
      </c>
      <c r="E411" s="57">
        <v>1</v>
      </c>
      <c r="F411" s="57">
        <v>0.76713232095224104</v>
      </c>
      <c r="G411" s="2">
        <v>88.589671095647844</v>
      </c>
    </row>
    <row r="412" spans="4:7" customFormat="1" x14ac:dyDescent="0.35">
      <c r="D412" s="51">
        <v>45415</v>
      </c>
      <c r="E412" s="57">
        <v>1.0053339999999999</v>
      </c>
      <c r="F412" s="57">
        <v>0.77122420475220022</v>
      </c>
      <c r="G412" s="2">
        <v>88.119640930922316</v>
      </c>
    </row>
    <row r="413" spans="4:7" customFormat="1" x14ac:dyDescent="0.35">
      <c r="D413" s="51">
        <v>45414</v>
      </c>
      <c r="E413" s="57">
        <v>1.0317289999999999</v>
      </c>
      <c r="F413" s="57">
        <v>0.79569437754478267</v>
      </c>
      <c r="G413" s="2">
        <v>85.409677280489674</v>
      </c>
    </row>
    <row r="414" spans="4:7" customFormat="1" x14ac:dyDescent="0.35">
      <c r="D414" s="51">
        <v>45413</v>
      </c>
      <c r="E414" s="57">
        <v>1.030899</v>
      </c>
      <c r="F414" s="57">
        <v>0.82028053811653889</v>
      </c>
      <c r="G414" s="2">
        <v>82.84970426830337</v>
      </c>
    </row>
    <row r="415" spans="4:7" customFormat="1" x14ac:dyDescent="0.35">
      <c r="D415" s="51">
        <v>45412</v>
      </c>
      <c r="E415" s="57">
        <v>0.98047300000000004</v>
      </c>
      <c r="F415" s="57">
        <v>0.80426292004873723</v>
      </c>
      <c r="G415" s="2">
        <v>84.499730505891918</v>
      </c>
    </row>
    <row r="416" spans="4:7" customFormat="1" x14ac:dyDescent="0.35">
      <c r="D416" s="51">
        <v>45411</v>
      </c>
      <c r="E416" s="57">
        <v>0.99728499999999998</v>
      </c>
      <c r="F416" s="57">
        <v>0.8020793462208049</v>
      </c>
      <c r="G416" s="2">
        <v>84.729771836427815</v>
      </c>
    </row>
    <row r="417" spans="4:7" customFormat="1" x14ac:dyDescent="0.35">
      <c r="D417" s="51">
        <v>45410</v>
      </c>
      <c r="E417" s="57">
        <v>1</v>
      </c>
      <c r="F417" s="57">
        <v>0.8020793462208049</v>
      </c>
      <c r="G417" s="2">
        <v>84.729771836427815</v>
      </c>
    </row>
    <row r="418" spans="4:7" customFormat="1" x14ac:dyDescent="0.35">
      <c r="D418" s="51">
        <v>45409</v>
      </c>
      <c r="E418" s="57">
        <v>1</v>
      </c>
      <c r="F418" s="57">
        <v>0.8020793462208049</v>
      </c>
      <c r="G418" s="2">
        <v>84.729771836427815</v>
      </c>
    </row>
    <row r="419" spans="4:7" customFormat="1" x14ac:dyDescent="0.35">
      <c r="D419" s="51">
        <v>45408</v>
      </c>
      <c r="E419" s="57">
        <v>1.0166789999999999</v>
      </c>
      <c r="F419" s="57">
        <v>0.81545722763642159</v>
      </c>
      <c r="G419" s="2">
        <v>83.339748176590476</v>
      </c>
    </row>
    <row r="420" spans="4:7" customFormat="1" x14ac:dyDescent="0.35">
      <c r="D420" s="51">
        <v>45407</v>
      </c>
      <c r="E420" s="57">
        <v>0.99462899999999999</v>
      </c>
      <c r="F420" s="57">
        <v>0.81107740686678631</v>
      </c>
      <c r="G420" s="2">
        <v>83.78978310162934</v>
      </c>
    </row>
    <row r="421" spans="4:7" customFormat="1" x14ac:dyDescent="0.35">
      <c r="D421" s="51">
        <v>45406</v>
      </c>
      <c r="E421" s="57">
        <v>1.0335510000000001</v>
      </c>
      <c r="F421" s="57">
        <v>0.83828986494457391</v>
      </c>
      <c r="G421" s="2">
        <v>81.069809909360387</v>
      </c>
    </row>
    <row r="422" spans="4:7" customFormat="1" x14ac:dyDescent="0.35">
      <c r="D422" s="51">
        <v>45405</v>
      </c>
      <c r="E422" s="57">
        <v>1.0414950000000001</v>
      </c>
      <c r="F422" s="57">
        <v>0.87307470289044908</v>
      </c>
      <c r="G422" s="2">
        <v>77.839845519527572</v>
      </c>
    </row>
    <row r="423" spans="4:7" customFormat="1" x14ac:dyDescent="0.35">
      <c r="D423" s="51">
        <v>45404</v>
      </c>
      <c r="E423" s="57">
        <v>1.0069859999999999</v>
      </c>
      <c r="F423" s="57">
        <v>0.8791740027648417</v>
      </c>
      <c r="G423" s="2">
        <v>77.299828914729289</v>
      </c>
    </row>
    <row r="424" spans="4:7" customFormat="1" x14ac:dyDescent="0.35">
      <c r="D424" s="51">
        <v>45403</v>
      </c>
      <c r="E424" s="57">
        <v>1</v>
      </c>
      <c r="F424" s="57">
        <v>0.8791740027648417</v>
      </c>
      <c r="G424" s="2">
        <v>77.299828914729289</v>
      </c>
    </row>
    <row r="425" spans="4:7" customFormat="1" x14ac:dyDescent="0.35">
      <c r="D425" s="51">
        <v>45402</v>
      </c>
      <c r="E425" s="57">
        <v>1</v>
      </c>
      <c r="F425" s="57">
        <v>0.8791740027648417</v>
      </c>
      <c r="G425" s="2">
        <v>77.299828914729289</v>
      </c>
    </row>
    <row r="426" spans="4:7" customFormat="1" x14ac:dyDescent="0.35">
      <c r="D426" s="51">
        <v>45401</v>
      </c>
      <c r="E426" s="57">
        <v>0.956565</v>
      </c>
      <c r="F426" s="57">
        <v>0.84098707995475075</v>
      </c>
      <c r="G426" s="2">
        <v>80.80980269477692</v>
      </c>
    </row>
    <row r="427" spans="4:7" customFormat="1" x14ac:dyDescent="0.35">
      <c r="D427" s="51">
        <v>45400</v>
      </c>
      <c r="E427" s="57">
        <v>1.008486</v>
      </c>
      <c r="F427" s="57">
        <v>0.84812369631524676</v>
      </c>
      <c r="G427" s="2">
        <v>80.129821033486763</v>
      </c>
    </row>
    <row r="428" spans="4:7" customFormat="1" x14ac:dyDescent="0.35">
      <c r="D428" s="51">
        <v>45399</v>
      </c>
      <c r="E428" s="57">
        <v>0.97564799999999996</v>
      </c>
      <c r="F428" s="57">
        <v>0.82747018806257788</v>
      </c>
      <c r="G428" s="2">
        <v>82.129847069318799</v>
      </c>
    </row>
    <row r="429" spans="4:7" customFormat="1" x14ac:dyDescent="0.35">
      <c r="D429" s="51">
        <v>45398</v>
      </c>
      <c r="E429" s="57">
        <v>1.014076</v>
      </c>
      <c r="F429" s="57">
        <v>0.83911765842974673</v>
      </c>
      <c r="G429" s="2">
        <v>80.989834163631528</v>
      </c>
    </row>
    <row r="430" spans="4:7" customFormat="1" x14ac:dyDescent="0.35">
      <c r="D430" s="51">
        <v>45397</v>
      </c>
      <c r="E430" s="57">
        <v>0.93771000000000004</v>
      </c>
      <c r="F430" s="57">
        <v>0.78684901948615782</v>
      </c>
      <c r="G430" s="2">
        <v>86.3698096038557</v>
      </c>
    </row>
    <row r="431" spans="4:7" customFormat="1" x14ac:dyDescent="0.35">
      <c r="D431" s="51">
        <v>45396</v>
      </c>
      <c r="E431" s="57">
        <v>1</v>
      </c>
      <c r="F431" s="57">
        <v>0.78684901948615782</v>
      </c>
      <c r="G431" s="2">
        <v>86.3698096038557</v>
      </c>
    </row>
    <row r="432" spans="4:7" customFormat="1" x14ac:dyDescent="0.35">
      <c r="D432" s="51">
        <v>45395</v>
      </c>
      <c r="E432" s="57">
        <v>1</v>
      </c>
      <c r="F432" s="57">
        <v>0.78684901948615782</v>
      </c>
      <c r="G432" s="2">
        <v>86.3698096038557</v>
      </c>
    </row>
    <row r="433" spans="4:7" customFormat="1" x14ac:dyDescent="0.35">
      <c r="D433" s="51">
        <v>45394</v>
      </c>
      <c r="E433" s="57">
        <v>0.98483500000000002</v>
      </c>
      <c r="F433" s="57">
        <v>0.77491645410565024</v>
      </c>
      <c r="G433" s="2">
        <v>87.69977671778085</v>
      </c>
    </row>
    <row r="434" spans="4:7" customFormat="1" x14ac:dyDescent="0.35">
      <c r="D434" s="51">
        <v>45393</v>
      </c>
      <c r="E434" s="57">
        <v>1.0145770000000001</v>
      </c>
      <c r="F434" s="57">
        <v>0.78621241125714836</v>
      </c>
      <c r="G434" s="2">
        <v>86.439744561310619</v>
      </c>
    </row>
    <row r="435" spans="4:7" customFormat="1" x14ac:dyDescent="0.35">
      <c r="D435" s="51">
        <v>45392</v>
      </c>
      <c r="E435" s="57">
        <v>0.995394</v>
      </c>
      <c r="F435" s="57">
        <v>0.78259111689089789</v>
      </c>
      <c r="G435" s="2">
        <v>86.839728350091136</v>
      </c>
    </row>
    <row r="436" spans="4:7" customFormat="1" x14ac:dyDescent="0.35">
      <c r="D436" s="51">
        <v>45391</v>
      </c>
      <c r="E436" s="57">
        <v>1.001846</v>
      </c>
      <c r="F436" s="57">
        <v>0.78403578009267849</v>
      </c>
      <c r="G436" s="2">
        <v>86.679717591417386</v>
      </c>
    </row>
    <row r="437" spans="4:7" customFormat="1" x14ac:dyDescent="0.35">
      <c r="D437" s="51">
        <v>45390</v>
      </c>
      <c r="E437" s="57">
        <v>1.009903</v>
      </c>
      <c r="F437" s="57">
        <v>0.79180008642293631</v>
      </c>
      <c r="G437" s="2">
        <v>85.829745620537196</v>
      </c>
    </row>
    <row r="438" spans="4:7" customFormat="1" x14ac:dyDescent="0.35">
      <c r="D438" s="51">
        <v>45389</v>
      </c>
      <c r="E438" s="57">
        <v>1</v>
      </c>
      <c r="F438" s="57">
        <v>0.79180008642293631</v>
      </c>
      <c r="G438" s="2">
        <v>85.829745620537196</v>
      </c>
    </row>
    <row r="439" spans="4:7" customFormat="1" x14ac:dyDescent="0.35">
      <c r="D439" s="51">
        <v>45388</v>
      </c>
      <c r="E439" s="57">
        <v>1</v>
      </c>
      <c r="F439" s="57">
        <v>0.79180008642293631</v>
      </c>
      <c r="G439" s="2">
        <v>85.829745620537196</v>
      </c>
    </row>
    <row r="440" spans="4:7" customFormat="1" x14ac:dyDescent="0.35">
      <c r="D440" s="51">
        <v>45387</v>
      </c>
      <c r="E440" s="57">
        <v>1.0150189999999999</v>
      </c>
      <c r="F440" s="57">
        <v>0.80369213192092226</v>
      </c>
      <c r="G440" s="2">
        <v>84.559742842781475</v>
      </c>
    </row>
    <row r="441" spans="4:7" customFormat="1" x14ac:dyDescent="0.35">
      <c r="D441" s="51">
        <v>45386</v>
      </c>
      <c r="E441" s="57">
        <v>0.97262499999999996</v>
      </c>
      <c r="F441" s="57">
        <v>0.78169105980958697</v>
      </c>
      <c r="G441" s="2">
        <v>86.939717612421518</v>
      </c>
    </row>
    <row r="442" spans="4:7" customFormat="1" x14ac:dyDescent="0.35">
      <c r="D442" s="51">
        <v>45385</v>
      </c>
      <c r="E442" s="57">
        <v>0.998278</v>
      </c>
      <c r="F442" s="57">
        <v>0.78034498780459483</v>
      </c>
      <c r="G442" s="2">
        <v>87.08968605180273</v>
      </c>
    </row>
    <row r="443" spans="4:7" customFormat="1" x14ac:dyDescent="0.35">
      <c r="D443" s="51">
        <v>45384</v>
      </c>
      <c r="E443" s="57">
        <v>0.99748000000000003</v>
      </c>
      <c r="F443" s="57">
        <v>0.77837851843532724</v>
      </c>
      <c r="G443" s="2">
        <v>87.309706512213509</v>
      </c>
    </row>
    <row r="444" spans="4:7" customFormat="1" x14ac:dyDescent="0.35">
      <c r="D444" s="51">
        <v>45383</v>
      </c>
      <c r="E444" s="57">
        <v>0.99874200000000002</v>
      </c>
      <c r="F444" s="57">
        <v>0.77739931825913566</v>
      </c>
      <c r="G444" s="2">
        <v>87.419680470245069</v>
      </c>
    </row>
    <row r="445" spans="4:7" customFormat="1" x14ac:dyDescent="0.35">
      <c r="D445" s="51">
        <v>45382</v>
      </c>
      <c r="E445" s="57">
        <v>1</v>
      </c>
      <c r="F445" s="57">
        <v>0.77739931825913566</v>
      </c>
      <c r="G445" s="2">
        <v>87.419680470245069</v>
      </c>
    </row>
    <row r="446" spans="4:7" customFormat="1" x14ac:dyDescent="0.35">
      <c r="D446" s="51">
        <v>45381</v>
      </c>
      <c r="E446" s="57">
        <v>1</v>
      </c>
      <c r="F446" s="57">
        <v>0.77739931825913566</v>
      </c>
      <c r="G446" s="2">
        <v>87.419680470245069</v>
      </c>
    </row>
    <row r="447" spans="4:7" customFormat="1" x14ac:dyDescent="0.35">
      <c r="D447" s="51">
        <v>45380</v>
      </c>
      <c r="E447" s="57">
        <v>1</v>
      </c>
      <c r="F447" s="57">
        <v>0.77739931825913566</v>
      </c>
      <c r="G447" s="2">
        <v>87.419680470245069</v>
      </c>
    </row>
    <row r="448" spans="4:7" customFormat="1" x14ac:dyDescent="0.35">
      <c r="D448" s="51">
        <v>45379</v>
      </c>
      <c r="E448" s="57">
        <v>1.002408</v>
      </c>
      <c r="F448" s="57">
        <v>0.77927129581750365</v>
      </c>
      <c r="G448" s="2">
        <v>87.209679561860113</v>
      </c>
    </row>
    <row r="449" spans="4:7" customFormat="1" x14ac:dyDescent="0.35">
      <c r="D449" s="51">
        <v>45378</v>
      </c>
      <c r="E449" s="57">
        <v>1.001838</v>
      </c>
      <c r="F449" s="57">
        <v>0.78070359645921628</v>
      </c>
      <c r="G449" s="2">
        <v>87.049682245892157</v>
      </c>
    </row>
    <row r="450" spans="4:7" customFormat="1" x14ac:dyDescent="0.35">
      <c r="D450" s="51">
        <v>45377</v>
      </c>
      <c r="E450" s="57">
        <v>0.99428899999999998</v>
      </c>
      <c r="F450" s="57">
        <v>0.77624499821983772</v>
      </c>
      <c r="G450" s="2">
        <v>87.549678459574778</v>
      </c>
    </row>
    <row r="451" spans="4:7" customFormat="1" x14ac:dyDescent="0.35">
      <c r="D451" s="51">
        <v>45376</v>
      </c>
      <c r="E451" s="57">
        <v>1.0292730000000001</v>
      </c>
      <c r="F451" s="57">
        <v>0.7989680180527271</v>
      </c>
      <c r="G451" s="2">
        <v>85.059725125962473</v>
      </c>
    </row>
    <row r="452" spans="4:7" customFormat="1" x14ac:dyDescent="0.35">
      <c r="D452" s="51">
        <v>45375</v>
      </c>
      <c r="E452" s="57">
        <v>1</v>
      </c>
      <c r="F452" s="57">
        <v>0.7989680180527271</v>
      </c>
      <c r="G452" s="2">
        <v>85.059725125962473</v>
      </c>
    </row>
    <row r="453" spans="4:7" customFormat="1" x14ac:dyDescent="0.35">
      <c r="D453" s="51">
        <v>45374</v>
      </c>
      <c r="E453" s="57">
        <v>1</v>
      </c>
      <c r="F453" s="57">
        <v>0.7989680180527271</v>
      </c>
      <c r="G453" s="2">
        <v>85.059725125962473</v>
      </c>
    </row>
    <row r="454" spans="4:7" customFormat="1" x14ac:dyDescent="0.35">
      <c r="D454" s="51">
        <v>45373</v>
      </c>
      <c r="E454" s="57">
        <v>1</v>
      </c>
      <c r="F454" s="57">
        <v>0.7989680180527271</v>
      </c>
      <c r="G454" s="2">
        <v>85.059725125962473</v>
      </c>
    </row>
    <row r="455" spans="4:7" customFormat="1" x14ac:dyDescent="0.35">
      <c r="D455" s="51">
        <v>45372</v>
      </c>
      <c r="E455" s="57">
        <v>1.0190490000000001</v>
      </c>
      <c r="F455" s="57">
        <v>0.81418755982861357</v>
      </c>
      <c r="G455" s="2">
        <v>83.469710608579632</v>
      </c>
    </row>
    <row r="456" spans="4:7" customFormat="1" x14ac:dyDescent="0.35">
      <c r="D456" s="51">
        <v>45371</v>
      </c>
      <c r="E456" s="57">
        <v>1.0465150000000001</v>
      </c>
      <c r="F456" s="57">
        <v>0.85205949417404159</v>
      </c>
      <c r="G456" s="2">
        <v>79.759688689201425</v>
      </c>
    </row>
    <row r="457" spans="4:7" customFormat="1" x14ac:dyDescent="0.35">
      <c r="D457" s="51">
        <v>45370</v>
      </c>
      <c r="E457" s="57">
        <v>1.0179959999999999</v>
      </c>
      <c r="F457" s="57">
        <v>0.86739315683119755</v>
      </c>
      <c r="G457" s="2">
        <v>78.349707355629519</v>
      </c>
    </row>
    <row r="458" spans="4:7" customFormat="1" x14ac:dyDescent="0.35">
      <c r="D458" s="51">
        <v>45369</v>
      </c>
      <c r="E458" s="57">
        <v>1.0212460000000001</v>
      </c>
      <c r="F458" s="57">
        <v>0.88582179184123322</v>
      </c>
      <c r="G458" s="2">
        <v>76.71972018067099</v>
      </c>
    </row>
    <row r="459" spans="4:7" customFormat="1" x14ac:dyDescent="0.35">
      <c r="D459" s="51">
        <v>45368</v>
      </c>
      <c r="E459" s="57">
        <v>1</v>
      </c>
      <c r="F459" s="57">
        <v>0.88582179184123322</v>
      </c>
      <c r="G459" s="2">
        <v>76.71972018067099</v>
      </c>
    </row>
    <row r="460" spans="4:7" customFormat="1" x14ac:dyDescent="0.35">
      <c r="D460" s="51">
        <v>45367</v>
      </c>
      <c r="E460" s="57">
        <v>1</v>
      </c>
      <c r="F460" s="57">
        <v>0.88582179184123322</v>
      </c>
      <c r="G460" s="2">
        <v>76.71972018067099</v>
      </c>
    </row>
    <row r="461" spans="4:7" customFormat="1" x14ac:dyDescent="0.35">
      <c r="D461" s="51">
        <v>45366</v>
      </c>
      <c r="E461" s="57">
        <v>0.98955199999999999</v>
      </c>
      <c r="F461" s="57">
        <v>0.87656672576007599</v>
      </c>
      <c r="G461" s="2">
        <v>77.529751019320855</v>
      </c>
    </row>
    <row r="462" spans="4:7" customFormat="1" x14ac:dyDescent="0.35">
      <c r="D462" s="51">
        <v>45365</v>
      </c>
      <c r="E462" s="57">
        <v>0.96719100000000002</v>
      </c>
      <c r="F462" s="57">
        <v>0.84780744805461372</v>
      </c>
      <c r="G462" s="2">
        <v>80.159710976757282</v>
      </c>
    </row>
    <row r="463" spans="4:7" customFormat="1" x14ac:dyDescent="0.35">
      <c r="D463" s="51">
        <v>45364</v>
      </c>
      <c r="E463" s="57">
        <v>0.99664299999999995</v>
      </c>
      <c r="F463" s="57">
        <v>0.84496135845149434</v>
      </c>
      <c r="G463" s="2">
        <v>80.429713525060905</v>
      </c>
    </row>
    <row r="464" spans="4:7" customFormat="1" x14ac:dyDescent="0.35">
      <c r="D464" s="51">
        <v>45363</v>
      </c>
      <c r="E464" s="57">
        <v>0.98747700000000005</v>
      </c>
      <c r="F464" s="57">
        <v>0.83437990735960632</v>
      </c>
      <c r="G464" s="2">
        <v>81.449708221113909</v>
      </c>
    </row>
    <row r="465" spans="4:7" customFormat="1" x14ac:dyDescent="0.35">
      <c r="D465" s="51">
        <v>45362</v>
      </c>
      <c r="E465" s="57">
        <v>0.99828399999999995</v>
      </c>
      <c r="F465" s="57">
        <v>0.83294811143857717</v>
      </c>
      <c r="G465" s="2">
        <v>81.589716174068627</v>
      </c>
    </row>
    <row r="466" spans="4:7" customFormat="1" x14ac:dyDescent="0.35">
      <c r="D466" s="51">
        <v>45361</v>
      </c>
      <c r="E466" s="57">
        <v>1</v>
      </c>
      <c r="F466" s="57">
        <v>0.83294811143857717</v>
      </c>
      <c r="G466" s="2">
        <v>81.589716174068627</v>
      </c>
    </row>
    <row r="467" spans="4:7" customFormat="1" x14ac:dyDescent="0.35">
      <c r="D467" s="51">
        <v>45360</v>
      </c>
      <c r="E467" s="57">
        <v>1</v>
      </c>
      <c r="F467" s="57">
        <v>0.83294811143857717</v>
      </c>
      <c r="G467" s="2">
        <v>81.589716174068627</v>
      </c>
    </row>
    <row r="468" spans="4:7" customFormat="1" x14ac:dyDescent="0.35">
      <c r="D468" s="51">
        <v>45359</v>
      </c>
      <c r="E468" s="57">
        <v>0.99706700000000004</v>
      </c>
      <c r="F468" s="57">
        <v>0.83050507462772782</v>
      </c>
      <c r="G468" s="2">
        <v>81.829722750897005</v>
      </c>
    </row>
    <row r="469" spans="4:7" customFormat="1" x14ac:dyDescent="0.35">
      <c r="D469" s="51">
        <v>45358</v>
      </c>
      <c r="E469" s="57">
        <v>0.99574099999999999</v>
      </c>
      <c r="F469" s="57">
        <v>0.82696795351488828</v>
      </c>
      <c r="G469" s="2">
        <v>82.179726204803274</v>
      </c>
    </row>
    <row r="470" spans="4:7" customFormat="1" x14ac:dyDescent="0.35">
      <c r="D470" s="51">
        <v>45357</v>
      </c>
      <c r="E470" s="57">
        <v>1.0089630000000001</v>
      </c>
      <c r="F470" s="57">
        <v>0.83438006728224223</v>
      </c>
      <c r="G470" s="2">
        <v>81.449692609940371</v>
      </c>
    </row>
    <row r="471" spans="4:7" customFormat="1" x14ac:dyDescent="0.35">
      <c r="D471" s="51">
        <v>45356</v>
      </c>
      <c r="E471" s="57">
        <v>0.97603399999999996</v>
      </c>
      <c r="F471" s="57">
        <v>0.81438331458975599</v>
      </c>
      <c r="G471" s="2">
        <v>83.449646846257792</v>
      </c>
    </row>
    <row r="472" spans="4:7" customFormat="1" x14ac:dyDescent="0.35">
      <c r="D472" s="51">
        <v>45355</v>
      </c>
      <c r="E472" s="57">
        <v>0.99475500000000006</v>
      </c>
      <c r="F472" s="57">
        <v>0.81011187410473273</v>
      </c>
      <c r="G472" s="2">
        <v>83.889648050281508</v>
      </c>
    </row>
    <row r="473" spans="4:7" customFormat="1" x14ac:dyDescent="0.35">
      <c r="D473" s="51">
        <v>45354</v>
      </c>
      <c r="E473" s="57">
        <v>1</v>
      </c>
      <c r="F473" s="57">
        <v>0.81011187410473273</v>
      </c>
      <c r="G473" s="2">
        <v>83.889648050281508</v>
      </c>
    </row>
    <row r="474" spans="4:7" customFormat="1" x14ac:dyDescent="0.35">
      <c r="D474" s="51">
        <v>45353</v>
      </c>
      <c r="E474" s="57">
        <v>1</v>
      </c>
      <c r="F474" s="57">
        <v>0.81011187410473273</v>
      </c>
      <c r="G474" s="2">
        <v>83.889648050281508</v>
      </c>
    </row>
    <row r="475" spans="4:7" customFormat="1" x14ac:dyDescent="0.35">
      <c r="D475" s="51">
        <v>45352</v>
      </c>
      <c r="E475" s="57">
        <v>0.98197400000000001</v>
      </c>
      <c r="F475" s="57">
        <v>0.79550879746212078</v>
      </c>
      <c r="G475" s="2">
        <v>85.429602056960277</v>
      </c>
    </row>
    <row r="476" spans="4:7" customFormat="1" x14ac:dyDescent="0.35">
      <c r="D476" s="51">
        <v>45351</v>
      </c>
      <c r="E476" s="57">
        <v>1.006243</v>
      </c>
      <c r="F476" s="57">
        <v>0.8004751588846768</v>
      </c>
      <c r="G476" s="2">
        <v>84.89957401637605</v>
      </c>
    </row>
    <row r="477" spans="4:7" customFormat="1" x14ac:dyDescent="0.35">
      <c r="D477" s="51">
        <v>45350</v>
      </c>
      <c r="E477" s="57">
        <v>0.99182199999999998</v>
      </c>
      <c r="F477" s="57">
        <v>0.79392887303531789</v>
      </c>
      <c r="G477" s="2">
        <v>85.599607607389274</v>
      </c>
    </row>
    <row r="478" spans="4:7" customFormat="1" x14ac:dyDescent="0.35">
      <c r="D478" s="51">
        <v>45349</v>
      </c>
      <c r="E478" s="57">
        <v>1.0414890000000001</v>
      </c>
      <c r="F478" s="57">
        <v>0.82686818804868023</v>
      </c>
      <c r="G478" s="2">
        <v>82.189641568359605</v>
      </c>
    </row>
    <row r="479" spans="4:7" customFormat="1" x14ac:dyDescent="0.35">
      <c r="D479" s="51">
        <v>45348</v>
      </c>
      <c r="E479" s="57">
        <v>1.009209</v>
      </c>
      <c r="F479" s="57">
        <v>0.83448281719242057</v>
      </c>
      <c r="G479" s="2">
        <v>81.439663705297519</v>
      </c>
    </row>
    <row r="480" spans="4:7" customFormat="1" x14ac:dyDescent="0.35">
      <c r="D480" s="51">
        <v>45347</v>
      </c>
      <c r="E480" s="57">
        <v>1</v>
      </c>
      <c r="F480" s="57">
        <v>0.83448281719242057</v>
      </c>
      <c r="G480" s="2">
        <v>81.439663705297519</v>
      </c>
    </row>
    <row r="481" spans="4:7" customFormat="1" x14ac:dyDescent="0.35">
      <c r="D481" s="51">
        <v>45346</v>
      </c>
      <c r="E481" s="57">
        <v>1</v>
      </c>
      <c r="F481" s="57">
        <v>0.83448281719242057</v>
      </c>
      <c r="G481" s="2">
        <v>81.439663705297519</v>
      </c>
    </row>
    <row r="482" spans="4:7" customFormat="1" x14ac:dyDescent="0.35">
      <c r="D482" s="51">
        <v>45345</v>
      </c>
      <c r="E482" s="57">
        <v>0.975329</v>
      </c>
      <c r="F482" s="57">
        <v>0.81389529160946639</v>
      </c>
      <c r="G482" s="2">
        <v>83.4996844196138</v>
      </c>
    </row>
    <row r="483" spans="4:7" customFormat="1" x14ac:dyDescent="0.35">
      <c r="D483" s="51">
        <v>45344</v>
      </c>
      <c r="E483" s="57">
        <v>1.0173000000000001</v>
      </c>
      <c r="F483" s="57">
        <v>0.82797568015431022</v>
      </c>
      <c r="G483" s="2">
        <v>82.079705514217835</v>
      </c>
    </row>
    <row r="484" spans="4:7" customFormat="1" x14ac:dyDescent="0.35">
      <c r="D484" s="51">
        <v>45343</v>
      </c>
      <c r="E484" s="57">
        <v>0.99418600000000001</v>
      </c>
      <c r="F484" s="57">
        <v>0.82316182954989303</v>
      </c>
      <c r="G484" s="2">
        <v>82.559707654521219</v>
      </c>
    </row>
    <row r="485" spans="4:7" customFormat="1" x14ac:dyDescent="0.35">
      <c r="D485" s="51">
        <v>45342</v>
      </c>
      <c r="E485" s="57">
        <v>0.92837100000000006</v>
      </c>
      <c r="F485" s="57">
        <v>0.76419957086106383</v>
      </c>
      <c r="G485" s="2">
        <v>88.929649519988459</v>
      </c>
    </row>
    <row r="486" spans="4:7" customFormat="1" x14ac:dyDescent="0.35">
      <c r="D486" s="51">
        <v>45341</v>
      </c>
      <c r="E486" s="57">
        <v>1</v>
      </c>
      <c r="F486" s="57">
        <v>0.76419957086106383</v>
      </c>
      <c r="G486" s="2">
        <v>88.929649519988459</v>
      </c>
    </row>
    <row r="487" spans="4:7" customFormat="1" x14ac:dyDescent="0.35">
      <c r="D487" s="51">
        <v>45340</v>
      </c>
      <c r="E487" s="57">
        <v>1</v>
      </c>
      <c r="F487" s="57">
        <v>0.76419957086106383</v>
      </c>
      <c r="G487" s="2">
        <v>88.929649519988459</v>
      </c>
    </row>
    <row r="488" spans="4:7" customFormat="1" x14ac:dyDescent="0.35">
      <c r="D488" s="51">
        <v>45339</v>
      </c>
      <c r="E488" s="57">
        <v>1</v>
      </c>
      <c r="F488" s="57">
        <v>0.76419957086106383</v>
      </c>
      <c r="G488" s="2">
        <v>88.929649519988459</v>
      </c>
    </row>
    <row r="489" spans="4:7" customFormat="1" x14ac:dyDescent="0.35">
      <c r="D489" s="51">
        <v>45338</v>
      </c>
      <c r="E489" s="57">
        <v>1.174614</v>
      </c>
      <c r="F489" s="57">
        <v>0.89763951472739767</v>
      </c>
      <c r="G489" s="2">
        <v>75.709679537267945</v>
      </c>
    </row>
    <row r="490" spans="4:7" customFormat="1" x14ac:dyDescent="0.35">
      <c r="D490" s="51">
        <v>45337</v>
      </c>
      <c r="E490" s="57">
        <v>1.01884</v>
      </c>
      <c r="F490" s="57">
        <v>0.9145510431848618</v>
      </c>
      <c r="G490" s="2">
        <v>74.309685070539004</v>
      </c>
    </row>
    <row r="491" spans="4:7" customFormat="1" x14ac:dyDescent="0.35">
      <c r="D491" s="51">
        <v>45336</v>
      </c>
      <c r="E491" s="57">
        <v>1.018783</v>
      </c>
      <c r="F491" s="57">
        <v>0.93172905542900308</v>
      </c>
      <c r="G491" s="2">
        <v>72.939659447143299</v>
      </c>
    </row>
    <row r="492" spans="4:7" customFormat="1" x14ac:dyDescent="0.35">
      <c r="D492" s="51">
        <v>45335</v>
      </c>
      <c r="E492" s="57">
        <v>0.98687599999999998</v>
      </c>
      <c r="F492" s="57">
        <v>0.91950104330555282</v>
      </c>
      <c r="G492" s="2">
        <v>73.909649689670545</v>
      </c>
    </row>
    <row r="493" spans="4:7" customFormat="1" x14ac:dyDescent="0.35">
      <c r="D493" s="51">
        <v>45334</v>
      </c>
      <c r="E493" s="57">
        <v>1.0364610000000001</v>
      </c>
      <c r="F493" s="57">
        <v>0.95302697084551669</v>
      </c>
      <c r="G493" s="2">
        <v>71.309629295912274</v>
      </c>
    </row>
    <row r="494" spans="4:7" customFormat="1" x14ac:dyDescent="0.35">
      <c r="D494" s="51">
        <v>45333</v>
      </c>
      <c r="E494" s="57">
        <v>1</v>
      </c>
      <c r="F494" s="57">
        <v>0.95302697084551669</v>
      </c>
      <c r="G494" s="2">
        <v>71.309629295912274</v>
      </c>
    </row>
    <row r="495" spans="4:7" customFormat="1" x14ac:dyDescent="0.35">
      <c r="D495" s="51">
        <v>45332</v>
      </c>
      <c r="E495" s="57">
        <v>1</v>
      </c>
      <c r="F495" s="57">
        <v>0.95302697084551669</v>
      </c>
      <c r="G495" s="2">
        <v>71.309629295912274</v>
      </c>
    </row>
    <row r="496" spans="4:7" customFormat="1" x14ac:dyDescent="0.35">
      <c r="D496" s="51">
        <v>45331</v>
      </c>
      <c r="E496" s="57">
        <v>1.016246</v>
      </c>
      <c r="F496" s="57">
        <v>0.96850984701387288</v>
      </c>
      <c r="G496" s="2">
        <v>70.169653111463447</v>
      </c>
    </row>
    <row r="497" spans="4:7" customFormat="1" x14ac:dyDescent="0.35">
      <c r="D497" s="51">
        <v>45330</v>
      </c>
      <c r="E497" s="57">
        <v>1.0081899999999999</v>
      </c>
      <c r="F497" s="57">
        <v>0.97644194266091644</v>
      </c>
      <c r="G497" s="2">
        <v>69.599632124364902</v>
      </c>
    </row>
    <row r="498" spans="4:7" customFormat="1" x14ac:dyDescent="0.35">
      <c r="D498" s="51">
        <v>45329</v>
      </c>
      <c r="E498" s="57">
        <v>1.0145770000000001</v>
      </c>
      <c r="F498" s="57">
        <v>0.99067553685908472</v>
      </c>
      <c r="G498" s="2">
        <v>68.599654954098995</v>
      </c>
    </row>
    <row r="499" spans="4:7" customFormat="1" x14ac:dyDescent="0.35">
      <c r="D499" s="51">
        <v>45328</v>
      </c>
      <c r="E499" s="57">
        <v>1.0162960000000001</v>
      </c>
      <c r="F499" s="57">
        <v>1.0068195854077404</v>
      </c>
      <c r="G499" s="2">
        <v>67.499680166112029</v>
      </c>
    </row>
    <row r="500" spans="4:7" customFormat="1" x14ac:dyDescent="0.35">
      <c r="D500" s="51">
        <v>45327</v>
      </c>
      <c r="E500" s="57">
        <v>0.96428599999999998</v>
      </c>
      <c r="F500" s="57">
        <v>0.9708620307344884</v>
      </c>
      <c r="G500" s="2">
        <v>69.999647579776152</v>
      </c>
    </row>
    <row r="501" spans="4:7" customFormat="1" x14ac:dyDescent="0.35">
      <c r="D501" s="51">
        <v>45326</v>
      </c>
      <c r="E501" s="57">
        <v>1</v>
      </c>
      <c r="F501" s="57">
        <v>0.9708620307344884</v>
      </c>
      <c r="G501" s="2">
        <v>69.999647579776152</v>
      </c>
    </row>
    <row r="502" spans="4:7" customFormat="1" x14ac:dyDescent="0.35">
      <c r="D502" s="51">
        <v>45325</v>
      </c>
      <c r="E502" s="57">
        <v>1</v>
      </c>
      <c r="F502" s="57">
        <v>0.9708620307344884</v>
      </c>
      <c r="G502" s="2">
        <v>69.999647579776152</v>
      </c>
    </row>
    <row r="503" spans="4:7" customFormat="1" x14ac:dyDescent="0.35">
      <c r="D503" s="51">
        <v>45324</v>
      </c>
      <c r="E503" s="57">
        <v>1.041512</v>
      </c>
      <c r="F503" s="57">
        <v>1.0111644553543384</v>
      </c>
      <c r="G503" s="2">
        <v>67.209640964075462</v>
      </c>
    </row>
    <row r="504" spans="4:7" customFormat="1" x14ac:dyDescent="0.35">
      <c r="D504" s="51">
        <v>45323</v>
      </c>
      <c r="E504" s="57">
        <v>0.98217200000000005</v>
      </c>
      <c r="F504" s="57">
        <v>0.99313741544428136</v>
      </c>
      <c r="G504" s="2">
        <v>68.429603943174371</v>
      </c>
    </row>
    <row r="505" spans="4:7" customFormat="1" x14ac:dyDescent="0.35">
      <c r="D505" s="51">
        <v>45322</v>
      </c>
      <c r="E505" s="57">
        <v>0.98773100000000003</v>
      </c>
      <c r="F505" s="57">
        <v>0.98095261249419552</v>
      </c>
      <c r="G505" s="2">
        <v>69.2795952978841</v>
      </c>
    </row>
    <row r="506" spans="4:7" customFormat="1" x14ac:dyDescent="0.35">
      <c r="D506" s="51">
        <v>45321</v>
      </c>
      <c r="E506" s="57">
        <v>0.96881600000000001</v>
      </c>
      <c r="F506" s="57">
        <v>0.95036258622617653</v>
      </c>
      <c r="G506" s="2">
        <v>71.509549076278773</v>
      </c>
    </row>
    <row r="507" spans="4:7" customFormat="1" x14ac:dyDescent="0.35">
      <c r="D507" s="51">
        <v>45320</v>
      </c>
      <c r="E507" s="57">
        <v>1.051463</v>
      </c>
      <c r="F507" s="57">
        <v>0.99927109600113428</v>
      </c>
      <c r="G507" s="2">
        <v>68.00957244931945</v>
      </c>
    </row>
    <row r="508" spans="4:7" customFormat="1" x14ac:dyDescent="0.35">
      <c r="D508" s="51">
        <v>45319</v>
      </c>
      <c r="E508" s="57">
        <v>1</v>
      </c>
      <c r="F508" s="57">
        <v>0.99927109600113428</v>
      </c>
      <c r="G508" s="2">
        <v>68.00957244931945</v>
      </c>
    </row>
    <row r="509" spans="4:7" customFormat="1" x14ac:dyDescent="0.35">
      <c r="D509" s="51">
        <v>45318</v>
      </c>
      <c r="E509" s="57">
        <v>1</v>
      </c>
      <c r="F509" s="57">
        <v>0.99927109600113428</v>
      </c>
      <c r="G509" s="2">
        <v>68.00957244931945</v>
      </c>
    </row>
    <row r="510" spans="4:7" customFormat="1" x14ac:dyDescent="0.35">
      <c r="D510" s="51">
        <v>45317</v>
      </c>
      <c r="E510" s="57">
        <v>0.98394099999999995</v>
      </c>
      <c r="F510" s="57">
        <v>0.98322380147045207</v>
      </c>
      <c r="G510" s="2">
        <v>69.11956351988529</v>
      </c>
    </row>
    <row r="511" spans="4:7" customFormat="1" x14ac:dyDescent="0.35">
      <c r="D511" s="51">
        <v>45316</v>
      </c>
      <c r="E511" s="57">
        <v>0.99239100000000002</v>
      </c>
      <c r="F511" s="57">
        <v>0.97574245156506345</v>
      </c>
      <c r="G511" s="2">
        <v>69.649526769071144</v>
      </c>
    </row>
    <row r="512" spans="4:7" customFormat="1" x14ac:dyDescent="0.35">
      <c r="D512" s="51">
        <v>45315</v>
      </c>
      <c r="E512" s="57">
        <v>0.992448</v>
      </c>
      <c r="F512" s="57">
        <v>0.96837364457084407</v>
      </c>
      <c r="G512" s="2">
        <v>70.179522523166099</v>
      </c>
    </row>
    <row r="513" spans="4:7" customFormat="1" x14ac:dyDescent="0.35">
      <c r="D513" s="51">
        <v>45314</v>
      </c>
      <c r="E513" s="57">
        <v>1.011385</v>
      </c>
      <c r="F513" s="57">
        <v>0.97939857851428314</v>
      </c>
      <c r="G513" s="2">
        <v>69.389522806019571</v>
      </c>
    </row>
    <row r="514" spans="4:7" customFormat="1" x14ac:dyDescent="0.35">
      <c r="D514" s="51">
        <v>45313</v>
      </c>
      <c r="E514" s="57">
        <v>1.0379959999999999</v>
      </c>
      <c r="F514" s="57">
        <v>1.0166118069035117</v>
      </c>
      <c r="G514" s="2">
        <v>66.849508867105044</v>
      </c>
    </row>
    <row r="515" spans="4:7" customFormat="1" x14ac:dyDescent="0.35">
      <c r="D515" s="51">
        <v>45312</v>
      </c>
      <c r="E515" s="57">
        <v>1</v>
      </c>
      <c r="F515" s="57">
        <v>1.0166118069035117</v>
      </c>
      <c r="G515" s="2">
        <v>66.849508867105044</v>
      </c>
    </row>
    <row r="516" spans="4:7" customFormat="1" x14ac:dyDescent="0.35">
      <c r="D516" s="51">
        <v>45311</v>
      </c>
      <c r="E516" s="57">
        <v>1</v>
      </c>
      <c r="F516" s="57">
        <v>1.0166118069035117</v>
      </c>
      <c r="G516" s="2">
        <v>66.849508867105044</v>
      </c>
    </row>
    <row r="517" spans="4:7" customFormat="1" x14ac:dyDescent="0.35">
      <c r="D517" s="51">
        <v>45310</v>
      </c>
      <c r="E517" s="57">
        <v>1.027671</v>
      </c>
      <c r="F517" s="57">
        <v>1.0447424722123388</v>
      </c>
      <c r="G517" s="2">
        <v>65.04952350227363</v>
      </c>
    </row>
    <row r="518" spans="4:7" customFormat="1" x14ac:dyDescent="0.35">
      <c r="D518" s="51">
        <v>45309</v>
      </c>
      <c r="E518" s="57">
        <v>1.008527</v>
      </c>
      <c r="F518" s="57">
        <v>1.0536509912728933</v>
      </c>
      <c r="G518" s="2">
        <v>64.499535959149966</v>
      </c>
    </row>
    <row r="519" spans="4:7" customFormat="1" x14ac:dyDescent="0.35">
      <c r="D519" s="51">
        <v>45308</v>
      </c>
      <c r="E519" s="57">
        <v>1.011606</v>
      </c>
      <c r="F519" s="57">
        <v>1.0658796646776065</v>
      </c>
      <c r="G519" s="2">
        <v>63.759542706498351</v>
      </c>
    </row>
    <row r="520" spans="4:7" customFormat="1" x14ac:dyDescent="0.35">
      <c r="D520" s="51">
        <v>45307</v>
      </c>
      <c r="E520" s="57">
        <v>0.95221</v>
      </c>
      <c r="F520" s="57">
        <v>1.0149412755026637</v>
      </c>
      <c r="G520" s="2">
        <v>66.959539079087961</v>
      </c>
    </row>
    <row r="521" spans="4:7" customFormat="1" x14ac:dyDescent="0.35">
      <c r="D521" s="51">
        <v>45306</v>
      </c>
      <c r="E521" s="57">
        <v>1</v>
      </c>
      <c r="F521" s="57">
        <v>1.0149412755026637</v>
      </c>
      <c r="G521" s="2">
        <v>66.959539079087961</v>
      </c>
    </row>
    <row r="522" spans="4:7" customFormat="1" x14ac:dyDescent="0.35">
      <c r="D522" s="51">
        <v>45305</v>
      </c>
      <c r="E522" s="57">
        <v>1</v>
      </c>
      <c r="F522" s="57">
        <v>1.0149412755026637</v>
      </c>
      <c r="G522" s="2">
        <v>66.959539079087961</v>
      </c>
    </row>
    <row r="523" spans="4:7" customFormat="1" x14ac:dyDescent="0.35">
      <c r="D523" s="51">
        <v>45304</v>
      </c>
      <c r="E523" s="57">
        <v>1</v>
      </c>
      <c r="F523" s="57">
        <v>1.0149412755026637</v>
      </c>
      <c r="G523" s="2">
        <v>66.959539079087961</v>
      </c>
    </row>
    <row r="524" spans="4:7" customFormat="1" x14ac:dyDescent="0.35">
      <c r="D524" s="51">
        <v>45303</v>
      </c>
      <c r="E524" s="57">
        <v>0.98354900000000001</v>
      </c>
      <c r="F524" s="57">
        <v>0.99824447657936932</v>
      </c>
      <c r="G524" s="2">
        <v>68.07951518336958</v>
      </c>
    </row>
    <row r="525" spans="4:7" customFormat="1" x14ac:dyDescent="0.35">
      <c r="D525" s="51">
        <v>45302</v>
      </c>
      <c r="E525" s="57">
        <v>0.99415900000000001</v>
      </c>
      <c r="F525" s="57">
        <v>0.99241373059166926</v>
      </c>
      <c r="G525" s="2">
        <v>68.479503966035196</v>
      </c>
    </row>
    <row r="526" spans="4:7" customFormat="1" x14ac:dyDescent="0.35">
      <c r="D526" s="51">
        <v>45301</v>
      </c>
      <c r="E526" s="57">
        <v>1.0004379999999999</v>
      </c>
      <c r="F526" s="57">
        <v>0.9928484078056683</v>
      </c>
      <c r="G526" s="2">
        <v>68.449523074928379</v>
      </c>
    </row>
    <row r="527" spans="4:7" customFormat="1" x14ac:dyDescent="0.35">
      <c r="D527" s="51">
        <v>45300</v>
      </c>
      <c r="E527" s="57">
        <v>0.99217299999999997</v>
      </c>
      <c r="F527" s="57">
        <v>0.98507738331777328</v>
      </c>
      <c r="G527" s="2">
        <v>68.989503922126872</v>
      </c>
    </row>
    <row r="528" spans="4:7" customFormat="1" x14ac:dyDescent="0.35">
      <c r="D528" s="51">
        <v>45299</v>
      </c>
      <c r="E528" s="57">
        <v>1.0199590000000001</v>
      </c>
      <c r="F528" s="57">
        <v>1.0047385428114128</v>
      </c>
      <c r="G528" s="2">
        <v>67.639487393245076</v>
      </c>
    </row>
    <row r="529" spans="4:7" customFormat="1" x14ac:dyDescent="0.35">
      <c r="D529" s="51">
        <v>45298</v>
      </c>
      <c r="E529" s="57">
        <v>1</v>
      </c>
      <c r="F529" s="57">
        <v>1.0047385428114128</v>
      </c>
      <c r="G529" s="2">
        <v>67.639487393245076</v>
      </c>
    </row>
    <row r="530" spans="4:7" customFormat="1" x14ac:dyDescent="0.35">
      <c r="D530" s="51">
        <v>45297</v>
      </c>
      <c r="E530" s="57">
        <v>1</v>
      </c>
      <c r="F530" s="57">
        <v>1.0047385428114128</v>
      </c>
      <c r="G530" s="2">
        <v>67.639487393245076</v>
      </c>
    </row>
    <row r="531" spans="4:7" customFormat="1" x14ac:dyDescent="0.35">
      <c r="D531" s="51">
        <v>45296</v>
      </c>
      <c r="E531" s="57">
        <v>0.98888900000000002</v>
      </c>
      <c r="F531" s="57">
        <v>0.99357489286223521</v>
      </c>
      <c r="G531" s="2">
        <v>68.399473948284466</v>
      </c>
    </row>
    <row r="532" spans="4:7" customFormat="1" x14ac:dyDescent="0.35">
      <c r="D532" s="51">
        <v>45295</v>
      </c>
      <c r="E532" s="57">
        <v>0.98672800000000005</v>
      </c>
      <c r="F532" s="57">
        <v>0.98038816688416763</v>
      </c>
      <c r="G532" s="2">
        <v>69.319482114913612</v>
      </c>
    </row>
    <row r="533" spans="4:7" customFormat="1" x14ac:dyDescent="0.35">
      <c r="D533" s="51">
        <v>45294</v>
      </c>
      <c r="E533" s="57">
        <v>0.98200900000000002</v>
      </c>
      <c r="F533" s="57">
        <v>0.9627500033737546</v>
      </c>
      <c r="G533" s="2">
        <v>70.589457036456494</v>
      </c>
    </row>
    <row r="534" spans="4:7" customFormat="1" x14ac:dyDescent="0.35">
      <c r="D534" s="51">
        <v>45293</v>
      </c>
      <c r="E534" s="57">
        <v>0.980962</v>
      </c>
      <c r="F534" s="57">
        <v>0.94442116880952509</v>
      </c>
      <c r="G534" s="2">
        <v>71.959420483623717</v>
      </c>
    </row>
    <row r="535" spans="4:7" customFormat="1" x14ac:dyDescent="0.35">
      <c r="D535" s="51">
        <v>45292</v>
      </c>
      <c r="E535" s="57">
        <v>1</v>
      </c>
      <c r="F535" s="57">
        <v>0.94442116880952509</v>
      </c>
      <c r="G535" s="2">
        <v>71.959420483623717</v>
      </c>
    </row>
    <row r="536" spans="4:7" customFormat="1" x14ac:dyDescent="0.35">
      <c r="D536" s="51">
        <v>45291</v>
      </c>
      <c r="E536" s="57">
        <v>1</v>
      </c>
      <c r="F536" s="57">
        <v>0.94442116880952509</v>
      </c>
      <c r="G536" s="2">
        <v>71.959420483623717</v>
      </c>
    </row>
    <row r="537" spans="4:7" customFormat="1" x14ac:dyDescent="0.35">
      <c r="D537" s="51">
        <v>45290</v>
      </c>
      <c r="E537" s="57">
        <v>1</v>
      </c>
      <c r="F537" s="57">
        <v>0.94442116880952509</v>
      </c>
      <c r="G537" s="2">
        <v>71.959420483623717</v>
      </c>
    </row>
    <row r="538" spans="4:7" customFormat="1" x14ac:dyDescent="0.35">
      <c r="D538" s="51">
        <v>45289</v>
      </c>
      <c r="E538" s="57">
        <v>0.98038099999999995</v>
      </c>
      <c r="F538" s="57">
        <v>0.92589256989865099</v>
      </c>
      <c r="G538" s="2">
        <v>73.399444178970953</v>
      </c>
    </row>
    <row r="539" spans="4:7" customFormat="1" x14ac:dyDescent="0.35">
      <c r="D539" s="51">
        <v>45288</v>
      </c>
      <c r="E539" s="57">
        <v>0.99082099999999995</v>
      </c>
      <c r="F539" s="57">
        <v>0.91739380199955123</v>
      </c>
      <c r="G539" s="2">
        <v>74.079419167509528</v>
      </c>
    </row>
    <row r="540" spans="4:7" customFormat="1" x14ac:dyDescent="0.35">
      <c r="D540" s="51">
        <v>45287</v>
      </c>
      <c r="E540" s="57">
        <v>1.006659</v>
      </c>
      <c r="F540" s="57">
        <v>0.92350272732706618</v>
      </c>
      <c r="G540" s="2">
        <v>73.58938743656941</v>
      </c>
    </row>
    <row r="541" spans="4:7" customFormat="1" x14ac:dyDescent="0.35">
      <c r="D541" s="51">
        <v>45286</v>
      </c>
      <c r="E541" s="57">
        <v>1.0021789999999999</v>
      </c>
      <c r="F541" s="57">
        <v>0.92551503976991178</v>
      </c>
      <c r="G541" s="2">
        <v>73.429384807074811</v>
      </c>
    </row>
    <row r="542" spans="4:7" customFormat="1" x14ac:dyDescent="0.35">
      <c r="D542" s="51">
        <v>45285</v>
      </c>
      <c r="E542" s="57">
        <v>1</v>
      </c>
      <c r="F542" s="57">
        <v>0.92551503976991178</v>
      </c>
      <c r="G542" s="2">
        <v>73.429384807074811</v>
      </c>
    </row>
    <row r="543" spans="4:7" customFormat="1" x14ac:dyDescent="0.35">
      <c r="D543" s="51">
        <v>45284</v>
      </c>
      <c r="E543" s="57">
        <v>1</v>
      </c>
      <c r="F543" s="57">
        <v>0.92551503976991178</v>
      </c>
      <c r="G543" s="2">
        <v>73.429384807074811</v>
      </c>
    </row>
    <row r="544" spans="4:7" customFormat="1" x14ac:dyDescent="0.35">
      <c r="D544" s="51">
        <v>45283</v>
      </c>
      <c r="E544" s="57">
        <v>1</v>
      </c>
      <c r="F544" s="57">
        <v>0.92551503976991178</v>
      </c>
      <c r="G544" s="2">
        <v>73.429384807074811</v>
      </c>
    </row>
    <row r="545" spans="4:7" customFormat="1" x14ac:dyDescent="0.35">
      <c r="D545" s="51">
        <v>45282</v>
      </c>
      <c r="E545" s="57">
        <v>0.96137700000000004</v>
      </c>
      <c r="F545" s="57">
        <v>0.88976887238887847</v>
      </c>
      <c r="G545" s="2">
        <v>76.379385825825665</v>
      </c>
    </row>
    <row r="546" spans="4:7" customFormat="1" x14ac:dyDescent="0.35">
      <c r="D546" s="51">
        <v>45281</v>
      </c>
      <c r="E546" s="57">
        <v>1.0120579999999999</v>
      </c>
      <c r="F546" s="57">
        <v>0.90049770545214347</v>
      </c>
      <c r="G546" s="2">
        <v>75.469376088945182</v>
      </c>
    </row>
    <row r="547" spans="4:7" customFormat="1" x14ac:dyDescent="0.35">
      <c r="D547" s="51">
        <v>45280</v>
      </c>
      <c r="E547" s="57">
        <v>0.97192500000000004</v>
      </c>
      <c r="F547" s="57">
        <v>0.87521623237157453</v>
      </c>
      <c r="G547" s="2">
        <v>77.649382502708733</v>
      </c>
    </row>
    <row r="548" spans="4:7" customFormat="1" x14ac:dyDescent="0.35">
      <c r="D548" s="51">
        <v>45279</v>
      </c>
      <c r="E548" s="57">
        <v>1.0267090000000001</v>
      </c>
      <c r="F548" s="57">
        <v>0.89859238272198705</v>
      </c>
      <c r="G548" s="2">
        <v>75.629396939842465</v>
      </c>
    </row>
    <row r="549" spans="4:7" customFormat="1" x14ac:dyDescent="0.35">
      <c r="D549" s="51">
        <v>45278</v>
      </c>
      <c r="E549" s="57">
        <v>1.009881</v>
      </c>
      <c r="F549" s="57">
        <v>0.90747137405566303</v>
      </c>
      <c r="G549" s="2">
        <v>74.889414633845433</v>
      </c>
    </row>
    <row r="550" spans="4:7" customFormat="1" x14ac:dyDescent="0.35">
      <c r="D550" s="51">
        <v>45277</v>
      </c>
      <c r="E550" s="57">
        <v>1</v>
      </c>
      <c r="F550" s="57">
        <v>0.90747137405566303</v>
      </c>
      <c r="G550" s="2">
        <v>74.889414633845433</v>
      </c>
    </row>
    <row r="551" spans="4:7" customFormat="1" x14ac:dyDescent="0.35">
      <c r="D551" s="51">
        <v>45276</v>
      </c>
      <c r="E551" s="57">
        <v>1</v>
      </c>
      <c r="F551" s="57">
        <v>0.90747137405566303</v>
      </c>
      <c r="G551" s="2">
        <v>74.889414633845433</v>
      </c>
    </row>
    <row r="552" spans="4:7" customFormat="1" x14ac:dyDescent="0.35">
      <c r="D552" s="51">
        <v>45275</v>
      </c>
      <c r="E552" s="57">
        <v>0.98435899999999998</v>
      </c>
      <c r="F552" s="57">
        <v>0.89327761429405839</v>
      </c>
      <c r="G552" s="2">
        <v>76.079372092748102</v>
      </c>
    </row>
    <row r="553" spans="4:7" customFormat="1" x14ac:dyDescent="0.35">
      <c r="D553" s="51">
        <v>45274</v>
      </c>
      <c r="E553" s="57">
        <v>1.0279689999999999</v>
      </c>
      <c r="F553" s="57">
        <v>0.9182616958882488</v>
      </c>
      <c r="G553" s="2">
        <v>74.009403097513754</v>
      </c>
    </row>
    <row r="554" spans="4:7" customFormat="1" x14ac:dyDescent="0.35">
      <c r="D554" s="51">
        <v>45273</v>
      </c>
      <c r="E554" s="57">
        <v>1.0372809999999999</v>
      </c>
      <c r="F554" s="57">
        <v>0.95249541017265849</v>
      </c>
      <c r="G554" s="2">
        <v>71.349425177472412</v>
      </c>
    </row>
    <row r="555" spans="4:7" customFormat="1" x14ac:dyDescent="0.35">
      <c r="D555" s="51">
        <v>45272</v>
      </c>
      <c r="E555" s="57">
        <v>0.99609099999999995</v>
      </c>
      <c r="F555" s="57">
        <v>0.94877210561429348</v>
      </c>
      <c r="G555" s="2">
        <v>71.62942459822689</v>
      </c>
    </row>
    <row r="556" spans="4:7" customFormat="1" x14ac:dyDescent="0.35">
      <c r="D556" s="51">
        <v>45271</v>
      </c>
      <c r="E556" s="57">
        <v>1.0141579999999999</v>
      </c>
      <c r="F556" s="57">
        <v>0.96220482108558059</v>
      </c>
      <c r="G556" s="2">
        <v>70.629452805407922</v>
      </c>
    </row>
    <row r="557" spans="4:7" customFormat="1" x14ac:dyDescent="0.35">
      <c r="D557" s="51">
        <v>45270</v>
      </c>
      <c r="E557" s="57">
        <v>1</v>
      </c>
      <c r="F557" s="57">
        <v>0.96220482108558059</v>
      </c>
      <c r="G557" s="2">
        <v>70.629452805407922</v>
      </c>
    </row>
    <row r="558" spans="4:7" customFormat="1" x14ac:dyDescent="0.35">
      <c r="D558" s="51">
        <v>45269</v>
      </c>
      <c r="E558" s="57">
        <v>1</v>
      </c>
      <c r="F558" s="57">
        <v>0.96220482108558059</v>
      </c>
      <c r="G558" s="2">
        <v>70.629452805407922</v>
      </c>
    </row>
    <row r="559" spans="4:7" customFormat="1" x14ac:dyDescent="0.35">
      <c r="D559" s="51">
        <v>45268</v>
      </c>
      <c r="E559" s="57">
        <v>1.0268969999999999</v>
      </c>
      <c r="F559" s="57">
        <v>0.98808524415831944</v>
      </c>
      <c r="G559" s="2">
        <v>68.779490840276992</v>
      </c>
    </row>
    <row r="560" spans="4:7" customFormat="1" x14ac:dyDescent="0.35">
      <c r="D560" s="51">
        <v>45267</v>
      </c>
      <c r="E560" s="57">
        <v>1.00688</v>
      </c>
      <c r="F560" s="57">
        <v>0.99488327063812865</v>
      </c>
      <c r="G560" s="2">
        <v>68.309521333502502</v>
      </c>
    </row>
    <row r="561" spans="4:7" customFormat="1" x14ac:dyDescent="0.35">
      <c r="D561" s="51">
        <v>45266</v>
      </c>
      <c r="E561" s="57">
        <v>0.99970700000000001</v>
      </c>
      <c r="F561" s="57">
        <v>0.99459176983983166</v>
      </c>
      <c r="G561" s="2">
        <v>68.329541889276058</v>
      </c>
    </row>
    <row r="562" spans="4:7" customFormat="1" x14ac:dyDescent="0.35">
      <c r="D562" s="51">
        <v>45265</v>
      </c>
      <c r="E562" s="57">
        <v>0.99374600000000002</v>
      </c>
      <c r="F562" s="57">
        <v>0.98837159291125343</v>
      </c>
      <c r="G562" s="2">
        <v>68.759564203806661</v>
      </c>
    </row>
    <row r="563" spans="4:7" customFormat="1" x14ac:dyDescent="0.35">
      <c r="D563" s="51">
        <v>45264</v>
      </c>
      <c r="E563" s="57">
        <v>0.96033500000000005</v>
      </c>
      <c r="F563" s="57">
        <v>0.94916783367842861</v>
      </c>
      <c r="G563" s="2">
        <v>71.599560782233965</v>
      </c>
    </row>
    <row r="564" spans="4:7" customFormat="1" x14ac:dyDescent="0.35">
      <c r="D564" s="51">
        <v>45263</v>
      </c>
      <c r="E564" s="57">
        <v>1</v>
      </c>
      <c r="F564" s="57">
        <v>0.94916783367842861</v>
      </c>
      <c r="G564" s="2">
        <v>71.599560782233965</v>
      </c>
    </row>
    <row r="565" spans="4:7" customFormat="1" x14ac:dyDescent="0.35">
      <c r="D565" s="51">
        <v>45262</v>
      </c>
      <c r="E565" s="57">
        <v>1</v>
      </c>
      <c r="F565" s="57">
        <v>0.94916783367842861</v>
      </c>
      <c r="G565" s="2">
        <v>71.599560782233965</v>
      </c>
    </row>
    <row r="566" spans="4:7" customFormat="1" x14ac:dyDescent="0.35">
      <c r="D566" s="51">
        <v>45261</v>
      </c>
      <c r="E566" s="57">
        <v>1.0161789999999999</v>
      </c>
      <c r="F566" s="57">
        <v>0.96452442005951189</v>
      </c>
      <c r="G566" s="2">
        <v>70.459594994812889</v>
      </c>
    </row>
    <row r="567" spans="4:7" customFormat="1" x14ac:dyDescent="0.35">
      <c r="D567" s="51">
        <v>45260</v>
      </c>
      <c r="E567" s="57">
        <v>1.001279</v>
      </c>
      <c r="F567" s="57">
        <v>0.965758046792768</v>
      </c>
      <c r="G567" s="2">
        <v>70.369592286278746</v>
      </c>
    </row>
    <row r="568" spans="4:7" customFormat="1" x14ac:dyDescent="0.35">
      <c r="D568" s="51">
        <v>45259</v>
      </c>
      <c r="E568" s="57">
        <v>1.019412</v>
      </c>
      <c r="F568" s="57">
        <v>0.98450534199710915</v>
      </c>
      <c r="G568" s="2">
        <v>69.02958988738483</v>
      </c>
    </row>
    <row r="569" spans="4:7" customFormat="1" x14ac:dyDescent="0.35">
      <c r="D569" s="51">
        <v>45258</v>
      </c>
      <c r="E569" s="57">
        <v>0.99768800000000002</v>
      </c>
      <c r="F569" s="57">
        <v>0.98222916564641183</v>
      </c>
      <c r="G569" s="2">
        <v>69.189556141183246</v>
      </c>
    </row>
    <row r="570" spans="4:7" customFormat="1" x14ac:dyDescent="0.35">
      <c r="D570" s="51">
        <v>45257</v>
      </c>
      <c r="E570" s="57">
        <v>1.0285420000000001</v>
      </c>
      <c r="F570" s="57">
        <v>1.0102639504922917</v>
      </c>
      <c r="G570" s="2">
        <v>67.269548682682142</v>
      </c>
    </row>
    <row r="571" spans="4:7" customFormat="1" x14ac:dyDescent="0.35">
      <c r="D571" s="51">
        <v>45256</v>
      </c>
      <c r="E571" s="57">
        <v>1</v>
      </c>
      <c r="F571" s="57">
        <v>1.0102639504922917</v>
      </c>
      <c r="G571" s="2">
        <v>67.269548682682142</v>
      </c>
    </row>
    <row r="572" spans="4:7" customFormat="1" x14ac:dyDescent="0.35">
      <c r="D572" s="51">
        <v>45255</v>
      </c>
      <c r="E572" s="57">
        <v>1</v>
      </c>
      <c r="F572" s="57">
        <v>1.0102639504922917</v>
      </c>
      <c r="G572" s="2">
        <v>67.269548682682142</v>
      </c>
    </row>
    <row r="573" spans="4:7" customFormat="1" x14ac:dyDescent="0.35">
      <c r="D573" s="51">
        <v>45254</v>
      </c>
      <c r="E573" s="57">
        <v>1.0065839999999999</v>
      </c>
      <c r="F573" s="57">
        <v>1.0169155283423328</v>
      </c>
      <c r="G573" s="2">
        <v>66.829542971756112</v>
      </c>
    </row>
    <row r="574" spans="4:7" customFormat="1" x14ac:dyDescent="0.35">
      <c r="D574" s="51">
        <v>45253</v>
      </c>
      <c r="E574" s="57">
        <v>1</v>
      </c>
      <c r="F574" s="57">
        <v>1.0169155283423328</v>
      </c>
      <c r="G574" s="2">
        <v>66.829542971756112</v>
      </c>
    </row>
    <row r="575" spans="4:7" customFormat="1" x14ac:dyDescent="0.35">
      <c r="D575" s="51">
        <v>45252</v>
      </c>
      <c r="E575" s="57">
        <v>1.0148820000000001</v>
      </c>
      <c r="F575" s="57">
        <v>1.0320492652351234</v>
      </c>
      <c r="G575" s="2">
        <v>65.849569675840243</v>
      </c>
    </row>
    <row r="576" spans="4:7" customFormat="1" x14ac:dyDescent="0.35">
      <c r="D576" s="51">
        <v>45251</v>
      </c>
      <c r="E576" s="57">
        <v>0.97860000000000003</v>
      </c>
      <c r="F576" s="57">
        <v>1.0099634109590918</v>
      </c>
      <c r="G576" s="2">
        <v>67.28956639673028</v>
      </c>
    </row>
    <row r="577" spans="4:7" customFormat="1" x14ac:dyDescent="0.35">
      <c r="D577" s="51">
        <v>45250</v>
      </c>
      <c r="E577" s="57">
        <v>1.0123359999999999</v>
      </c>
      <c r="F577" s="57">
        <v>1.0224223195966831</v>
      </c>
      <c r="G577" s="2">
        <v>66.469597442677411</v>
      </c>
    </row>
    <row r="578" spans="4:7" customFormat="1" x14ac:dyDescent="0.35">
      <c r="D578" s="51">
        <v>45249</v>
      </c>
      <c r="E578" s="57">
        <v>1</v>
      </c>
      <c r="F578" s="57">
        <v>1.0224223195966831</v>
      </c>
      <c r="G578" s="2">
        <v>66.469597442677411</v>
      </c>
    </row>
    <row r="579" spans="4:7" customFormat="1" x14ac:dyDescent="0.35">
      <c r="D579" s="51">
        <v>45248</v>
      </c>
      <c r="E579" s="57">
        <v>1</v>
      </c>
      <c r="F579" s="57">
        <v>1.0224223195966831</v>
      </c>
      <c r="G579" s="2">
        <v>66.469597442677411</v>
      </c>
    </row>
    <row r="580" spans="4:7" customFormat="1" x14ac:dyDescent="0.35">
      <c r="D580" s="51">
        <v>45247</v>
      </c>
      <c r="E580" s="57">
        <v>1.002564</v>
      </c>
      <c r="F580" s="57">
        <v>1.0250438104241291</v>
      </c>
      <c r="G580" s="2">
        <v>66.299605254804092</v>
      </c>
    </row>
    <row r="581" spans="4:7" customFormat="1" x14ac:dyDescent="0.35">
      <c r="D581" s="51">
        <v>45246</v>
      </c>
      <c r="E581" s="57">
        <v>0.97428400000000004</v>
      </c>
      <c r="F581" s="57">
        <v>0.99868378379526224</v>
      </c>
      <c r="G581" s="2">
        <v>68.049567944053365</v>
      </c>
    </row>
    <row r="582" spans="4:7" customFormat="1" x14ac:dyDescent="0.35">
      <c r="D582" s="51">
        <v>45245</v>
      </c>
      <c r="E582" s="57">
        <v>1.00621</v>
      </c>
      <c r="F582" s="57">
        <v>1.0048856100926309</v>
      </c>
      <c r="G582" s="2">
        <v>67.629588201323145</v>
      </c>
    </row>
    <row r="583" spans="4:7" customFormat="1" x14ac:dyDescent="0.35">
      <c r="D583" s="51">
        <v>45244</v>
      </c>
      <c r="E583" s="57">
        <v>1.0657110000000001</v>
      </c>
      <c r="F583" s="57">
        <v>1.0709176484174279</v>
      </c>
      <c r="G583" s="2">
        <v>63.459594769429174</v>
      </c>
    </row>
    <row r="584" spans="4:7" customFormat="1" x14ac:dyDescent="0.35">
      <c r="D584" s="51">
        <v>45243</v>
      </c>
      <c r="E584" s="57">
        <v>0.99140799999999996</v>
      </c>
      <c r="F584" s="57">
        <v>1.0617163239822254</v>
      </c>
      <c r="G584" s="2">
        <v>64.009564951492393</v>
      </c>
    </row>
    <row r="585" spans="4:7" customFormat="1" x14ac:dyDescent="0.35">
      <c r="D585" s="51">
        <v>45242</v>
      </c>
      <c r="E585" s="57">
        <v>1</v>
      </c>
      <c r="F585" s="57">
        <v>1.0617163239822254</v>
      </c>
      <c r="G585" s="2">
        <v>64.009564951492393</v>
      </c>
    </row>
    <row r="586" spans="4:7" customFormat="1" x14ac:dyDescent="0.35">
      <c r="D586" s="51">
        <v>45241</v>
      </c>
      <c r="E586" s="57">
        <v>1</v>
      </c>
      <c r="F586" s="57">
        <v>1.0617163239822254</v>
      </c>
      <c r="G586" s="2">
        <v>64.009564951492393</v>
      </c>
    </row>
    <row r="587" spans="4:7" customFormat="1" x14ac:dyDescent="0.35">
      <c r="D587" s="51">
        <v>45240</v>
      </c>
      <c r="E587" s="57">
        <v>0.83335499999999996</v>
      </c>
      <c r="F587" s="57">
        <v>0.88478660717220736</v>
      </c>
      <c r="G587" s="2">
        <v>76.809480895287592</v>
      </c>
    </row>
    <row r="588" spans="4:7" customFormat="1" x14ac:dyDescent="0.35">
      <c r="D588" s="51">
        <v>45239</v>
      </c>
      <c r="E588" s="57">
        <v>0.97425200000000001</v>
      </c>
      <c r="F588" s="57">
        <v>0.86200512161073739</v>
      </c>
      <c r="G588" s="2">
        <v>78.839438764598484</v>
      </c>
    </row>
    <row r="589" spans="4:7" customFormat="1" x14ac:dyDescent="0.35">
      <c r="D589" s="51">
        <v>45238</v>
      </c>
      <c r="E589" s="57">
        <v>1.014672</v>
      </c>
      <c r="F589" s="57">
        <v>0.87465246075501013</v>
      </c>
      <c r="G589" s="2">
        <v>77.699432688197248</v>
      </c>
    </row>
    <row r="590" spans="4:7" customFormat="1" x14ac:dyDescent="0.35">
      <c r="D590" s="51">
        <v>45237</v>
      </c>
      <c r="E590" s="57">
        <v>1.002969</v>
      </c>
      <c r="F590" s="57">
        <v>0.87724930391099176</v>
      </c>
      <c r="G590" s="2">
        <v>77.469425962514535</v>
      </c>
    </row>
    <row r="591" spans="4:7" customFormat="1" x14ac:dyDescent="0.35">
      <c r="D591" s="51">
        <v>45236</v>
      </c>
      <c r="E591" s="57">
        <v>0.97964099999999998</v>
      </c>
      <c r="F591" s="57">
        <v>0.85938938533266784</v>
      </c>
      <c r="G591" s="2">
        <v>79.079403539168482</v>
      </c>
    </row>
    <row r="592" spans="4:7" customFormat="1" x14ac:dyDescent="0.35">
      <c r="D592" s="51">
        <v>45235</v>
      </c>
      <c r="E592" s="57">
        <v>1</v>
      </c>
      <c r="F592" s="57">
        <v>0.85938938533266784</v>
      </c>
      <c r="G592" s="2">
        <v>79.079403539168482</v>
      </c>
    </row>
    <row r="593" spans="4:7" customFormat="1" x14ac:dyDescent="0.35">
      <c r="D593" s="51">
        <v>45234</v>
      </c>
      <c r="E593" s="57">
        <v>1</v>
      </c>
      <c r="F593" s="57">
        <v>0.85938938533266784</v>
      </c>
      <c r="G593" s="2">
        <v>79.079403539168482</v>
      </c>
    </row>
    <row r="594" spans="4:7" customFormat="1" x14ac:dyDescent="0.35">
      <c r="D594" s="51">
        <v>45233</v>
      </c>
      <c r="E594" s="57">
        <v>1.044926</v>
      </c>
      <c r="F594" s="57">
        <v>0.89799831285812326</v>
      </c>
      <c r="G594" s="2">
        <v>75.679429489905004</v>
      </c>
    </row>
    <row r="595" spans="4:7" customFormat="1" x14ac:dyDescent="0.35">
      <c r="D595" s="51">
        <v>45232</v>
      </c>
      <c r="E595" s="57">
        <v>1.069531</v>
      </c>
      <c r="F595" s="57">
        <v>0.96043703354946142</v>
      </c>
      <c r="G595" s="2">
        <v>70.759453900733135</v>
      </c>
    </row>
    <row r="596" spans="4:7" customFormat="1" x14ac:dyDescent="0.35">
      <c r="D596" s="51">
        <v>45231</v>
      </c>
      <c r="E596" s="57">
        <v>0.99718200000000001</v>
      </c>
      <c r="F596" s="57">
        <v>0.95773052198891906</v>
      </c>
      <c r="G596" s="2">
        <v>70.959417539359038</v>
      </c>
    </row>
    <row r="597" spans="4:7" customFormat="1" x14ac:dyDescent="0.35">
      <c r="D597" s="51">
        <v>45230</v>
      </c>
      <c r="E597" s="57">
        <v>1.044297</v>
      </c>
      <c r="F597" s="57">
        <v>1.0001551109214621</v>
      </c>
      <c r="G597" s="2">
        <v>67.949460296600535</v>
      </c>
    </row>
    <row r="598" spans="4:7" customFormat="1" x14ac:dyDescent="0.35">
      <c r="D598" s="51">
        <v>45229</v>
      </c>
      <c r="E598" s="57">
        <v>1.016303</v>
      </c>
      <c r="F598" s="57">
        <v>1.0164606396948146</v>
      </c>
      <c r="G598" s="2">
        <v>66.859450672290194</v>
      </c>
    </row>
    <row r="599" spans="4:7" customFormat="1" x14ac:dyDescent="0.35">
      <c r="D599" s="51">
        <v>45228</v>
      </c>
      <c r="E599" s="57">
        <v>1</v>
      </c>
      <c r="F599" s="57">
        <v>1.0164606396948146</v>
      </c>
      <c r="G599" s="2">
        <v>66.859450672290194</v>
      </c>
    </row>
    <row r="600" spans="4:7" customFormat="1" x14ac:dyDescent="0.35">
      <c r="D600" s="51">
        <v>45227</v>
      </c>
      <c r="E600" s="57">
        <v>1</v>
      </c>
      <c r="F600" s="57">
        <v>1.0164606396948146</v>
      </c>
      <c r="G600" s="2">
        <v>66.859450672290194</v>
      </c>
    </row>
    <row r="601" spans="4:7" customFormat="1" x14ac:dyDescent="0.35">
      <c r="D601" s="51">
        <v>45226</v>
      </c>
      <c r="E601" s="57">
        <v>1.009665</v>
      </c>
      <c r="F601" s="57">
        <v>1.026284731777465</v>
      </c>
      <c r="G601" s="2">
        <v>66.219439786751238</v>
      </c>
    </row>
    <row r="602" spans="4:7" customFormat="1" x14ac:dyDescent="0.35">
      <c r="D602" s="51">
        <v>45225</v>
      </c>
      <c r="E602" s="57">
        <v>0.92395700000000003</v>
      </c>
      <c r="F602" s="57">
        <v>0.94824296191891133</v>
      </c>
      <c r="G602" s="2">
        <v>71.66939563935469</v>
      </c>
    </row>
    <row r="603" spans="4:7" customFormat="1" x14ac:dyDescent="0.35">
      <c r="D603" s="51">
        <v>45224</v>
      </c>
      <c r="E603" s="57">
        <v>0.93661799999999995</v>
      </c>
      <c r="F603" s="57">
        <v>0.8881414265065668</v>
      </c>
      <c r="G603" s="2">
        <v>76.519344748184096</v>
      </c>
    </row>
    <row r="604" spans="4:7" customFormat="1" x14ac:dyDescent="0.35">
      <c r="D604" s="51">
        <v>45223</v>
      </c>
      <c r="E604" s="57">
        <v>1.0391090000000001</v>
      </c>
      <c r="F604" s="57">
        <v>0.9228757495558122</v>
      </c>
      <c r="G604" s="2">
        <v>73.639382151616516</v>
      </c>
    </row>
    <row r="605" spans="4:7" customFormat="1" x14ac:dyDescent="0.35">
      <c r="D605" s="51">
        <v>45222</v>
      </c>
      <c r="E605" s="57">
        <v>0.99432900000000002</v>
      </c>
      <c r="F605" s="57">
        <v>0.91764212118008115</v>
      </c>
      <c r="G605" s="2">
        <v>74.059372855077669</v>
      </c>
    </row>
    <row r="606" spans="4:7" customFormat="1" x14ac:dyDescent="0.35">
      <c r="D606" s="51">
        <v>45221</v>
      </c>
      <c r="E606" s="57">
        <v>1</v>
      </c>
      <c r="F606" s="57">
        <v>0.91764212118008115</v>
      </c>
      <c r="G606" s="2">
        <v>74.059372855077669</v>
      </c>
    </row>
    <row r="607" spans="4:7" customFormat="1" x14ac:dyDescent="0.35">
      <c r="D607" s="51">
        <v>45220</v>
      </c>
      <c r="E607" s="57">
        <v>1</v>
      </c>
      <c r="F607" s="57">
        <v>0.91764212118008115</v>
      </c>
      <c r="G607" s="2">
        <v>74.059372855077669</v>
      </c>
    </row>
    <row r="608" spans="4:7" customFormat="1" x14ac:dyDescent="0.35">
      <c r="D608" s="51">
        <v>45219</v>
      </c>
      <c r="E608" s="57">
        <v>0.97614299999999998</v>
      </c>
      <c r="F608" s="57">
        <v>0.89574993309508799</v>
      </c>
      <c r="G608" s="2">
        <v>75.869388865235592</v>
      </c>
    </row>
    <row r="609" spans="4:7" customFormat="1" x14ac:dyDescent="0.35">
      <c r="D609" s="51">
        <v>45218</v>
      </c>
      <c r="E609" s="57">
        <v>0.98827699999999996</v>
      </c>
      <c r="F609" s="57">
        <v>0.88524905662941422</v>
      </c>
      <c r="G609" s="2">
        <v>76.76935602592755</v>
      </c>
    </row>
    <row r="610" spans="4:7" customFormat="1" x14ac:dyDescent="0.35">
      <c r="D610" s="51">
        <v>45217</v>
      </c>
      <c r="E610" s="57">
        <v>0.96456799999999998</v>
      </c>
      <c r="F610" s="57">
        <v>0.85388291205492084</v>
      </c>
      <c r="G610" s="2">
        <v>79.589366458277226</v>
      </c>
    </row>
    <row r="611" spans="4:7" customFormat="1" x14ac:dyDescent="0.35">
      <c r="D611" s="51">
        <v>45216</v>
      </c>
      <c r="E611" s="57">
        <v>0.98417200000000005</v>
      </c>
      <c r="F611" s="57">
        <v>0.84036765332291563</v>
      </c>
      <c r="G611" s="2">
        <v>80.869366795923085</v>
      </c>
    </row>
    <row r="612" spans="4:7" customFormat="1" x14ac:dyDescent="0.35">
      <c r="D612" s="51">
        <v>45215</v>
      </c>
      <c r="E612" s="57">
        <v>1.0078510000000001</v>
      </c>
      <c r="F612" s="57">
        <v>0.84696537976915387</v>
      </c>
      <c r="G612" s="2">
        <v>80.239407209918014</v>
      </c>
    </row>
    <row r="613" spans="4:7" customFormat="1" x14ac:dyDescent="0.35">
      <c r="D613" s="51">
        <v>45214</v>
      </c>
      <c r="E613" s="57">
        <v>1</v>
      </c>
      <c r="F613" s="57">
        <v>0.84696537976915387</v>
      </c>
      <c r="G613" s="2">
        <v>80.239407209918014</v>
      </c>
    </row>
    <row r="614" spans="4:7" customFormat="1" x14ac:dyDescent="0.35">
      <c r="D614" s="51">
        <v>45213</v>
      </c>
      <c r="E614" s="57">
        <v>1</v>
      </c>
      <c r="F614" s="57">
        <v>0.84696537976915387</v>
      </c>
      <c r="G614" s="2">
        <v>80.239407209918014</v>
      </c>
    </row>
    <row r="615" spans="4:7" customFormat="1" x14ac:dyDescent="0.35">
      <c r="D615" s="51">
        <v>45212</v>
      </c>
      <c r="E615" s="57">
        <v>0.94969800000000004</v>
      </c>
      <c r="F615" s="57">
        <v>0.80436132723600595</v>
      </c>
      <c r="G615" s="2">
        <v>84.489392638415595</v>
      </c>
    </row>
    <row r="616" spans="4:7" customFormat="1" x14ac:dyDescent="0.35">
      <c r="D616" s="51">
        <v>45211</v>
      </c>
      <c r="E616" s="57">
        <v>0.99669700000000006</v>
      </c>
      <c r="F616" s="57">
        <v>0.80170452177214546</v>
      </c>
      <c r="G616" s="2">
        <v>84.769385920109713</v>
      </c>
    </row>
    <row r="617" spans="4:7" customFormat="1" x14ac:dyDescent="0.35">
      <c r="D617" s="51">
        <v>45210</v>
      </c>
      <c r="E617" s="57">
        <v>0.99541999999999997</v>
      </c>
      <c r="F617" s="57">
        <v>0.79803271506242901</v>
      </c>
      <c r="G617" s="2">
        <v>85.159416045598547</v>
      </c>
    </row>
    <row r="618" spans="4:7" customFormat="1" x14ac:dyDescent="0.35">
      <c r="D618" s="51">
        <v>45209</v>
      </c>
      <c r="E618" s="57">
        <v>1.0142929999999999</v>
      </c>
      <c r="F618" s="57">
        <v>0.80943899665881625</v>
      </c>
      <c r="G618" s="2">
        <v>83.959384562053131</v>
      </c>
    </row>
    <row r="619" spans="4:7" customFormat="1" x14ac:dyDescent="0.35">
      <c r="D619" s="51">
        <v>45208</v>
      </c>
      <c r="E619" s="57">
        <v>1.022033</v>
      </c>
      <c r="F619" s="57">
        <v>0.82727336607219992</v>
      </c>
      <c r="G619" s="2">
        <v>82.14938711573221</v>
      </c>
    </row>
    <row r="620" spans="4:7" customFormat="1" x14ac:dyDescent="0.35">
      <c r="D620" s="51">
        <v>45207</v>
      </c>
      <c r="E620" s="57">
        <v>1</v>
      </c>
      <c r="F620" s="57">
        <v>0.82727336607219992</v>
      </c>
      <c r="G620" s="2">
        <v>82.14938711573221</v>
      </c>
    </row>
    <row r="621" spans="4:7" customFormat="1" x14ac:dyDescent="0.35">
      <c r="D621" s="51">
        <v>45206</v>
      </c>
      <c r="E621" s="57">
        <v>1</v>
      </c>
      <c r="F621" s="57">
        <v>0.82727336607219992</v>
      </c>
      <c r="G621" s="2">
        <v>82.14938711573221</v>
      </c>
    </row>
    <row r="622" spans="4:7" customFormat="1" x14ac:dyDescent="0.35">
      <c r="D622" s="51">
        <v>45205</v>
      </c>
      <c r="E622" s="57">
        <v>1.0510489999999999</v>
      </c>
      <c r="F622" s="57">
        <v>0.86950484413681961</v>
      </c>
      <c r="G622" s="2">
        <v>78.159426549791888</v>
      </c>
    </row>
    <row r="623" spans="4:7" customFormat="1" x14ac:dyDescent="0.35">
      <c r="D623" s="51">
        <v>45204</v>
      </c>
      <c r="E623" s="57">
        <v>0.98475500000000005</v>
      </c>
      <c r="F623" s="57">
        <v>0.85624924278795389</v>
      </c>
      <c r="G623" s="2">
        <v>79.369413254862252</v>
      </c>
    </row>
    <row r="624" spans="4:7" customFormat="1" x14ac:dyDescent="0.35">
      <c r="D624" s="51">
        <v>45203</v>
      </c>
      <c r="E624" s="57">
        <v>1.0388740000000001</v>
      </c>
      <c r="F624" s="57">
        <v>0.8895350758520929</v>
      </c>
      <c r="G624" s="2">
        <v>76.399460622618562</v>
      </c>
    </row>
    <row r="625" spans="4:7" customFormat="1" x14ac:dyDescent="0.35">
      <c r="D625" s="51">
        <v>45202</v>
      </c>
      <c r="E625" s="57">
        <v>0.97560999999999998</v>
      </c>
      <c r="F625" s="57">
        <v>0.86783931535206038</v>
      </c>
      <c r="G625" s="2">
        <v>78.309427560827146</v>
      </c>
    </row>
    <row r="626" spans="4:7" customFormat="1" x14ac:dyDescent="0.35">
      <c r="D626" s="51">
        <v>45201</v>
      </c>
      <c r="E626" s="57">
        <v>1.0020469999999999</v>
      </c>
      <c r="F626" s="57">
        <v>0.86961578243058602</v>
      </c>
      <c r="G626" s="2">
        <v>78.149455625162432</v>
      </c>
    </row>
    <row r="627" spans="4:7" customFormat="1" x14ac:dyDescent="0.35">
      <c r="D627" s="51">
        <v>45200</v>
      </c>
      <c r="E627" s="57">
        <v>1</v>
      </c>
      <c r="F627" s="57">
        <v>0.86961578243058602</v>
      </c>
      <c r="G627" s="2">
        <v>78.149455625162432</v>
      </c>
    </row>
    <row r="628" spans="4:7" customFormat="1" x14ac:dyDescent="0.35">
      <c r="D628" s="51">
        <v>45199</v>
      </c>
      <c r="E628" s="57">
        <v>1</v>
      </c>
      <c r="F628" s="57">
        <v>0.86961578243058602</v>
      </c>
      <c r="G628" s="2">
        <v>78.149455625162432</v>
      </c>
    </row>
    <row r="629" spans="4:7" customFormat="1" x14ac:dyDescent="0.35">
      <c r="D629" s="51">
        <v>45198</v>
      </c>
      <c r="E629" s="57">
        <v>1.0059210000000001</v>
      </c>
      <c r="F629" s="57">
        <v>0.87476477747835757</v>
      </c>
      <c r="G629" s="2">
        <v>77.68945635408987</v>
      </c>
    </row>
    <row r="630" spans="4:7" customFormat="1" x14ac:dyDescent="0.35">
      <c r="D630" s="51">
        <v>45197</v>
      </c>
      <c r="E630" s="57">
        <v>1.029962</v>
      </c>
      <c r="F630" s="57">
        <v>0.90097447974116418</v>
      </c>
      <c r="G630" s="2">
        <v>75.429439488146031</v>
      </c>
    </row>
    <row r="631" spans="4:7" customFormat="1" x14ac:dyDescent="0.35">
      <c r="D631" s="51">
        <v>45196</v>
      </c>
      <c r="E631" s="57">
        <v>1.0142530000000001</v>
      </c>
      <c r="F631" s="57">
        <v>0.91381606900091505</v>
      </c>
      <c r="G631" s="2">
        <v>74.36945169316337</v>
      </c>
    </row>
    <row r="632" spans="4:7" customFormat="1" x14ac:dyDescent="0.35">
      <c r="D632" s="51">
        <v>45195</v>
      </c>
      <c r="E632" s="57">
        <v>0.99028000000000005</v>
      </c>
      <c r="F632" s="57">
        <v>0.90493377681022624</v>
      </c>
      <c r="G632" s="2">
        <v>75.099418036477928</v>
      </c>
    </row>
    <row r="633" spans="4:7" customFormat="1" x14ac:dyDescent="0.35">
      <c r="D633" s="51">
        <v>45194</v>
      </c>
      <c r="E633" s="57">
        <v>0.98362799999999995</v>
      </c>
      <c r="F633" s="57">
        <v>0.89011820101628913</v>
      </c>
      <c r="G633" s="2">
        <v>76.349410586601778</v>
      </c>
    </row>
    <row r="634" spans="4:7" customFormat="1" x14ac:dyDescent="0.35">
      <c r="D634" s="51">
        <v>45193</v>
      </c>
      <c r="E634" s="57">
        <v>1</v>
      </c>
      <c r="F634" s="57">
        <v>0.89011820101628913</v>
      </c>
      <c r="G634" s="2">
        <v>76.349410586601778</v>
      </c>
    </row>
    <row r="635" spans="4:7" customFormat="1" x14ac:dyDescent="0.35">
      <c r="D635" s="51">
        <v>45192</v>
      </c>
      <c r="E635" s="57">
        <v>1</v>
      </c>
      <c r="F635" s="57">
        <v>0.89011820101628913</v>
      </c>
      <c r="G635" s="2">
        <v>76.349410586601778</v>
      </c>
    </row>
    <row r="636" spans="4:7" customFormat="1" x14ac:dyDescent="0.35">
      <c r="D636" s="51">
        <v>45191</v>
      </c>
      <c r="E636" s="57">
        <v>1.0083200000000001</v>
      </c>
      <c r="F636" s="57">
        <v>0.8975239844487447</v>
      </c>
      <c r="G636" s="2">
        <v>75.719424970844344</v>
      </c>
    </row>
    <row r="637" spans="4:7" customFormat="1" x14ac:dyDescent="0.35">
      <c r="D637" s="51">
        <v>45190</v>
      </c>
      <c r="E637" s="57">
        <v>0.96717299999999995</v>
      </c>
      <c r="F637" s="57">
        <v>0.86806096461124571</v>
      </c>
      <c r="G637" s="2">
        <v>78.289432160372911</v>
      </c>
    </row>
    <row r="638" spans="4:7" customFormat="1" x14ac:dyDescent="0.35">
      <c r="D638" s="51">
        <v>45189</v>
      </c>
      <c r="E638" s="57">
        <v>0.99026099999999995</v>
      </c>
      <c r="F638" s="57">
        <v>0.85960691887689678</v>
      </c>
      <c r="G638" s="2">
        <v>79.059391574921065</v>
      </c>
    </row>
    <row r="639" spans="4:7" customFormat="1" x14ac:dyDescent="0.35">
      <c r="D639" s="51">
        <v>45188</v>
      </c>
      <c r="E639" s="57">
        <v>0.97955599999999998</v>
      </c>
      <c r="F639" s="57">
        <v>0.84203311502737743</v>
      </c>
      <c r="G639" s="2">
        <v>80.709414852158602</v>
      </c>
    </row>
    <row r="640" spans="4:7" customFormat="1" x14ac:dyDescent="0.35">
      <c r="D640" s="51">
        <v>45187</v>
      </c>
      <c r="E640" s="57">
        <v>0.96797800000000001</v>
      </c>
      <c r="F640" s="57">
        <v>0.81506953061797072</v>
      </c>
      <c r="G640" s="2">
        <v>83.379389668110861</v>
      </c>
    </row>
    <row r="641" spans="4:7" customFormat="1" x14ac:dyDescent="0.35">
      <c r="D641" s="51">
        <v>45186</v>
      </c>
      <c r="E641" s="57">
        <v>1</v>
      </c>
      <c r="F641" s="57">
        <v>0.81506953061797072</v>
      </c>
      <c r="G641" s="2">
        <v>83.379389668110861</v>
      </c>
    </row>
    <row r="642" spans="4:7" customFormat="1" x14ac:dyDescent="0.35">
      <c r="D642" s="51">
        <v>45185</v>
      </c>
      <c r="E642" s="57">
        <v>1</v>
      </c>
      <c r="F642" s="57">
        <v>0.81506953061797072</v>
      </c>
      <c r="G642" s="2">
        <v>83.379389668110861</v>
      </c>
    </row>
    <row r="643" spans="4:7" customFormat="1" x14ac:dyDescent="0.35">
      <c r="D643" s="51">
        <v>45184</v>
      </c>
      <c r="E643" s="57">
        <v>0.97668999999999995</v>
      </c>
      <c r="F643" s="57">
        <v>0.79607025985926583</v>
      </c>
      <c r="G643" s="2">
        <v>85.369349197914232</v>
      </c>
    </row>
    <row r="644" spans="4:7" customFormat="1" x14ac:dyDescent="0.35">
      <c r="D644" s="51">
        <v>45183</v>
      </c>
      <c r="E644" s="57">
        <v>1.0004690000000001</v>
      </c>
      <c r="F644" s="57">
        <v>0.79644361681113984</v>
      </c>
      <c r="G644" s="2">
        <v>85.329329742265116</v>
      </c>
    </row>
    <row r="645" spans="4:7" customFormat="1" x14ac:dyDescent="0.35">
      <c r="D645" s="51">
        <v>45182</v>
      </c>
      <c r="E645" s="57">
        <v>0.99452200000000002</v>
      </c>
      <c r="F645" s="57">
        <v>0.79208069867824848</v>
      </c>
      <c r="G645" s="2">
        <v>85.799338518670382</v>
      </c>
    </row>
    <row r="646" spans="4:7" customFormat="1" x14ac:dyDescent="0.35">
      <c r="D646" s="51">
        <v>45181</v>
      </c>
      <c r="E646" s="57">
        <v>0.991564</v>
      </c>
      <c r="F646" s="57">
        <v>0.7853987059041988</v>
      </c>
      <c r="G646" s="2">
        <v>86.529299690862501</v>
      </c>
    </row>
    <row r="647" spans="4:7" customFormat="1" x14ac:dyDescent="0.35">
      <c r="D647" s="51">
        <v>45180</v>
      </c>
      <c r="E647" s="57">
        <v>1.0314700000000001</v>
      </c>
      <c r="F647" s="57">
        <v>0.81011520317900398</v>
      </c>
      <c r="G647" s="2">
        <v>83.88930331552298</v>
      </c>
    </row>
    <row r="648" spans="4:7" customFormat="1" x14ac:dyDescent="0.35">
      <c r="D648" s="51">
        <v>45179</v>
      </c>
      <c r="E648" s="57">
        <v>1</v>
      </c>
      <c r="F648" s="57">
        <v>0.81011520317900398</v>
      </c>
      <c r="G648" s="2">
        <v>83.88930331552298</v>
      </c>
    </row>
    <row r="649" spans="4:7" customFormat="1" x14ac:dyDescent="0.35">
      <c r="D649" s="51">
        <v>45178</v>
      </c>
      <c r="E649" s="57">
        <v>1</v>
      </c>
      <c r="F649" s="57">
        <v>0.81011520317900398</v>
      </c>
      <c r="G649" s="2">
        <v>83.88930331552298</v>
      </c>
    </row>
    <row r="650" spans="4:7" customFormat="1" x14ac:dyDescent="0.35">
      <c r="D650" s="51">
        <v>45177</v>
      </c>
      <c r="E650" s="57">
        <v>0.99501799999999996</v>
      </c>
      <c r="F650" s="57">
        <v>0.80607920923676613</v>
      </c>
      <c r="G650" s="2">
        <v>84.309332409587554</v>
      </c>
    </row>
    <row r="651" spans="4:7" customFormat="1" x14ac:dyDescent="0.35">
      <c r="D651" s="51">
        <v>45176</v>
      </c>
      <c r="E651" s="57">
        <v>1.0100629999999999</v>
      </c>
      <c r="F651" s="57">
        <v>0.81419078431931569</v>
      </c>
      <c r="G651" s="2">
        <v>83.469380038262514</v>
      </c>
    </row>
    <row r="652" spans="4:7" customFormat="1" x14ac:dyDescent="0.35">
      <c r="D652" s="51">
        <v>45175</v>
      </c>
      <c r="E652" s="57">
        <v>1.0251779999999999</v>
      </c>
      <c r="F652" s="57">
        <v>0.83469047988690737</v>
      </c>
      <c r="G652" s="2">
        <v>81.419402326486249</v>
      </c>
    </row>
    <row r="653" spans="4:7" customFormat="1" x14ac:dyDescent="0.35">
      <c r="D653" s="51">
        <v>45174</v>
      </c>
      <c r="E653" s="57">
        <v>1.0186409999999999</v>
      </c>
      <c r="F653" s="57">
        <v>0.85024994512247909</v>
      </c>
      <c r="G653" s="2">
        <v>79.929437678717292</v>
      </c>
    </row>
    <row r="654" spans="4:7" customFormat="1" x14ac:dyDescent="0.35">
      <c r="D654" s="51">
        <v>45173</v>
      </c>
      <c r="E654" s="57">
        <v>1</v>
      </c>
      <c r="F654" s="57">
        <v>0.85024994512247909</v>
      </c>
      <c r="G654" s="2">
        <v>79.929437678717292</v>
      </c>
    </row>
    <row r="655" spans="4:7" customFormat="1" x14ac:dyDescent="0.35">
      <c r="D655" s="51">
        <v>45172</v>
      </c>
      <c r="E655" s="57">
        <v>1</v>
      </c>
      <c r="F655" s="57">
        <v>0.85024994512247909</v>
      </c>
      <c r="G655" s="2">
        <v>79.929437678717292</v>
      </c>
    </row>
    <row r="656" spans="4:7" customFormat="1" x14ac:dyDescent="0.35">
      <c r="D656" s="51">
        <v>45171</v>
      </c>
      <c r="E656" s="57">
        <v>1</v>
      </c>
      <c r="F656" s="57">
        <v>0.85024994512247909</v>
      </c>
      <c r="G656" s="2">
        <v>79.929437678717292</v>
      </c>
    </row>
    <row r="657" spans="4:7" customFormat="1" x14ac:dyDescent="0.35">
      <c r="D657" s="51">
        <v>45170</v>
      </c>
      <c r="E657" s="57">
        <v>0.99875000000000003</v>
      </c>
      <c r="F657" s="57">
        <v>0.84918713269107604</v>
      </c>
      <c r="G657" s="2">
        <v>80.029474521869631</v>
      </c>
    </row>
    <row r="658" spans="4:7" customFormat="1" x14ac:dyDescent="0.35">
      <c r="D658" s="51">
        <v>45169</v>
      </c>
      <c r="E658" s="57">
        <v>0.99688600000000005</v>
      </c>
      <c r="F658" s="57">
        <v>0.84654276395987604</v>
      </c>
      <c r="G658" s="2">
        <v>80.279464775179534</v>
      </c>
    </row>
    <row r="659" spans="4:7" customFormat="1" x14ac:dyDescent="0.35">
      <c r="D659" s="51">
        <v>45168</v>
      </c>
      <c r="E659" s="57">
        <v>1.0187820000000001</v>
      </c>
      <c r="F659" s="57">
        <v>0.86244253015257055</v>
      </c>
      <c r="G659" s="2">
        <v>78.799453440657103</v>
      </c>
    </row>
    <row r="660" spans="4:7" customFormat="1" x14ac:dyDescent="0.35">
      <c r="D660" s="51">
        <v>45167</v>
      </c>
      <c r="E660" s="57">
        <v>1.0339849999999999</v>
      </c>
      <c r="F660" s="57">
        <v>0.89175263953980566</v>
      </c>
      <c r="G660" s="2">
        <v>76.209474451425407</v>
      </c>
    </row>
    <row r="661" spans="4:7" customFormat="1" x14ac:dyDescent="0.35">
      <c r="D661" s="51">
        <v>45166</v>
      </c>
      <c r="E661" s="57">
        <v>1.003952</v>
      </c>
      <c r="F661" s="57">
        <v>0.89527684597126689</v>
      </c>
      <c r="G661" s="2">
        <v>75.909480185731411</v>
      </c>
    </row>
    <row r="662" spans="4:7" customFormat="1" x14ac:dyDescent="0.35">
      <c r="D662" s="51">
        <v>45165</v>
      </c>
      <c r="E662" s="57">
        <v>1</v>
      </c>
      <c r="F662" s="57">
        <v>0.89527684597126689</v>
      </c>
      <c r="G662" s="2">
        <v>75.909480185731411</v>
      </c>
    </row>
    <row r="663" spans="4:7" customFormat="1" x14ac:dyDescent="0.35">
      <c r="D663" s="51">
        <v>45164</v>
      </c>
      <c r="E663" s="57">
        <v>1</v>
      </c>
      <c r="F663" s="57">
        <v>0.89527684597126689</v>
      </c>
      <c r="G663" s="2">
        <v>75.909480185731411</v>
      </c>
    </row>
    <row r="664" spans="4:7" customFormat="1" x14ac:dyDescent="0.35">
      <c r="D664" s="51">
        <v>45163</v>
      </c>
      <c r="E664" s="57">
        <v>1.0187889999999999</v>
      </c>
      <c r="F664" s="57">
        <v>0.91209820263022101</v>
      </c>
      <c r="G664" s="2">
        <v>74.509520799430902</v>
      </c>
    </row>
    <row r="665" spans="4:7" customFormat="1" x14ac:dyDescent="0.35">
      <c r="D665" s="51">
        <v>45162</v>
      </c>
      <c r="E665" s="57">
        <v>0.95931500000000003</v>
      </c>
      <c r="F665" s="57">
        <v>0.87498948725621051</v>
      </c>
      <c r="G665" s="2">
        <v>77.669504593830908</v>
      </c>
    </row>
    <row r="666" spans="4:7" customFormat="1" x14ac:dyDescent="0.35">
      <c r="D666" s="51">
        <v>45161</v>
      </c>
      <c r="E666" s="57">
        <v>1.0412920000000001</v>
      </c>
      <c r="F666" s="57">
        <v>0.91111955316399407</v>
      </c>
      <c r="G666" s="2">
        <v>74.589552780421727</v>
      </c>
    </row>
    <row r="667" spans="4:7" customFormat="1" x14ac:dyDescent="0.35">
      <c r="D667" s="51">
        <v>45160</v>
      </c>
      <c r="E667" s="57">
        <v>1.0170440000000001</v>
      </c>
      <c r="F667" s="57">
        <v>0.92664867482812119</v>
      </c>
      <c r="G667" s="2">
        <v>73.339553431731304</v>
      </c>
    </row>
    <row r="668" spans="4:7" customFormat="1" x14ac:dyDescent="0.35">
      <c r="D668" s="51">
        <v>45159</v>
      </c>
      <c r="E668" s="57">
        <v>1.0160709999999999</v>
      </c>
      <c r="F668" s="57">
        <v>0.94154084568128382</v>
      </c>
      <c r="G668" s="2">
        <v>72.179555790620242</v>
      </c>
    </row>
    <row r="669" spans="4:7" customFormat="1" x14ac:dyDescent="0.35">
      <c r="D669" s="51">
        <v>45158</v>
      </c>
      <c r="E669" s="57">
        <v>1</v>
      </c>
      <c r="F669" s="57">
        <v>0.94154084568128382</v>
      </c>
      <c r="G669" s="2">
        <v>72.179555790620242</v>
      </c>
    </row>
    <row r="670" spans="4:7" customFormat="1" x14ac:dyDescent="0.35">
      <c r="D670" s="51">
        <v>45157</v>
      </c>
      <c r="E670" s="57">
        <v>1</v>
      </c>
      <c r="F670" s="57">
        <v>0.94154084568128382</v>
      </c>
      <c r="G670" s="2">
        <v>72.179555790620242</v>
      </c>
    </row>
    <row r="671" spans="4:7" customFormat="1" x14ac:dyDescent="0.35">
      <c r="D671" s="51">
        <v>45156</v>
      </c>
      <c r="E671" s="57">
        <v>1.013906</v>
      </c>
      <c r="F671" s="57">
        <v>0.95463391268132769</v>
      </c>
      <c r="G671" s="2">
        <v>71.18959330610555</v>
      </c>
    </row>
    <row r="672" spans="4:7" customFormat="1" x14ac:dyDescent="0.35">
      <c r="D672" s="51">
        <v>45155</v>
      </c>
      <c r="E672" s="57">
        <v>0.97869099999999998</v>
      </c>
      <c r="F672" s="57">
        <v>0.9342916186360013</v>
      </c>
      <c r="G672" s="2">
        <v>72.739601473913169</v>
      </c>
    </row>
    <row r="673" spans="4:7" customFormat="1" x14ac:dyDescent="0.35">
      <c r="D673" s="51">
        <v>45154</v>
      </c>
      <c r="E673" s="57">
        <v>0.98710799999999999</v>
      </c>
      <c r="F673" s="57">
        <v>0.92224673108854593</v>
      </c>
      <c r="G673" s="2">
        <v>73.689607898946377</v>
      </c>
    </row>
    <row r="674" spans="4:7" customFormat="1" x14ac:dyDescent="0.35">
      <c r="D674" s="51">
        <v>45153</v>
      </c>
      <c r="E674" s="57">
        <v>0.97913899999999998</v>
      </c>
      <c r="F674" s="57">
        <v>0.90300774203130774</v>
      </c>
      <c r="G674" s="2">
        <v>75.259598380767571</v>
      </c>
    </row>
    <row r="675" spans="4:7" customFormat="1" x14ac:dyDescent="0.35">
      <c r="D675" s="51">
        <v>45152</v>
      </c>
      <c r="E675" s="57">
        <v>1.0085770000000001</v>
      </c>
      <c r="F675" s="57">
        <v>0.9107528394347103</v>
      </c>
      <c r="G675" s="2">
        <v>74.619586190015809</v>
      </c>
    </row>
    <row r="676" spans="4:7" customFormat="1" x14ac:dyDescent="0.35">
      <c r="D676" s="51">
        <v>45151</v>
      </c>
      <c r="E676" s="57">
        <v>1</v>
      </c>
      <c r="F676" s="57">
        <v>0.9107528394347103</v>
      </c>
      <c r="G676" s="2">
        <v>74.619586190015809</v>
      </c>
    </row>
    <row r="677" spans="4:7" customFormat="1" x14ac:dyDescent="0.35">
      <c r="D677" s="51">
        <v>45150</v>
      </c>
      <c r="E677" s="57">
        <v>1</v>
      </c>
      <c r="F677" s="57">
        <v>0.9107528394347103</v>
      </c>
      <c r="G677" s="2">
        <v>74.619586190015809</v>
      </c>
    </row>
    <row r="678" spans="4:7" customFormat="1" x14ac:dyDescent="0.35">
      <c r="D678" s="51">
        <v>45149</v>
      </c>
      <c r="E678" s="57">
        <v>0.96796000000000004</v>
      </c>
      <c r="F678" s="57">
        <v>0.88157231845922224</v>
      </c>
      <c r="G678" s="2">
        <v>77.089534887821614</v>
      </c>
    </row>
    <row r="679" spans="4:7" customFormat="1" x14ac:dyDescent="0.35">
      <c r="D679" s="51">
        <v>45148</v>
      </c>
      <c r="E679" s="57">
        <v>0.95255199999999995</v>
      </c>
      <c r="F679" s="57">
        <v>0.83974347509296898</v>
      </c>
      <c r="G679" s="2">
        <v>80.929476698197703</v>
      </c>
    </row>
    <row r="680" spans="4:7" customFormat="1" x14ac:dyDescent="0.35">
      <c r="D680" s="51">
        <v>45147</v>
      </c>
      <c r="E680" s="57">
        <v>0.94876899999999997</v>
      </c>
      <c r="F680" s="57">
        <v>0.79672257712048111</v>
      </c>
      <c r="G680" s="2">
        <v>85.299452973482161</v>
      </c>
    </row>
    <row r="681" spans="4:7" customFormat="1" x14ac:dyDescent="0.35">
      <c r="D681" s="51">
        <v>45146</v>
      </c>
      <c r="E681" s="57">
        <v>0.99417200000000006</v>
      </c>
      <c r="F681" s="57">
        <v>0.79207927794102295</v>
      </c>
      <c r="G681" s="2">
        <v>85.799492415278408</v>
      </c>
    </row>
    <row r="682" spans="4:7" customFormat="1" x14ac:dyDescent="0.35">
      <c r="D682" s="51">
        <v>45145</v>
      </c>
      <c r="E682" s="57">
        <v>1.011315</v>
      </c>
      <c r="F682" s="57">
        <v>0.80104165497092561</v>
      </c>
      <c r="G682" s="2">
        <v>84.83953309827146</v>
      </c>
    </row>
    <row r="683" spans="4:7" customFormat="1" x14ac:dyDescent="0.35">
      <c r="D683" s="51">
        <v>45144</v>
      </c>
      <c r="E683" s="57">
        <v>1</v>
      </c>
      <c r="F683" s="57">
        <v>0.80104165497092561</v>
      </c>
      <c r="G683" s="2">
        <v>84.83953309827146</v>
      </c>
    </row>
    <row r="684" spans="4:7" customFormat="1" x14ac:dyDescent="0.35">
      <c r="D684" s="51">
        <v>45143</v>
      </c>
      <c r="E684" s="57">
        <v>1</v>
      </c>
      <c r="F684" s="57">
        <v>0.80104165497092561</v>
      </c>
      <c r="G684" s="2">
        <v>84.83953309827146</v>
      </c>
    </row>
    <row r="685" spans="4:7" customFormat="1" x14ac:dyDescent="0.35">
      <c r="D685" s="51">
        <v>45142</v>
      </c>
      <c r="E685" s="57">
        <v>1.0009440000000001</v>
      </c>
      <c r="F685" s="57">
        <v>0.80179783829321816</v>
      </c>
      <c r="G685" s="2">
        <v>84.759520111286406</v>
      </c>
    </row>
    <row r="686" spans="4:7" customFormat="1" x14ac:dyDescent="0.35">
      <c r="D686" s="51">
        <v>45141</v>
      </c>
      <c r="E686" s="57">
        <v>0.97830099999999998</v>
      </c>
      <c r="F686" s="57">
        <v>0.78439962700009358</v>
      </c>
      <c r="G686" s="2">
        <v>86.639510857380714</v>
      </c>
    </row>
    <row r="687" spans="4:7" customFormat="1" x14ac:dyDescent="0.35">
      <c r="D687" s="51">
        <v>45140</v>
      </c>
      <c r="E687" s="57">
        <v>0.96213199999999999</v>
      </c>
      <c r="F687" s="57">
        <v>0.75469598192485399</v>
      </c>
      <c r="G687" s="2">
        <v>90.049505532900611</v>
      </c>
    </row>
    <row r="688" spans="4:7" customFormat="1" x14ac:dyDescent="0.35">
      <c r="D688" s="51">
        <v>45139</v>
      </c>
      <c r="E688" s="57">
        <v>0.98674099999999998</v>
      </c>
      <c r="F688" s="57">
        <v>0.74468946790051238</v>
      </c>
      <c r="G688" s="2">
        <v>91.259515448228669</v>
      </c>
    </row>
    <row r="689" spans="4:7" customFormat="1" x14ac:dyDescent="0.35">
      <c r="D689" s="51">
        <v>45138</v>
      </c>
      <c r="E689" s="57">
        <v>1.008955</v>
      </c>
      <c r="F689" s="57">
        <v>0.7513581620855615</v>
      </c>
      <c r="G689" s="2">
        <v>90.449539819148185</v>
      </c>
    </row>
    <row r="690" spans="4:7" customFormat="1" x14ac:dyDescent="0.35">
      <c r="D690" s="51">
        <v>45137</v>
      </c>
      <c r="E690" s="57">
        <v>1</v>
      </c>
      <c r="F690" s="57">
        <v>0.7513581620855615</v>
      </c>
      <c r="G690" s="2">
        <v>90.449539819148185</v>
      </c>
    </row>
    <row r="691" spans="4:7" customFormat="1" x14ac:dyDescent="0.35">
      <c r="D691" s="51">
        <v>45136</v>
      </c>
      <c r="E691" s="57">
        <v>1</v>
      </c>
      <c r="F691" s="57">
        <v>0.7513581620855615</v>
      </c>
      <c r="G691" s="2">
        <v>90.449539819148185</v>
      </c>
    </row>
    <row r="692" spans="4:7" customFormat="1" x14ac:dyDescent="0.35">
      <c r="D692" s="51">
        <v>45135</v>
      </c>
      <c r="E692" s="57">
        <v>1.059382</v>
      </c>
      <c r="F692" s="57">
        <v>0.79597531246652631</v>
      </c>
      <c r="G692" s="2">
        <v>85.379532424704394</v>
      </c>
    </row>
    <row r="693" spans="4:7" customFormat="1" x14ac:dyDescent="0.35">
      <c r="D693" s="51">
        <v>45134</v>
      </c>
      <c r="E693" s="57">
        <v>1.009339</v>
      </c>
      <c r="F693" s="57">
        <v>0.80340892590965118</v>
      </c>
      <c r="G693" s="2">
        <v>84.589550611543189</v>
      </c>
    </row>
    <row r="694" spans="4:7" customFormat="1" x14ac:dyDescent="0.35">
      <c r="D694" s="51">
        <v>45133</v>
      </c>
      <c r="E694" s="57">
        <v>1.01634</v>
      </c>
      <c r="F694" s="57">
        <v>0.81653662775901492</v>
      </c>
      <c r="G694" s="2">
        <v>83.229579286009795</v>
      </c>
    </row>
    <row r="695" spans="4:7" customFormat="1" x14ac:dyDescent="0.35">
      <c r="D695" s="51">
        <v>45132</v>
      </c>
      <c r="E695" s="57">
        <v>1.0141340000000001</v>
      </c>
      <c r="F695" s="57">
        <v>0.82807755645576087</v>
      </c>
      <c r="G695" s="2">
        <v>82.069607454251397</v>
      </c>
    </row>
    <row r="696" spans="4:7" customFormat="1" x14ac:dyDescent="0.35">
      <c r="D696" s="51">
        <v>45131</v>
      </c>
      <c r="E696" s="57">
        <v>0.97516599999999998</v>
      </c>
      <c r="F696" s="57">
        <v>0.80751307841873843</v>
      </c>
      <c r="G696" s="2">
        <v>84.159627647243042</v>
      </c>
    </row>
    <row r="697" spans="4:7" customFormat="1" x14ac:dyDescent="0.35">
      <c r="D697" s="51">
        <v>45130</v>
      </c>
      <c r="E697" s="57">
        <v>1</v>
      </c>
      <c r="F697" s="57">
        <v>0.80751307841873843</v>
      </c>
      <c r="G697" s="2">
        <v>84.159627647243042</v>
      </c>
    </row>
    <row r="698" spans="4:7" customFormat="1" x14ac:dyDescent="0.35">
      <c r="D698" s="51">
        <v>45129</v>
      </c>
      <c r="E698" s="57">
        <v>1</v>
      </c>
      <c r="F698" s="57">
        <v>0.80751307841873843</v>
      </c>
      <c r="G698" s="2">
        <v>84.159627647243042</v>
      </c>
    </row>
    <row r="699" spans="4:7" customFormat="1" x14ac:dyDescent="0.35">
      <c r="D699" s="51">
        <v>45128</v>
      </c>
      <c r="E699" s="57">
        <v>0.99715600000000004</v>
      </c>
      <c r="F699" s="57">
        <v>0.80521651122371563</v>
      </c>
      <c r="G699" s="2">
        <v>84.399660281082433</v>
      </c>
    </row>
    <row r="700" spans="4:7" customFormat="1" x14ac:dyDescent="0.35">
      <c r="D700" s="51">
        <v>45127</v>
      </c>
      <c r="E700" s="57">
        <v>0.95572400000000002</v>
      </c>
      <c r="F700" s="57">
        <v>0.76956474497277438</v>
      </c>
      <c r="G700" s="2">
        <v>88.309658731058789</v>
      </c>
    </row>
    <row r="701" spans="4:7" customFormat="1" x14ac:dyDescent="0.35">
      <c r="D701" s="51">
        <v>45126</v>
      </c>
      <c r="E701" s="57">
        <v>0.99751500000000004</v>
      </c>
      <c r="F701" s="57">
        <v>0.76765237658151708</v>
      </c>
      <c r="G701" s="2">
        <v>88.529654923543788</v>
      </c>
    </row>
    <row r="702" spans="4:7" customFormat="1" x14ac:dyDescent="0.35">
      <c r="D702" s="51">
        <v>45125</v>
      </c>
      <c r="E702" s="57">
        <v>0.97618300000000002</v>
      </c>
      <c r="F702" s="57">
        <v>0.74936919992847506</v>
      </c>
      <c r="G702" s="2">
        <v>90.689609349418902</v>
      </c>
    </row>
    <row r="703" spans="4:7" customFormat="1" x14ac:dyDescent="0.35">
      <c r="D703" s="51">
        <v>45124</v>
      </c>
      <c r="E703" s="57">
        <v>1.0305679999999999</v>
      </c>
      <c r="F703" s="57">
        <v>0.77227591763188863</v>
      </c>
      <c r="G703" s="2">
        <v>87.99963646204705</v>
      </c>
    </row>
    <row r="704" spans="4:7" customFormat="1" x14ac:dyDescent="0.35">
      <c r="D704" s="51">
        <v>45123</v>
      </c>
      <c r="E704" s="57">
        <v>1</v>
      </c>
      <c r="F704" s="57">
        <v>0.77227591763188863</v>
      </c>
      <c r="G704" s="2">
        <v>87.99963646204705</v>
      </c>
    </row>
    <row r="705" spans="4:7" customFormat="1" x14ac:dyDescent="0.35">
      <c r="D705" s="51">
        <v>45122</v>
      </c>
      <c r="E705" s="57">
        <v>1</v>
      </c>
      <c r="F705" s="57">
        <v>0.77227591763188863</v>
      </c>
      <c r="G705" s="2">
        <v>87.99963646204705</v>
      </c>
    </row>
    <row r="706" spans="4:7" customFormat="1" x14ac:dyDescent="0.35">
      <c r="D706" s="51">
        <v>45121</v>
      </c>
      <c r="E706" s="57">
        <v>1.0113780000000001</v>
      </c>
      <c r="F706" s="57">
        <v>0.78106287302270438</v>
      </c>
      <c r="G706" s="2">
        <v>87.009640769373107</v>
      </c>
    </row>
    <row r="707" spans="4:7" customFormat="1" x14ac:dyDescent="0.35">
      <c r="D707" s="51">
        <v>45120</v>
      </c>
      <c r="E707" s="57">
        <v>1.029582</v>
      </c>
      <c r="F707" s="57">
        <v>0.80416827493246201</v>
      </c>
      <c r="G707" s="2">
        <v>84.509675547331938</v>
      </c>
    </row>
    <row r="708" spans="4:7" customFormat="1" x14ac:dyDescent="0.35">
      <c r="D708" s="51">
        <v>45119</v>
      </c>
      <c r="E708" s="57">
        <v>1.0220100000000001</v>
      </c>
      <c r="F708" s="57">
        <v>0.82186801866372561</v>
      </c>
      <c r="G708" s="2">
        <v>82.689675783340604</v>
      </c>
    </row>
    <row r="709" spans="4:7" customFormat="1" x14ac:dyDescent="0.35">
      <c r="D709" s="51">
        <v>45118</v>
      </c>
      <c r="E709" s="57">
        <v>1.089316</v>
      </c>
      <c r="F709" s="57">
        <v>0.89527398261869484</v>
      </c>
      <c r="G709" s="2">
        <v>75.909722966834792</v>
      </c>
    </row>
    <row r="710" spans="4:7" customFormat="1" x14ac:dyDescent="0.35">
      <c r="D710" s="51">
        <v>45117</v>
      </c>
      <c r="E710" s="57">
        <v>1.0014510000000001</v>
      </c>
      <c r="F710" s="57">
        <v>0.89657302516747461</v>
      </c>
      <c r="G710" s="2">
        <v>75.799737547653152</v>
      </c>
    </row>
    <row r="711" spans="4:7" customFormat="1" x14ac:dyDescent="0.35">
      <c r="D711" s="51">
        <v>45116</v>
      </c>
      <c r="E711" s="57">
        <v>1</v>
      </c>
      <c r="F711" s="57">
        <v>0.89657302516747461</v>
      </c>
      <c r="G711" s="2">
        <v>75.799737547653152</v>
      </c>
    </row>
    <row r="712" spans="4:7" customFormat="1" x14ac:dyDescent="0.35">
      <c r="D712" s="51">
        <v>45115</v>
      </c>
      <c r="E712" s="57">
        <v>1</v>
      </c>
      <c r="F712" s="57">
        <v>0.89657302516747461</v>
      </c>
      <c r="G712" s="2">
        <v>75.799737547653152</v>
      </c>
    </row>
    <row r="713" spans="4:7" customFormat="1" x14ac:dyDescent="0.35">
      <c r="D713" s="51">
        <v>45114</v>
      </c>
      <c r="E713" s="57">
        <v>1.0059720000000001</v>
      </c>
      <c r="F713" s="57">
        <v>0.90192735927377488</v>
      </c>
      <c r="G713" s="2">
        <v>75.34974884753565</v>
      </c>
    </row>
    <row r="714" spans="4:7" customFormat="1" x14ac:dyDescent="0.35">
      <c r="D714" s="51">
        <v>45113</v>
      </c>
      <c r="E714" s="57">
        <v>0.97641599999999995</v>
      </c>
      <c r="F714" s="57">
        <v>0.88065630443266207</v>
      </c>
      <c r="G714" s="2">
        <v>77.16971951251891</v>
      </c>
    </row>
    <row r="715" spans="4:7" customFormat="1" x14ac:dyDescent="0.35">
      <c r="D715" s="51">
        <v>45112</v>
      </c>
      <c r="E715" s="57">
        <v>0.99638499999999997</v>
      </c>
      <c r="F715" s="57">
        <v>0.87747273189213792</v>
      </c>
      <c r="G715" s="2">
        <v>77.449700178664784</v>
      </c>
    </row>
    <row r="716" spans="4:7" customFormat="1" x14ac:dyDescent="0.35">
      <c r="D716" s="51">
        <v>45111</v>
      </c>
      <c r="E716" s="57">
        <v>1</v>
      </c>
      <c r="F716" s="57">
        <v>0.87747273189213792</v>
      </c>
      <c r="G716" s="2">
        <v>77.449700178664784</v>
      </c>
    </row>
    <row r="717" spans="4:7" customFormat="1" x14ac:dyDescent="0.35">
      <c r="D717" s="51">
        <v>45110</v>
      </c>
      <c r="E717" s="57">
        <v>1.0029790000000001</v>
      </c>
      <c r="F717" s="57">
        <v>0.88008672316044467</v>
      </c>
      <c r="G717" s="2">
        <v>77.219662803174131</v>
      </c>
    </row>
    <row r="718" spans="4:7" customFormat="1" x14ac:dyDescent="0.35">
      <c r="D718" s="51">
        <v>45109</v>
      </c>
      <c r="E718" s="57">
        <v>1</v>
      </c>
      <c r="F718" s="57">
        <v>0.88008672316044467</v>
      </c>
      <c r="G718" s="2">
        <v>77.219662803174131</v>
      </c>
    </row>
    <row r="719" spans="4:7" customFormat="1" x14ac:dyDescent="0.35">
      <c r="D719" s="51">
        <v>45108</v>
      </c>
      <c r="E719" s="57">
        <v>1</v>
      </c>
      <c r="F719" s="57">
        <v>0.88008672316044467</v>
      </c>
      <c r="G719" s="2">
        <v>77.219662803174131</v>
      </c>
    </row>
    <row r="720" spans="4:7" customFormat="1" x14ac:dyDescent="0.35">
      <c r="D720" s="51">
        <v>45107</v>
      </c>
      <c r="E720" s="57">
        <v>0.99806099999999998</v>
      </c>
      <c r="F720" s="57">
        <v>0.87838023500423656</v>
      </c>
      <c r="G720" s="2">
        <v>77.369682617769982</v>
      </c>
    </row>
    <row r="721" spans="4:7" customFormat="1" x14ac:dyDescent="0.35">
      <c r="D721" s="51">
        <v>45106</v>
      </c>
      <c r="E721" s="57">
        <v>0.98875400000000002</v>
      </c>
      <c r="F721" s="57">
        <v>0.86850197088137893</v>
      </c>
      <c r="G721" s="2">
        <v>78.249678502205782</v>
      </c>
    </row>
    <row r="722" spans="4:7" customFormat="1" x14ac:dyDescent="0.35">
      <c r="D722" s="51">
        <v>45105</v>
      </c>
      <c r="E722" s="57">
        <v>1.0192779999999999</v>
      </c>
      <c r="F722" s="57">
        <v>0.88524495187603003</v>
      </c>
      <c r="G722" s="2">
        <v>76.76971199437817</v>
      </c>
    </row>
    <row r="723" spans="4:7" customFormat="1" x14ac:dyDescent="0.35">
      <c r="D723" s="51">
        <v>45104</v>
      </c>
      <c r="E723" s="57">
        <v>1.0204709999999999</v>
      </c>
      <c r="F723" s="57">
        <v>0.9033668012858842</v>
      </c>
      <c r="G723" s="2">
        <v>75.229685110481512</v>
      </c>
    </row>
    <row r="724" spans="4:7" customFormat="1" x14ac:dyDescent="0.35">
      <c r="D724" s="51">
        <v>45103</v>
      </c>
      <c r="E724" s="57">
        <v>0.98675199999999996</v>
      </c>
      <c r="F724" s="57">
        <v>0.89139899790244881</v>
      </c>
      <c r="G724" s="2">
        <v>76.239708772296908</v>
      </c>
    </row>
    <row r="725" spans="4:7" customFormat="1" x14ac:dyDescent="0.35">
      <c r="D725" s="51">
        <v>45102</v>
      </c>
      <c r="E725" s="57">
        <v>1</v>
      </c>
      <c r="F725" s="57">
        <v>0.89139899790244881</v>
      </c>
      <c r="G725" s="2">
        <v>76.239708772296908</v>
      </c>
    </row>
    <row r="726" spans="4:7" customFormat="1" x14ac:dyDescent="0.35">
      <c r="D726" s="51">
        <v>45101</v>
      </c>
      <c r="E726" s="57">
        <v>1</v>
      </c>
      <c r="F726" s="57">
        <v>0.89139899790244881</v>
      </c>
      <c r="G726" s="2">
        <v>76.239708772296908</v>
      </c>
    </row>
    <row r="727" spans="4:7" customFormat="1" x14ac:dyDescent="0.35">
      <c r="D727" s="51">
        <v>45100</v>
      </c>
      <c r="E727" s="57">
        <v>0.99270800000000003</v>
      </c>
      <c r="F727" s="57">
        <v>0.88489891640974416</v>
      </c>
      <c r="G727" s="2">
        <v>76.799732421111642</v>
      </c>
    </row>
    <row r="728" spans="4:7" customFormat="1" x14ac:dyDescent="0.35">
      <c r="D728" s="51">
        <v>45099</v>
      </c>
      <c r="E728" s="57">
        <v>1.0044470000000001</v>
      </c>
      <c r="F728" s="57">
        <v>0.88883406189101832</v>
      </c>
      <c r="G728" s="2">
        <v>76.459716063776028</v>
      </c>
    </row>
    <row r="729" spans="4:7" customFormat="1" x14ac:dyDescent="0.35">
      <c r="D729" s="51">
        <v>45098</v>
      </c>
      <c r="E729" s="57">
        <v>1.0103070000000001</v>
      </c>
      <c r="F729" s="57">
        <v>0.89799527456692907</v>
      </c>
      <c r="G729" s="2">
        <v>75.679685544865109</v>
      </c>
    </row>
    <row r="730" spans="4:7" customFormat="1" x14ac:dyDescent="0.35">
      <c r="D730" s="51">
        <v>45097</v>
      </c>
      <c r="E730" s="57">
        <v>0.99018700000000004</v>
      </c>
      <c r="F730" s="57">
        <v>0.88918324693760387</v>
      </c>
      <c r="G730" s="2">
        <v>76.429690093755113</v>
      </c>
    </row>
    <row r="731" spans="4:7" customFormat="1" x14ac:dyDescent="0.35">
      <c r="D731" s="51">
        <v>45096</v>
      </c>
      <c r="E731" s="57">
        <v>1</v>
      </c>
      <c r="F731" s="57">
        <v>0.88918324693760387</v>
      </c>
      <c r="G731" s="2">
        <v>76.429690093755113</v>
      </c>
    </row>
    <row r="732" spans="4:7" customFormat="1" x14ac:dyDescent="0.35">
      <c r="D732" s="51">
        <v>45095</v>
      </c>
      <c r="E732" s="57">
        <v>1</v>
      </c>
      <c r="F732" s="57">
        <v>0.88918324693760387</v>
      </c>
      <c r="G732" s="2">
        <v>76.429690093755113</v>
      </c>
    </row>
    <row r="733" spans="4:7" customFormat="1" x14ac:dyDescent="0.35">
      <c r="D733" s="51">
        <v>45094</v>
      </c>
      <c r="E733" s="57">
        <v>1</v>
      </c>
      <c r="F733" s="57">
        <v>0.88918324693760387</v>
      </c>
      <c r="G733" s="2">
        <v>76.429690093755113</v>
      </c>
    </row>
    <row r="734" spans="4:7" customFormat="1" x14ac:dyDescent="0.35">
      <c r="D734" s="51">
        <v>45093</v>
      </c>
      <c r="E734" s="57">
        <v>0.98912900000000004</v>
      </c>
      <c r="F734" s="57">
        <v>0.87951693586014523</v>
      </c>
      <c r="G734" s="2">
        <v>77.269688881586845</v>
      </c>
    </row>
    <row r="735" spans="4:7" customFormat="1" x14ac:dyDescent="0.35">
      <c r="D735" s="51">
        <v>45092</v>
      </c>
      <c r="E735" s="57">
        <v>1.005989</v>
      </c>
      <c r="F735" s="57">
        <v>0.88478436278901162</v>
      </c>
      <c r="G735" s="2">
        <v>76.809675733618207</v>
      </c>
    </row>
    <row r="736" spans="4:7" customFormat="1" x14ac:dyDescent="0.35">
      <c r="D736" s="51">
        <v>45091</v>
      </c>
      <c r="E736" s="57">
        <v>0.99084099999999997</v>
      </c>
      <c r="F736" s="57">
        <v>0.87668062281022707</v>
      </c>
      <c r="G736" s="2">
        <v>77.519678468713153</v>
      </c>
    </row>
    <row r="737" spans="4:7" customFormat="1" x14ac:dyDescent="0.35">
      <c r="D737" s="51">
        <v>45090</v>
      </c>
      <c r="E737" s="57">
        <v>1.0270269999999999</v>
      </c>
      <c r="F737" s="57">
        <v>0.90037467000291904</v>
      </c>
      <c r="G737" s="2">
        <v>75.479688916370407</v>
      </c>
    </row>
    <row r="738" spans="4:7" customFormat="1" x14ac:dyDescent="0.35">
      <c r="D738" s="51">
        <v>45089</v>
      </c>
      <c r="E738" s="57">
        <v>1.012068</v>
      </c>
      <c r="F738" s="57">
        <v>0.91124039152051428</v>
      </c>
      <c r="G738" s="2">
        <v>74.579661560656405</v>
      </c>
    </row>
    <row r="739" spans="4:7" customFormat="1" x14ac:dyDescent="0.35">
      <c r="D739" s="51">
        <v>45088</v>
      </c>
      <c r="E739" s="57">
        <v>1</v>
      </c>
      <c r="F739" s="57">
        <v>0.91124039152051428</v>
      </c>
      <c r="G739" s="2">
        <v>74.579661560656405</v>
      </c>
    </row>
    <row r="740" spans="4:7" customFormat="1" x14ac:dyDescent="0.35">
      <c r="D740" s="51">
        <v>45087</v>
      </c>
      <c r="E740" s="57">
        <v>1</v>
      </c>
      <c r="F740" s="57">
        <v>0.91124039152051428</v>
      </c>
      <c r="G740" s="2">
        <v>74.579661560656405</v>
      </c>
    </row>
    <row r="741" spans="4:7" customFormat="1" x14ac:dyDescent="0.35">
      <c r="D741" s="51">
        <v>45086</v>
      </c>
      <c r="E741" s="57">
        <v>1.000537</v>
      </c>
      <c r="F741" s="57">
        <v>0.91172972761076077</v>
      </c>
      <c r="G741" s="2">
        <v>74.539633777317988</v>
      </c>
    </row>
    <row r="742" spans="4:7" customFormat="1" x14ac:dyDescent="0.35">
      <c r="D742" s="51">
        <v>45085</v>
      </c>
      <c r="E742" s="57">
        <v>1.0119469999999999</v>
      </c>
      <c r="F742" s="57">
        <v>0.92262216266652641</v>
      </c>
      <c r="G742" s="2">
        <v>73.659622270057625</v>
      </c>
    </row>
    <row r="743" spans="4:7" customFormat="1" x14ac:dyDescent="0.35">
      <c r="D743" s="51">
        <v>45084</v>
      </c>
      <c r="E743" s="57">
        <v>0.983707</v>
      </c>
      <c r="F743" s="57">
        <v>0.90758987977020067</v>
      </c>
      <c r="G743" s="2">
        <v>74.879636182377098</v>
      </c>
    </row>
    <row r="744" spans="4:7" customFormat="1" x14ac:dyDescent="0.35">
      <c r="D744" s="51">
        <v>45083</v>
      </c>
      <c r="E744" s="57">
        <v>0.99349900000000002</v>
      </c>
      <c r="F744" s="57">
        <v>0.90168963796181456</v>
      </c>
      <c r="G744" s="2">
        <v>75.369614043272406</v>
      </c>
    </row>
    <row r="745" spans="4:7" customFormat="1" x14ac:dyDescent="0.35">
      <c r="D745" s="51">
        <v>45082</v>
      </c>
      <c r="E745" s="57">
        <v>1.0152209999999999</v>
      </c>
      <c r="F745" s="57">
        <v>0.91541425594123127</v>
      </c>
      <c r="G745" s="2">
        <v>74.239612895391659</v>
      </c>
    </row>
    <row r="746" spans="4:7" customFormat="1" x14ac:dyDescent="0.35">
      <c r="D746" s="51">
        <v>45081</v>
      </c>
      <c r="E746" s="57">
        <v>1</v>
      </c>
      <c r="F746" s="57">
        <v>0.91541425594123127</v>
      </c>
      <c r="G746" s="2">
        <v>74.239612895391659</v>
      </c>
    </row>
    <row r="747" spans="4:7" customFormat="1" x14ac:dyDescent="0.35">
      <c r="D747" s="51">
        <v>45080</v>
      </c>
      <c r="E747" s="57">
        <v>1</v>
      </c>
      <c r="F747" s="57">
        <v>0.91541425594123127</v>
      </c>
      <c r="G747" s="2">
        <v>74.239612895391659</v>
      </c>
    </row>
    <row r="748" spans="4:7" customFormat="1" x14ac:dyDescent="0.35">
      <c r="D748" s="51">
        <v>45079</v>
      </c>
      <c r="E748" s="57">
        <v>1.013377</v>
      </c>
      <c r="F748" s="57">
        <v>0.92765975244295706</v>
      </c>
      <c r="G748" s="2">
        <v>73.259618972397902</v>
      </c>
    </row>
    <row r="749" spans="4:7" customFormat="1" x14ac:dyDescent="0.35">
      <c r="D749" s="51">
        <v>45078</v>
      </c>
      <c r="E749" s="57">
        <v>1.045377</v>
      </c>
      <c r="F749" s="57">
        <v>0.96975416902956113</v>
      </c>
      <c r="G749" s="2">
        <v>70.079616226871167</v>
      </c>
    </row>
    <row r="750" spans="4:7" customFormat="1" x14ac:dyDescent="0.35">
      <c r="D750" s="51">
        <v>45077</v>
      </c>
      <c r="E750" s="57">
        <v>1.0014289999999999</v>
      </c>
      <c r="F750" s="57">
        <v>0.97113994773710433</v>
      </c>
      <c r="G750" s="2">
        <v>69.979615356526693</v>
      </c>
    </row>
    <row r="751" spans="4:7" customFormat="1" x14ac:dyDescent="0.35">
      <c r="D751" s="51">
        <v>45076</v>
      </c>
      <c r="E751" s="57">
        <v>1.0341359999999999</v>
      </c>
      <c r="F751" s="57">
        <v>1.0042907809930581</v>
      </c>
      <c r="G751" s="2">
        <v>67.669644376104003</v>
      </c>
    </row>
    <row r="752" spans="4:7" customFormat="1" x14ac:dyDescent="0.35">
      <c r="D752" s="51">
        <v>45075</v>
      </c>
      <c r="E752" s="57">
        <v>1</v>
      </c>
      <c r="F752" s="57">
        <v>1.0042907809930581</v>
      </c>
      <c r="G752" s="2">
        <v>67.669644376104003</v>
      </c>
    </row>
    <row r="753" spans="4:7" customFormat="1" x14ac:dyDescent="0.35">
      <c r="D753" s="51">
        <v>45074</v>
      </c>
      <c r="E753" s="57">
        <v>1</v>
      </c>
      <c r="F753" s="57">
        <v>1.0042907809930581</v>
      </c>
      <c r="G753" s="2">
        <v>67.669644376104003</v>
      </c>
    </row>
    <row r="754" spans="4:7" customFormat="1" x14ac:dyDescent="0.35">
      <c r="D754" s="51">
        <v>45073</v>
      </c>
      <c r="E754" s="57">
        <v>1</v>
      </c>
      <c r="F754" s="57">
        <v>1.0042907809930581</v>
      </c>
      <c r="G754" s="2">
        <v>67.669644376104003</v>
      </c>
    </row>
    <row r="755" spans="4:7" customFormat="1" x14ac:dyDescent="0.35">
      <c r="D755" s="51">
        <v>45072</v>
      </c>
      <c r="E755" s="57">
        <v>1.02128</v>
      </c>
      <c r="F755" s="57">
        <v>1.0256620888125905</v>
      </c>
      <c r="G755" s="2">
        <v>66.25963925280432</v>
      </c>
    </row>
    <row r="756" spans="4:7" customFormat="1" x14ac:dyDescent="0.35">
      <c r="D756" s="51">
        <v>45071</v>
      </c>
      <c r="E756" s="57">
        <v>0.99939699999999998</v>
      </c>
      <c r="F756" s="57">
        <v>1.0250436145730364</v>
      </c>
      <c r="G756" s="2">
        <v>66.299617922411542</v>
      </c>
    </row>
    <row r="757" spans="4:7" customFormat="1" x14ac:dyDescent="0.35">
      <c r="D757" s="51">
        <v>45070</v>
      </c>
      <c r="E757" s="57">
        <v>0.99221800000000004</v>
      </c>
      <c r="F757" s="57">
        <v>1.017066725164429</v>
      </c>
      <c r="G757" s="2">
        <v>66.81960811274493</v>
      </c>
    </row>
    <row r="758" spans="4:7" customFormat="1" x14ac:dyDescent="0.35">
      <c r="D758" s="51">
        <v>45069</v>
      </c>
      <c r="E758" s="57">
        <v>0.97519</v>
      </c>
      <c r="F758" s="57">
        <v>0.99183329971309953</v>
      </c>
      <c r="G758" s="2">
        <v>68.519578864369947</v>
      </c>
    </row>
    <row r="759" spans="4:7" customFormat="1" x14ac:dyDescent="0.35">
      <c r="D759" s="51">
        <v>45068</v>
      </c>
      <c r="E759" s="57">
        <v>1.025441</v>
      </c>
      <c r="F759" s="57">
        <v>1.0170665306911006</v>
      </c>
      <c r="G759" s="2">
        <v>66.819620889324625</v>
      </c>
    </row>
    <row r="760" spans="4:7" customFormat="1" x14ac:dyDescent="0.35">
      <c r="D760" s="51">
        <v>45067</v>
      </c>
      <c r="E760" s="57">
        <v>1</v>
      </c>
      <c r="F760" s="57">
        <v>1.0170665306911006</v>
      </c>
      <c r="G760" s="2">
        <v>66.819620889324625</v>
      </c>
    </row>
    <row r="761" spans="4:7" customFormat="1" x14ac:dyDescent="0.35">
      <c r="D761" s="51">
        <v>45066</v>
      </c>
      <c r="E761" s="57">
        <v>1</v>
      </c>
      <c r="F761" s="57">
        <v>1.0170665306911006</v>
      </c>
      <c r="G761" s="2">
        <v>66.819620889324625</v>
      </c>
    </row>
    <row r="762" spans="4:7" customFormat="1" x14ac:dyDescent="0.35">
      <c r="D762" s="51">
        <v>45065</v>
      </c>
      <c r="E762" s="57">
        <v>0.98963299999999998</v>
      </c>
      <c r="F762" s="57">
        <v>1.006522601967426</v>
      </c>
      <c r="G762" s="2">
        <v>67.519596546724514</v>
      </c>
    </row>
    <row r="763" spans="4:7" customFormat="1" x14ac:dyDescent="0.35">
      <c r="D763" s="51">
        <v>45064</v>
      </c>
      <c r="E763" s="57">
        <v>1.020556</v>
      </c>
      <c r="F763" s="57">
        <v>1.0272126805734685</v>
      </c>
      <c r="G763" s="2">
        <v>66.159619410129878</v>
      </c>
    </row>
    <row r="764" spans="4:7" customFormat="1" x14ac:dyDescent="0.35">
      <c r="D764" s="51">
        <v>45063</v>
      </c>
      <c r="E764" s="57">
        <v>1.0314939999999999</v>
      </c>
      <c r="F764" s="57">
        <v>1.0595637167354492</v>
      </c>
      <c r="G764" s="2">
        <v>64.139606638652182</v>
      </c>
    </row>
    <row r="765" spans="4:7" customFormat="1" x14ac:dyDescent="0.35">
      <c r="D765" s="51">
        <v>45062</v>
      </c>
      <c r="E765" s="57">
        <v>1.0025010000000001</v>
      </c>
      <c r="F765" s="57">
        <v>1.0622136855910047</v>
      </c>
      <c r="G765" s="2">
        <v>63.979593674871317</v>
      </c>
    </row>
    <row r="766" spans="4:7" customFormat="1" x14ac:dyDescent="0.35">
      <c r="D766" s="51">
        <v>45061</v>
      </c>
      <c r="E766" s="57">
        <v>1.026966</v>
      </c>
      <c r="F766" s="57">
        <v>1.0908573398366519</v>
      </c>
      <c r="G766" s="2">
        <v>62.299622066233262</v>
      </c>
    </row>
    <row r="767" spans="4:7" customFormat="1" x14ac:dyDescent="0.35">
      <c r="D767" s="51">
        <v>45060</v>
      </c>
      <c r="E767" s="57">
        <v>1</v>
      </c>
      <c r="F767" s="57">
        <v>1.0908573398366519</v>
      </c>
      <c r="G767" s="2">
        <v>62.299622066233262</v>
      </c>
    </row>
    <row r="768" spans="4:7" customFormat="1" x14ac:dyDescent="0.35">
      <c r="D768" s="51">
        <v>45059</v>
      </c>
      <c r="E768" s="57">
        <v>1</v>
      </c>
      <c r="F768" s="57">
        <v>1.0908573398366519</v>
      </c>
      <c r="G768" s="2">
        <v>62.299622066233262</v>
      </c>
    </row>
    <row r="769" spans="4:7" customFormat="1" x14ac:dyDescent="0.35">
      <c r="D769" s="51">
        <v>45058</v>
      </c>
      <c r="E769" s="57">
        <v>0.96544200000000002</v>
      </c>
      <c r="F769" s="57">
        <v>1.053159491886577</v>
      </c>
      <c r="G769" s="2">
        <v>64.52963727104607</v>
      </c>
    </row>
    <row r="770" spans="4:7" customFormat="1" x14ac:dyDescent="0.35">
      <c r="D770" s="51">
        <v>45057</v>
      </c>
      <c r="E770" s="57">
        <v>0.993228</v>
      </c>
      <c r="F770" s="57">
        <v>1.0460274958075211</v>
      </c>
      <c r="G770" s="2">
        <v>64.969611479988544</v>
      </c>
    </row>
    <row r="771" spans="4:7" customFormat="1" x14ac:dyDescent="0.35">
      <c r="D771" s="51">
        <v>45056</v>
      </c>
      <c r="E771" s="57">
        <v>1.0132559999999999</v>
      </c>
      <c r="F771" s="57">
        <v>1.0598936362919456</v>
      </c>
      <c r="G771" s="2">
        <v>64.119641512104096</v>
      </c>
    </row>
    <row r="772" spans="4:7" customFormat="1" x14ac:dyDescent="0.35">
      <c r="D772" s="51">
        <v>45055</v>
      </c>
      <c r="E772" s="57">
        <v>0.99149500000000002</v>
      </c>
      <c r="F772" s="57">
        <v>1.0508792409152825</v>
      </c>
      <c r="G772" s="2">
        <v>64.66965694441636</v>
      </c>
    </row>
    <row r="773" spans="4:7" customFormat="1" x14ac:dyDescent="0.35">
      <c r="D773" s="51">
        <v>45054</v>
      </c>
      <c r="E773" s="57">
        <v>1.0314190000000001</v>
      </c>
      <c r="F773" s="57">
        <v>1.0838968157855999</v>
      </c>
      <c r="G773" s="2">
        <v>62.69969522029006</v>
      </c>
    </row>
    <row r="774" spans="4:7" customFormat="1" x14ac:dyDescent="0.35">
      <c r="D774" s="51">
        <v>45053</v>
      </c>
      <c r="E774" s="57">
        <v>1</v>
      </c>
      <c r="F774" s="57">
        <v>1.0838968157855999</v>
      </c>
      <c r="G774" s="2">
        <v>62.69969522029006</v>
      </c>
    </row>
    <row r="775" spans="4:7" customFormat="1" x14ac:dyDescent="0.35">
      <c r="D775" s="51">
        <v>45052</v>
      </c>
      <c r="E775" s="57">
        <v>1</v>
      </c>
      <c r="F775" s="57">
        <v>1.0838968157855999</v>
      </c>
      <c r="G775" s="2">
        <v>62.69969522029006</v>
      </c>
    </row>
    <row r="776" spans="4:7" customFormat="1" x14ac:dyDescent="0.35">
      <c r="D776" s="51">
        <v>45051</v>
      </c>
      <c r="E776" s="57">
        <v>1.020508</v>
      </c>
      <c r="F776" s="57">
        <v>1.1061253716837309</v>
      </c>
      <c r="G776" s="2">
        <v>61.439690056609123</v>
      </c>
    </row>
    <row r="777" spans="4:7" customFormat="1" x14ac:dyDescent="0.35">
      <c r="D777" s="51">
        <v>45050</v>
      </c>
      <c r="E777" s="57">
        <v>0.98288299999999995</v>
      </c>
      <c r="F777" s="57">
        <v>1.0871918236966205</v>
      </c>
      <c r="G777" s="2">
        <v>62.509668044527295</v>
      </c>
    </row>
    <row r="778" spans="4:7" customFormat="1" x14ac:dyDescent="0.35">
      <c r="D778" s="51">
        <v>45049</v>
      </c>
      <c r="E778" s="57">
        <v>0.99888100000000002</v>
      </c>
      <c r="F778" s="57">
        <v>1.0859752560459039</v>
      </c>
      <c r="G778" s="2">
        <v>62.579694722922248</v>
      </c>
    </row>
    <row r="779" spans="4:7" customFormat="1" x14ac:dyDescent="0.35">
      <c r="D779" s="51">
        <v>45048</v>
      </c>
      <c r="E779" s="57">
        <v>0.99428000000000005</v>
      </c>
      <c r="F779" s="57">
        <v>1.0797634775813214</v>
      </c>
      <c r="G779" s="2">
        <v>62.939709863340553</v>
      </c>
    </row>
    <row r="780" spans="4:7" customFormat="1" x14ac:dyDescent="0.35">
      <c r="D780" s="51">
        <v>45047</v>
      </c>
      <c r="E780" s="57">
        <v>0.97824100000000003</v>
      </c>
      <c r="F780" s="57">
        <v>1.0562689040726294</v>
      </c>
      <c r="G780" s="2">
        <v>64.339676892852125</v>
      </c>
    </row>
    <row r="781" spans="4:7" customFormat="1" x14ac:dyDescent="0.35">
      <c r="D781" s="51">
        <v>45046</v>
      </c>
      <c r="E781" s="57">
        <v>1</v>
      </c>
      <c r="F781" s="57">
        <v>1.0562689040726294</v>
      </c>
      <c r="G781" s="2">
        <v>64.339676892852125</v>
      </c>
    </row>
    <row r="782" spans="4:7" customFormat="1" x14ac:dyDescent="0.35">
      <c r="D782" s="51">
        <v>45045</v>
      </c>
      <c r="E782" s="57">
        <v>1</v>
      </c>
      <c r="F782" s="57">
        <v>1.0562689040726294</v>
      </c>
      <c r="G782" s="2">
        <v>64.339676892852125</v>
      </c>
    </row>
    <row r="783" spans="4:7" customFormat="1" x14ac:dyDescent="0.35">
      <c r="D783" s="51">
        <v>45044</v>
      </c>
      <c r="E783" s="57">
        <v>1.0018689999999999</v>
      </c>
      <c r="F783" s="57">
        <v>1.0582430706543411</v>
      </c>
      <c r="G783" s="2">
        <v>64.219650366317481</v>
      </c>
    </row>
    <row r="784" spans="4:7" customFormat="1" x14ac:dyDescent="0.35">
      <c r="D784" s="51">
        <v>45043</v>
      </c>
      <c r="E784" s="57">
        <v>1.070333</v>
      </c>
      <c r="F784" s="57">
        <v>1.1326724805426729</v>
      </c>
      <c r="G784" s="2">
        <v>59.999692026983638</v>
      </c>
    </row>
    <row r="785" spans="4:7" customFormat="1" x14ac:dyDescent="0.35">
      <c r="D785" s="51">
        <v>45042</v>
      </c>
      <c r="E785" s="57">
        <v>1.0106109999999999</v>
      </c>
      <c r="F785" s="57">
        <v>1.1446912682337111</v>
      </c>
      <c r="G785" s="2">
        <v>59.369719928818945</v>
      </c>
    </row>
    <row r="786" spans="4:7" customFormat="1" x14ac:dyDescent="0.35">
      <c r="D786" s="51">
        <v>45041</v>
      </c>
      <c r="E786" s="57">
        <v>0.96599400000000002</v>
      </c>
      <c r="F786" s="57">
        <v>1.1057648969661555</v>
      </c>
      <c r="G786" s="2">
        <v>61.45971913781964</v>
      </c>
    </row>
    <row r="787" spans="4:7" customFormat="1" x14ac:dyDescent="0.35">
      <c r="D787" s="51">
        <v>45040</v>
      </c>
      <c r="E787" s="57">
        <v>0.98826199999999997</v>
      </c>
      <c r="F787" s="57">
        <v>1.0927854286055667</v>
      </c>
      <c r="G787" s="2">
        <v>62.189701858231572</v>
      </c>
    </row>
    <row r="788" spans="4:7" customFormat="1" x14ac:dyDescent="0.35">
      <c r="D788" s="51">
        <v>45039</v>
      </c>
      <c r="E788" s="57">
        <v>1</v>
      </c>
      <c r="F788" s="57">
        <v>1.0927854286055667</v>
      </c>
      <c r="G788" s="2">
        <v>62.189701858231572</v>
      </c>
    </row>
    <row r="789" spans="4:7" customFormat="1" x14ac:dyDescent="0.35">
      <c r="D789" s="51">
        <v>45038</v>
      </c>
      <c r="E789" s="57">
        <v>1</v>
      </c>
      <c r="F789" s="57">
        <v>1.0927854286055667</v>
      </c>
      <c r="G789" s="2">
        <v>62.189701858231572</v>
      </c>
    </row>
    <row r="790" spans="4:7" customFormat="1" x14ac:dyDescent="0.35">
      <c r="D790" s="51">
        <v>45037</v>
      </c>
      <c r="E790" s="57">
        <v>0.99951800000000002</v>
      </c>
      <c r="F790" s="57">
        <v>1.0922587060289788</v>
      </c>
      <c r="G790" s="2">
        <v>62.219691749654906</v>
      </c>
    </row>
    <row r="791" spans="4:7" customFormat="1" x14ac:dyDescent="0.35">
      <c r="D791" s="51">
        <v>45036</v>
      </c>
      <c r="E791" s="57">
        <v>1.0099009999999999</v>
      </c>
      <c r="F791" s="57">
        <v>1.1030731594773717</v>
      </c>
      <c r="G791" s="2">
        <v>61.609694167700503</v>
      </c>
    </row>
    <row r="792" spans="4:7" customFormat="1" x14ac:dyDescent="0.35">
      <c r="D792" s="51">
        <v>45035</v>
      </c>
      <c r="E792" s="57">
        <v>0.99178999999999995</v>
      </c>
      <c r="F792" s="57">
        <v>1.0940169288380623</v>
      </c>
      <c r="G792" s="2">
        <v>62.119696879077736</v>
      </c>
    </row>
    <row r="793" spans="4:7" customFormat="1" x14ac:dyDescent="0.35">
      <c r="D793" s="51">
        <v>45034</v>
      </c>
      <c r="E793" s="57">
        <v>1.0150330000000001</v>
      </c>
      <c r="F793" s="57">
        <v>1.1104632853292851</v>
      </c>
      <c r="G793" s="2">
        <v>61.199682058689454</v>
      </c>
    </row>
    <row r="794" spans="4:7" customFormat="1" x14ac:dyDescent="0.35">
      <c r="D794" s="51">
        <v>45033</v>
      </c>
      <c r="E794" s="57">
        <v>1.0084029999999999</v>
      </c>
      <c r="F794" s="57">
        <v>1.1197945083159069</v>
      </c>
      <c r="G794" s="2">
        <v>60.689706455345195</v>
      </c>
    </row>
    <row r="795" spans="4:7" customFormat="1" x14ac:dyDescent="0.35">
      <c r="D795" s="51">
        <v>45032</v>
      </c>
      <c r="E795" s="57">
        <v>1</v>
      </c>
      <c r="F795" s="57">
        <v>1.1197945083159069</v>
      </c>
      <c r="G795" s="2">
        <v>60.689706455345195</v>
      </c>
    </row>
    <row r="796" spans="4:7" customFormat="1" x14ac:dyDescent="0.35">
      <c r="D796" s="51">
        <v>45031</v>
      </c>
      <c r="E796" s="57">
        <v>1</v>
      </c>
      <c r="F796" s="57">
        <v>1.1197945083159069</v>
      </c>
      <c r="G796" s="2">
        <v>60.689706455345195</v>
      </c>
    </row>
    <row r="797" spans="4:7" customFormat="1" x14ac:dyDescent="0.35">
      <c r="D797" s="51">
        <v>45030</v>
      </c>
      <c r="E797" s="57">
        <v>0.98956500000000003</v>
      </c>
      <c r="F797" s="57">
        <v>1.1081094526216304</v>
      </c>
      <c r="G797" s="2">
        <v>61.32968168371476</v>
      </c>
    </row>
    <row r="798" spans="4:7" customFormat="1" x14ac:dyDescent="0.35">
      <c r="D798" s="51">
        <v>45029</v>
      </c>
      <c r="E798" s="57">
        <v>1.0218259999999999</v>
      </c>
      <c r="F798" s="57">
        <v>1.1322950495345501</v>
      </c>
      <c r="G798" s="2">
        <v>60.019691888555158</v>
      </c>
    </row>
    <row r="799" spans="4:7" customFormat="1" x14ac:dyDescent="0.35">
      <c r="D799" s="51">
        <v>45028</v>
      </c>
      <c r="E799" s="57">
        <v>0.97577599999999998</v>
      </c>
      <c r="F799" s="57">
        <v>1.104866334254625</v>
      </c>
      <c r="G799" s="2">
        <v>61.509702932389366</v>
      </c>
    </row>
    <row r="800" spans="4:7" customFormat="1" x14ac:dyDescent="0.35">
      <c r="D800" s="51">
        <v>45027</v>
      </c>
      <c r="E800" s="57">
        <v>0.99983699999999998</v>
      </c>
      <c r="F800" s="57">
        <v>1.1046862410421414</v>
      </c>
      <c r="G800" s="2">
        <v>61.519730648485073</v>
      </c>
    </row>
    <row r="801" spans="4:7" customFormat="1" x14ac:dyDescent="0.35">
      <c r="D801" s="51">
        <v>45026</v>
      </c>
      <c r="E801" s="57">
        <v>1.0110110000000001</v>
      </c>
      <c r="F801" s="57">
        <v>1.1168499412422566</v>
      </c>
      <c r="G801" s="2">
        <v>60.849714442755882</v>
      </c>
    </row>
    <row r="802" spans="4:7" customFormat="1" x14ac:dyDescent="0.35">
      <c r="D802" s="51">
        <v>45025</v>
      </c>
      <c r="E802" s="57">
        <v>1</v>
      </c>
      <c r="F802" s="57">
        <v>1.1168499412422566</v>
      </c>
      <c r="G802" s="2">
        <v>60.849714442755882</v>
      </c>
    </row>
    <row r="803" spans="4:7" customFormat="1" x14ac:dyDescent="0.35">
      <c r="D803" s="51">
        <v>45024</v>
      </c>
      <c r="E803" s="57">
        <v>1</v>
      </c>
      <c r="F803" s="57">
        <v>1.1168499412422566</v>
      </c>
      <c r="G803" s="2">
        <v>60.849714442755882</v>
      </c>
    </row>
    <row r="804" spans="4:7" customFormat="1" x14ac:dyDescent="0.35">
      <c r="D804" s="51">
        <v>45023</v>
      </c>
      <c r="E804" s="57">
        <v>1</v>
      </c>
      <c r="F804" s="57">
        <v>1.1168499412422566</v>
      </c>
      <c r="G804" s="2">
        <v>60.849714442755882</v>
      </c>
    </row>
    <row r="805" spans="4:7" customFormat="1" x14ac:dyDescent="0.35">
      <c r="D805" s="51">
        <v>45022</v>
      </c>
      <c r="E805" s="57">
        <v>1.0376879999999999</v>
      </c>
      <c r="F805" s="57">
        <v>1.1589417818277947</v>
      </c>
      <c r="G805" s="2">
        <v>58.639701377250077</v>
      </c>
    </row>
    <row r="806" spans="4:7" customFormat="1" x14ac:dyDescent="0.35">
      <c r="D806" s="51">
        <v>45021</v>
      </c>
      <c r="E806" s="57">
        <v>0.96797599999999995</v>
      </c>
      <c r="F806" s="57">
        <v>1.1218278302065414</v>
      </c>
      <c r="G806" s="2">
        <v>60.57970587829665</v>
      </c>
    </row>
    <row r="807" spans="4:7" customFormat="1" x14ac:dyDescent="0.35">
      <c r="D807" s="51">
        <v>45020</v>
      </c>
      <c r="E807" s="57">
        <v>1.0019849999999999</v>
      </c>
      <c r="F807" s="57">
        <v>1.1240546584495013</v>
      </c>
      <c r="G807" s="2">
        <v>60.459693386923618</v>
      </c>
    </row>
    <row r="808" spans="4:7" customFormat="1" x14ac:dyDescent="0.35">
      <c r="D808" s="51">
        <v>45019</v>
      </c>
      <c r="E808" s="57">
        <v>0.99261200000000005</v>
      </c>
      <c r="F808" s="57">
        <v>1.1157501426328764</v>
      </c>
      <c r="G808" s="2">
        <v>60.909694207730325</v>
      </c>
    </row>
    <row r="809" spans="4:7" customFormat="1" x14ac:dyDescent="0.35">
      <c r="D809" s="51">
        <v>45018</v>
      </c>
      <c r="E809" s="57">
        <v>1</v>
      </c>
      <c r="F809" s="57">
        <v>1.1157501426328764</v>
      </c>
      <c r="G809" s="2">
        <v>60.909694207730325</v>
      </c>
    </row>
    <row r="810" spans="4:7" customFormat="1" x14ac:dyDescent="0.35">
      <c r="D810" s="51">
        <v>45017</v>
      </c>
      <c r="E810" s="57">
        <v>1</v>
      </c>
      <c r="F810" s="57">
        <v>1.1157501426328764</v>
      </c>
      <c r="G810" s="2">
        <v>60.909694207730325</v>
      </c>
    </row>
    <row r="811" spans="4:7" customFormat="1" x14ac:dyDescent="0.35">
      <c r="D811" s="51">
        <v>45016</v>
      </c>
      <c r="E811" s="57">
        <v>1.013646</v>
      </c>
      <c r="F811" s="57">
        <v>1.1309756690792447</v>
      </c>
      <c r="G811" s="2">
        <v>60.089710024732817</v>
      </c>
    </row>
    <row r="812" spans="4:7" customFormat="1" x14ac:dyDescent="0.35">
      <c r="D812" s="51">
        <v>45015</v>
      </c>
      <c r="E812" s="57">
        <v>1.004178</v>
      </c>
      <c r="F812" s="57">
        <v>1.1357008854246577</v>
      </c>
      <c r="G812" s="2">
        <v>59.839699759139137</v>
      </c>
    </row>
    <row r="813" spans="4:7" customFormat="1" x14ac:dyDescent="0.35">
      <c r="D813" s="51">
        <v>45014</v>
      </c>
      <c r="E813" s="57">
        <v>1.0274730000000001</v>
      </c>
      <c r="F813" s="57">
        <v>1.1669019958499294</v>
      </c>
      <c r="G813" s="2">
        <v>58.239681002945218</v>
      </c>
    </row>
    <row r="814" spans="4:7" customFormat="1" x14ac:dyDescent="0.35">
      <c r="D814" s="51">
        <v>45013</v>
      </c>
      <c r="E814" s="57">
        <v>0.97228700000000001</v>
      </c>
      <c r="F814" s="57">
        <v>1.1345636408389403</v>
      </c>
      <c r="G814" s="2">
        <v>59.899680858579018</v>
      </c>
    </row>
    <row r="815" spans="4:7" customFormat="1" x14ac:dyDescent="0.35">
      <c r="D815" s="51">
        <v>45012</v>
      </c>
      <c r="E815" s="57">
        <v>0.99090199999999995</v>
      </c>
      <c r="F815" s="57">
        <v>1.1242413808345877</v>
      </c>
      <c r="G815" s="2">
        <v>60.449651790569618</v>
      </c>
    </row>
    <row r="816" spans="4:7" customFormat="1" x14ac:dyDescent="0.35">
      <c r="D816" s="51">
        <v>45011</v>
      </c>
      <c r="E816" s="57">
        <v>1</v>
      </c>
      <c r="F816" s="57">
        <v>1.1242413808345877</v>
      </c>
      <c r="G816" s="2">
        <v>60.449651790569618</v>
      </c>
    </row>
    <row r="817" spans="4:7" customFormat="1" x14ac:dyDescent="0.35">
      <c r="D817" s="51">
        <v>45010</v>
      </c>
      <c r="E817" s="57">
        <v>1</v>
      </c>
      <c r="F817" s="57">
        <v>1.1242413808345877</v>
      </c>
      <c r="G817" s="2">
        <v>60.449651790569618</v>
      </c>
    </row>
    <row r="818" spans="4:7" customFormat="1" x14ac:dyDescent="0.35">
      <c r="D818" s="51">
        <v>45009</v>
      </c>
      <c r="E818" s="57">
        <v>1.0043200000000001</v>
      </c>
      <c r="F818" s="57">
        <v>1.1290981035997931</v>
      </c>
      <c r="G818" s="2">
        <v>60.189632577833379</v>
      </c>
    </row>
    <row r="819" spans="4:7" customFormat="1" x14ac:dyDescent="0.35">
      <c r="D819" s="51">
        <v>45008</v>
      </c>
      <c r="E819" s="57">
        <v>1.039731</v>
      </c>
      <c r="F819" s="57">
        <v>1.1739583003539165</v>
      </c>
      <c r="G819" s="2">
        <v>57.889620082341857</v>
      </c>
    </row>
    <row r="820" spans="4:7" customFormat="1" x14ac:dyDescent="0.35">
      <c r="D820" s="51">
        <v>45007</v>
      </c>
      <c r="E820" s="57">
        <v>0.97721100000000005</v>
      </c>
      <c r="F820" s="57">
        <v>1.1472049646471512</v>
      </c>
      <c r="G820" s="2">
        <v>59.239632057295559</v>
      </c>
    </row>
    <row r="821" spans="4:7" customFormat="1" x14ac:dyDescent="0.35">
      <c r="D821" s="51">
        <v>45006</v>
      </c>
      <c r="E821" s="57">
        <v>1.042224</v>
      </c>
      <c r="F821" s="57">
        <v>1.1956445470744126</v>
      </c>
      <c r="G821" s="2">
        <v>56.839635296534674</v>
      </c>
    </row>
    <row r="822" spans="4:7" customFormat="1" x14ac:dyDescent="0.35">
      <c r="D822" s="51">
        <v>45005</v>
      </c>
      <c r="E822" s="57">
        <v>0.97145800000000004</v>
      </c>
      <c r="F822" s="57">
        <v>1.1615184604118147</v>
      </c>
      <c r="G822" s="2">
        <v>58.509616778630338</v>
      </c>
    </row>
    <row r="823" spans="4:7" customFormat="1" x14ac:dyDescent="0.35">
      <c r="D823" s="51">
        <v>45004</v>
      </c>
      <c r="E823" s="57">
        <v>1</v>
      </c>
      <c r="F823" s="57">
        <v>1.1615184604118147</v>
      </c>
      <c r="G823" s="2">
        <v>58.509616778630338</v>
      </c>
    </row>
    <row r="824" spans="4:7" customFormat="1" x14ac:dyDescent="0.35">
      <c r="D824" s="51">
        <v>45003</v>
      </c>
      <c r="E824" s="57">
        <v>1</v>
      </c>
      <c r="F824" s="57">
        <v>1.1615184604118147</v>
      </c>
      <c r="G824" s="2">
        <v>58.509616778630338</v>
      </c>
    </row>
    <row r="825" spans="4:7" customFormat="1" x14ac:dyDescent="0.35">
      <c r="D825" s="51">
        <v>45002</v>
      </c>
      <c r="E825" s="57">
        <v>0.99371600000000004</v>
      </c>
      <c r="F825" s="57">
        <v>1.1542194784065869</v>
      </c>
      <c r="G825" s="2">
        <v>58.879616287380237</v>
      </c>
    </row>
    <row r="826" spans="4:7" customFormat="1" x14ac:dyDescent="0.35">
      <c r="D826" s="51">
        <v>45001</v>
      </c>
      <c r="E826" s="57">
        <v>1.068797</v>
      </c>
      <c r="F826" s="57">
        <v>1.2336263158625249</v>
      </c>
      <c r="G826" s="2">
        <v>55.089615977009885</v>
      </c>
    </row>
    <row r="827" spans="4:7" customFormat="1" x14ac:dyDescent="0.35">
      <c r="D827" s="51">
        <v>45000</v>
      </c>
      <c r="E827" s="57">
        <v>0.97452700000000003</v>
      </c>
      <c r="F827" s="57">
        <v>1.2022021527185589</v>
      </c>
      <c r="G827" s="2">
        <v>56.529594333466264</v>
      </c>
    </row>
    <row r="828" spans="4:7" customFormat="1" x14ac:dyDescent="0.35">
      <c r="D828" s="51">
        <v>44999</v>
      </c>
      <c r="E828" s="57">
        <v>1.042028</v>
      </c>
      <c r="F828" s="57">
        <v>1.2527283047930144</v>
      </c>
      <c r="G828" s="2">
        <v>54.249592461494572</v>
      </c>
    </row>
    <row r="829" spans="4:7" customFormat="1" x14ac:dyDescent="0.35">
      <c r="D829" s="51">
        <v>44998</v>
      </c>
      <c r="E829" s="57">
        <v>1.0168699999999999</v>
      </c>
      <c r="F829" s="57">
        <v>1.2738618312948726</v>
      </c>
      <c r="G829" s="2">
        <v>53.349584963165967</v>
      </c>
    </row>
    <row r="830" spans="4:7" customFormat="1" x14ac:dyDescent="0.35">
      <c r="D830" s="51">
        <v>44997</v>
      </c>
      <c r="E830" s="57">
        <v>1</v>
      </c>
      <c r="F830" s="57">
        <v>1.2738618312948726</v>
      </c>
      <c r="G830" s="2">
        <v>53.349584963165967</v>
      </c>
    </row>
    <row r="831" spans="4:7" customFormat="1" x14ac:dyDescent="0.35">
      <c r="D831" s="51">
        <v>44996</v>
      </c>
      <c r="E831" s="57">
        <v>1</v>
      </c>
      <c r="F831" s="57">
        <v>1.2738618312948726</v>
      </c>
      <c r="G831" s="2">
        <v>53.349584963165967</v>
      </c>
    </row>
    <row r="832" spans="4:7" customFormat="1" x14ac:dyDescent="0.35">
      <c r="D832" s="51">
        <v>44995</v>
      </c>
      <c r="E832" s="57">
        <v>0.95677900000000005</v>
      </c>
      <c r="F832" s="57">
        <v>1.218804249084477</v>
      </c>
      <c r="G832" s="2">
        <v>55.759569308237282</v>
      </c>
    </row>
    <row r="833" spans="4:7" customFormat="1" x14ac:dyDescent="0.35">
      <c r="D833" s="51">
        <v>44994</v>
      </c>
      <c r="E833" s="57">
        <v>0.95774599999999999</v>
      </c>
      <c r="F833" s="57">
        <v>1.1673048943436615</v>
      </c>
      <c r="G833" s="2">
        <v>58.219579416919814</v>
      </c>
    </row>
    <row r="834" spans="4:7" customFormat="1" x14ac:dyDescent="0.35">
      <c r="D834" s="51">
        <v>44993</v>
      </c>
      <c r="E834" s="57">
        <v>1.010062</v>
      </c>
      <c r="F834" s="57">
        <v>1.1790503161905475</v>
      </c>
      <c r="G834" s="2">
        <v>57.639609664475856</v>
      </c>
    </row>
    <row r="835" spans="4:7" customFormat="1" x14ac:dyDescent="0.35">
      <c r="D835" s="51">
        <v>44992</v>
      </c>
      <c r="E835" s="57">
        <v>1.0142530000000001</v>
      </c>
      <c r="F835" s="57">
        <v>1.1958553203472113</v>
      </c>
      <c r="G835" s="2">
        <v>56.829617131500576</v>
      </c>
    </row>
    <row r="836" spans="4:7" customFormat="1" x14ac:dyDescent="0.35">
      <c r="D836" s="51">
        <v>44991</v>
      </c>
      <c r="E836" s="57">
        <v>0.99197100000000005</v>
      </c>
      <c r="F836" s="57">
        <v>1.1862537979801435</v>
      </c>
      <c r="G836" s="2">
        <v>57.289595292100856</v>
      </c>
    </row>
    <row r="837" spans="4:7" customFormat="1" x14ac:dyDescent="0.35">
      <c r="D837" s="51">
        <v>44990</v>
      </c>
      <c r="E837" s="57">
        <v>1</v>
      </c>
      <c r="F837" s="57">
        <v>1.1862537979801435</v>
      </c>
      <c r="G837" s="2">
        <v>57.289595292100856</v>
      </c>
    </row>
    <row r="838" spans="4:7" customFormat="1" x14ac:dyDescent="0.35">
      <c r="D838" s="51">
        <v>44989</v>
      </c>
      <c r="E838" s="57">
        <v>1</v>
      </c>
      <c r="F838" s="57">
        <v>1.1862537979801435</v>
      </c>
      <c r="G838" s="2">
        <v>57.289595292100856</v>
      </c>
    </row>
    <row r="839" spans="4:7" customFormat="1" x14ac:dyDescent="0.35">
      <c r="D839" s="51">
        <v>44988</v>
      </c>
      <c r="E839" s="57">
        <v>1.01596</v>
      </c>
      <c r="F839" s="57">
        <v>1.2051864085959065</v>
      </c>
      <c r="G839" s="2">
        <v>56.389617004705762</v>
      </c>
    </row>
    <row r="840" spans="4:7" customFormat="1" x14ac:dyDescent="0.35">
      <c r="D840" s="51">
        <v>44987</v>
      </c>
      <c r="E840" s="57">
        <v>1.0176860000000001</v>
      </c>
      <c r="F840" s="57">
        <v>1.2265013354183338</v>
      </c>
      <c r="G840" s="2">
        <v>55.40964207496787</v>
      </c>
    </row>
    <row r="841" spans="4:7" customFormat="1" x14ac:dyDescent="0.35">
      <c r="D841" s="51">
        <v>44986</v>
      </c>
      <c r="E841" s="57">
        <v>0.99017200000000005</v>
      </c>
      <c r="F841" s="57">
        <v>1.2144472802938424</v>
      </c>
      <c r="G841" s="2">
        <v>55.95961315303591</v>
      </c>
    </row>
    <row r="842" spans="4:7" customFormat="1" x14ac:dyDescent="0.35">
      <c r="D842" s="51">
        <v>44985</v>
      </c>
      <c r="E842" s="57">
        <v>1.0159769999999999</v>
      </c>
      <c r="F842" s="57">
        <v>1.233850504491097</v>
      </c>
      <c r="G842" s="2">
        <v>55.079606283445308</v>
      </c>
    </row>
    <row r="843" spans="4:7" customFormat="1" x14ac:dyDescent="0.35">
      <c r="D843" s="51">
        <v>44984</v>
      </c>
      <c r="E843" s="57">
        <v>1.0020009999999999</v>
      </c>
      <c r="F843" s="57">
        <v>1.2363194393505836</v>
      </c>
      <c r="G843" s="2">
        <v>54.969612089653914</v>
      </c>
    </row>
    <row r="844" spans="4:7" customFormat="1" x14ac:dyDescent="0.35">
      <c r="D844" s="51">
        <v>44983</v>
      </c>
      <c r="E844" s="57">
        <v>1</v>
      </c>
      <c r="F844" s="57">
        <v>1.2363194393505836</v>
      </c>
      <c r="G844" s="2">
        <v>54.969612089653914</v>
      </c>
    </row>
    <row r="845" spans="4:7" customFormat="1" x14ac:dyDescent="0.35">
      <c r="D845" s="51">
        <v>44982</v>
      </c>
      <c r="E845" s="57">
        <v>1</v>
      </c>
      <c r="F845" s="57">
        <v>1.2363194393505836</v>
      </c>
      <c r="G845" s="2">
        <v>54.969612089653914</v>
      </c>
    </row>
    <row r="846" spans="4:7" customFormat="1" x14ac:dyDescent="0.35">
      <c r="D846" s="51">
        <v>44981</v>
      </c>
      <c r="E846" s="57">
        <v>0.977244</v>
      </c>
      <c r="F846" s="57">
        <v>1.2081857541887218</v>
      </c>
      <c r="G846" s="2">
        <v>56.249628638962136</v>
      </c>
    </row>
    <row r="847" spans="4:7" customFormat="1" x14ac:dyDescent="0.35">
      <c r="D847" s="51">
        <v>44980</v>
      </c>
      <c r="E847" s="57">
        <v>0.99716400000000005</v>
      </c>
      <c r="F847" s="57">
        <v>1.2047593393898426</v>
      </c>
      <c r="G847" s="2">
        <v>56.409606282378967</v>
      </c>
    </row>
    <row r="848" spans="4:7" customFormat="1" x14ac:dyDescent="0.35">
      <c r="D848" s="51">
        <v>44979</v>
      </c>
      <c r="E848" s="57">
        <v>0.99400900000000003</v>
      </c>
      <c r="F848" s="57">
        <v>1.197541626187558</v>
      </c>
      <c r="G848" s="2">
        <v>56.74959309460877</v>
      </c>
    </row>
    <row r="849" spans="4:7" customFormat="1" x14ac:dyDescent="0.35">
      <c r="D849" s="51">
        <v>44978</v>
      </c>
      <c r="E849" s="57">
        <v>0.94112799999999996</v>
      </c>
      <c r="F849" s="57">
        <v>1.1270399555706441</v>
      </c>
      <c r="G849" s="2">
        <v>60.299548089748434</v>
      </c>
    </row>
    <row r="850" spans="4:7" customFormat="1" x14ac:dyDescent="0.35">
      <c r="D850" s="51">
        <v>44977</v>
      </c>
      <c r="E850" s="57">
        <v>1</v>
      </c>
      <c r="F850" s="57">
        <v>1.1270399555706441</v>
      </c>
      <c r="G850" s="2">
        <v>60.299548089748434</v>
      </c>
    </row>
    <row r="851" spans="4:7" customFormat="1" x14ac:dyDescent="0.35">
      <c r="D851" s="51">
        <v>44976</v>
      </c>
      <c r="E851" s="57">
        <v>1</v>
      </c>
      <c r="F851" s="57">
        <v>1.1270399555706441</v>
      </c>
      <c r="G851" s="2">
        <v>60.299548089748434</v>
      </c>
    </row>
    <row r="852" spans="4:7" customFormat="1" x14ac:dyDescent="0.35">
      <c r="D852" s="51">
        <v>44975</v>
      </c>
      <c r="E852" s="57">
        <v>1</v>
      </c>
      <c r="F852" s="57">
        <v>1.1270399555706441</v>
      </c>
      <c r="G852" s="2">
        <v>60.299548089748434</v>
      </c>
    </row>
    <row r="853" spans="4:7" customFormat="1" x14ac:dyDescent="0.35">
      <c r="D853" s="51">
        <v>44974</v>
      </c>
      <c r="E853" s="57">
        <v>0.95608099999999996</v>
      </c>
      <c r="F853" s="57">
        <v>1.0775414877619369</v>
      </c>
      <c r="G853" s="2">
        <v>63.069497343581183</v>
      </c>
    </row>
    <row r="854" spans="4:7" customFormat="1" x14ac:dyDescent="0.35">
      <c r="D854" s="51">
        <v>44973</v>
      </c>
      <c r="E854" s="57">
        <v>0.95128199999999996</v>
      </c>
      <c r="F854" s="57">
        <v>1.0250458215611509</v>
      </c>
      <c r="G854" s="2">
        <v>66.299475175164858</v>
      </c>
    </row>
    <row r="855" spans="4:7" customFormat="1" x14ac:dyDescent="0.35">
      <c r="D855" s="51">
        <v>44972</v>
      </c>
      <c r="E855" s="57">
        <v>1.328125</v>
      </c>
      <c r="F855" s="57">
        <v>1.3613889817609035</v>
      </c>
      <c r="G855" s="2">
        <v>49.919604837771189</v>
      </c>
    </row>
    <row r="856" spans="4:7" customFormat="1" x14ac:dyDescent="0.35">
      <c r="D856" s="51">
        <v>44971</v>
      </c>
      <c r="E856" s="57">
        <v>1.026527</v>
      </c>
      <c r="F856" s="57">
        <v>1.3975025472800751</v>
      </c>
      <c r="G856" s="2">
        <v>48.629607246347334</v>
      </c>
    </row>
    <row r="857" spans="4:7" customFormat="1" x14ac:dyDescent="0.35">
      <c r="D857" s="51">
        <v>44970</v>
      </c>
      <c r="E857" s="57">
        <v>0.99876799999999999</v>
      </c>
      <c r="F857" s="57">
        <v>1.3957808241418259</v>
      </c>
      <c r="G857" s="2">
        <v>48.689592824707375</v>
      </c>
    </row>
    <row r="858" spans="4:7" customFormat="1" x14ac:dyDescent="0.35">
      <c r="D858" s="51">
        <v>44969</v>
      </c>
      <c r="E858" s="57">
        <v>1</v>
      </c>
      <c r="F858" s="57">
        <v>1.3957808241418259</v>
      </c>
      <c r="G858" s="2">
        <v>48.689592824707375</v>
      </c>
    </row>
    <row r="859" spans="4:7" customFormat="1" x14ac:dyDescent="0.35">
      <c r="D859" s="51">
        <v>44968</v>
      </c>
      <c r="E859" s="57">
        <v>1</v>
      </c>
      <c r="F859" s="57">
        <v>1.3957808241418259</v>
      </c>
      <c r="G859" s="2">
        <v>48.689592824707375</v>
      </c>
    </row>
    <row r="860" spans="4:7" customFormat="1" x14ac:dyDescent="0.35">
      <c r="D860" s="51">
        <v>44967</v>
      </c>
      <c r="E860" s="57">
        <v>0.97614299999999998</v>
      </c>
      <c r="F860" s="57">
        <v>1.3624816810202744</v>
      </c>
      <c r="G860" s="2">
        <v>49.879569719505618</v>
      </c>
    </row>
    <row r="861" spans="4:7" customFormat="1" x14ac:dyDescent="0.35">
      <c r="D861" s="51">
        <v>44966</v>
      </c>
      <c r="E861" s="57">
        <v>0.96386499999999997</v>
      </c>
      <c r="F861" s="57">
        <v>1.3132484054766067</v>
      </c>
      <c r="G861" s="2">
        <v>51.749539322940059</v>
      </c>
    </row>
    <row r="862" spans="4:7" customFormat="1" x14ac:dyDescent="0.35">
      <c r="D862" s="51">
        <v>44965</v>
      </c>
      <c r="E862" s="57">
        <v>0.98197299999999998</v>
      </c>
      <c r="F862" s="57">
        <v>1.2895744764710799</v>
      </c>
      <c r="G862" s="2">
        <v>52.699554186255696</v>
      </c>
    </row>
    <row r="863" spans="4:7" customFormat="1" x14ac:dyDescent="0.35">
      <c r="D863" s="51">
        <v>44964</v>
      </c>
      <c r="E863" s="57">
        <v>1.0068779999999999</v>
      </c>
      <c r="F863" s="57">
        <v>1.298444169720248</v>
      </c>
      <c r="G863" s="2">
        <v>52.339562674182666</v>
      </c>
    </row>
    <row r="864" spans="4:7" customFormat="1" x14ac:dyDescent="0.35">
      <c r="D864" s="51">
        <v>44963</v>
      </c>
      <c r="E864" s="57">
        <v>0.98568699999999998</v>
      </c>
      <c r="F864" s="57">
        <v>1.2798595383190421</v>
      </c>
      <c r="G864" s="2">
        <v>53.099576918618858</v>
      </c>
    </row>
    <row r="865" spans="4:7" customFormat="1" x14ac:dyDescent="0.35">
      <c r="D865" s="51">
        <v>44962</v>
      </c>
      <c r="E865" s="57">
        <v>1</v>
      </c>
      <c r="F865" s="57">
        <v>1.2798595383190421</v>
      </c>
      <c r="G865" s="2">
        <v>53.099576918618858</v>
      </c>
    </row>
    <row r="866" spans="4:7" customFormat="1" x14ac:dyDescent="0.35">
      <c r="D866" s="51">
        <v>44961</v>
      </c>
      <c r="E866" s="57">
        <v>1</v>
      </c>
      <c r="F866" s="57">
        <v>1.2798595383190421</v>
      </c>
      <c r="G866" s="2">
        <v>53.099576918618858</v>
      </c>
    </row>
    <row r="867" spans="4:7" customFormat="1" x14ac:dyDescent="0.35">
      <c r="D867" s="51">
        <v>44960</v>
      </c>
      <c r="E867" s="57">
        <v>0.93141600000000002</v>
      </c>
      <c r="F867" s="57">
        <v>1.1920816517429689</v>
      </c>
      <c r="G867" s="2">
        <v>57.009517679123888</v>
      </c>
    </row>
    <row r="868" spans="4:7" customFormat="1" x14ac:dyDescent="0.35">
      <c r="D868" s="51">
        <v>44959</v>
      </c>
      <c r="E868" s="57">
        <v>1.0898490000000001</v>
      </c>
      <c r="F868" s="57">
        <v>1.299188996070423</v>
      </c>
      <c r="G868" s="2">
        <v>52.309556350580571</v>
      </c>
    </row>
    <row r="869" spans="4:7" customFormat="1" x14ac:dyDescent="0.35">
      <c r="D869" s="51">
        <v>44958</v>
      </c>
      <c r="E869" s="57">
        <v>1.031755</v>
      </c>
      <c r="F869" s="57">
        <v>1.3404447426406394</v>
      </c>
      <c r="G869" s="2">
        <v>50.699590843349988</v>
      </c>
    </row>
    <row r="870" spans="4:7" customFormat="1" x14ac:dyDescent="0.35">
      <c r="D870" s="51">
        <v>44957</v>
      </c>
      <c r="E870" s="57">
        <v>1.0300689999999999</v>
      </c>
      <c r="F870" s="57">
        <v>1.3807505756071006</v>
      </c>
      <c r="G870" s="2">
        <v>49.219606495632817</v>
      </c>
    </row>
    <row r="871" spans="4:7" customFormat="1" x14ac:dyDescent="0.35">
      <c r="D871" s="51">
        <v>44956</v>
      </c>
      <c r="E871" s="57">
        <v>0.94744899999999999</v>
      </c>
      <c r="F871" s="57">
        <v>1.3081907521083718</v>
      </c>
      <c r="G871" s="2">
        <v>51.949610475743619</v>
      </c>
    </row>
    <row r="872" spans="4:7" customFormat="1" x14ac:dyDescent="0.35">
      <c r="D872" s="51">
        <v>44955</v>
      </c>
      <c r="E872" s="57">
        <v>1</v>
      </c>
      <c r="F872" s="57">
        <v>1.3081907521083718</v>
      </c>
      <c r="G872" s="2">
        <v>51.949610475743619</v>
      </c>
    </row>
    <row r="873" spans="4:7" customFormat="1" x14ac:dyDescent="0.35">
      <c r="D873" s="51">
        <v>44954</v>
      </c>
      <c r="E873" s="57">
        <v>1</v>
      </c>
      <c r="F873" s="57">
        <v>1.3081907521083718</v>
      </c>
      <c r="G873" s="2">
        <v>51.949610475743619</v>
      </c>
    </row>
    <row r="874" spans="4:7" customFormat="1" x14ac:dyDescent="0.35">
      <c r="D874" s="51">
        <v>44953</v>
      </c>
      <c r="E874" s="57">
        <v>1.0442210000000001</v>
      </c>
      <c r="F874" s="57">
        <v>1.3660402553573561</v>
      </c>
      <c r="G874" s="2">
        <v>49.749631999110932</v>
      </c>
    </row>
    <row r="875" spans="4:7" customFormat="1" x14ac:dyDescent="0.35">
      <c r="D875" s="51">
        <v>44952</v>
      </c>
      <c r="E875" s="57">
        <v>1.0213509999999999</v>
      </c>
      <c r="F875" s="57">
        <v>1.3952065808494909</v>
      </c>
      <c r="G875" s="2">
        <v>48.709632632768695</v>
      </c>
    </row>
    <row r="876" spans="4:7" customFormat="1" x14ac:dyDescent="0.35">
      <c r="D876" s="51">
        <v>44951</v>
      </c>
      <c r="E876" s="57">
        <v>1.0228900000000001</v>
      </c>
      <c r="F876" s="57">
        <v>1.4271428594851359</v>
      </c>
      <c r="G876" s="2">
        <v>47.619619541464566</v>
      </c>
    </row>
    <row r="877" spans="4:7" customFormat="1" x14ac:dyDescent="0.35">
      <c r="D877" s="51">
        <v>44950</v>
      </c>
      <c r="E877" s="57">
        <v>1.009112</v>
      </c>
      <c r="F877" s="57">
        <v>1.4401469852207645</v>
      </c>
      <c r="G877" s="2">
        <v>47.189627654278773</v>
      </c>
    </row>
    <row r="878" spans="4:7" customFormat="1" x14ac:dyDescent="0.35">
      <c r="D878" s="51">
        <v>44949</v>
      </c>
      <c r="E878" s="57">
        <v>1.03555</v>
      </c>
      <c r="F878" s="57">
        <v>1.4913442105453625</v>
      </c>
      <c r="G878" s="2">
        <v>45.569627400201611</v>
      </c>
    </row>
    <row r="879" spans="4:7" customFormat="1" x14ac:dyDescent="0.35">
      <c r="D879" s="51">
        <v>44948</v>
      </c>
      <c r="E879" s="57">
        <v>1</v>
      </c>
      <c r="F879" s="57">
        <v>1.4913442105453625</v>
      </c>
      <c r="G879" s="2">
        <v>45.569627400201611</v>
      </c>
    </row>
    <row r="880" spans="4:7" customFormat="1" x14ac:dyDescent="0.35">
      <c r="D880" s="51">
        <v>44947</v>
      </c>
      <c r="E880" s="57">
        <v>1</v>
      </c>
      <c r="F880" s="57">
        <v>1.4913442105453625</v>
      </c>
      <c r="G880" s="2">
        <v>45.569627400201611</v>
      </c>
    </row>
    <row r="881" spans="4:7" customFormat="1" x14ac:dyDescent="0.35">
      <c r="D881" s="51">
        <v>44946</v>
      </c>
      <c r="E881" s="57">
        <v>1.029598</v>
      </c>
      <c r="F881" s="57">
        <v>1.5354850164890841</v>
      </c>
      <c r="G881" s="2">
        <v>44.259630846409586</v>
      </c>
    </row>
    <row r="882" spans="4:7" customFormat="1" x14ac:dyDescent="0.35">
      <c r="D882" s="51">
        <v>44945</v>
      </c>
      <c r="E882" s="57">
        <v>0.96891400000000005</v>
      </c>
      <c r="F882" s="57">
        <v>1.4877529292665046</v>
      </c>
      <c r="G882" s="2">
        <v>45.679627754795142</v>
      </c>
    </row>
    <row r="883" spans="4:7" customFormat="1" x14ac:dyDescent="0.35">
      <c r="D883" s="51">
        <v>44944</v>
      </c>
      <c r="E883" s="57">
        <v>0.97047000000000005</v>
      </c>
      <c r="F883" s="57">
        <v>1.4438195852652649</v>
      </c>
      <c r="G883" s="2">
        <v>47.069592831097445</v>
      </c>
    </row>
    <row r="884" spans="4:7" customFormat="1" x14ac:dyDescent="0.35">
      <c r="D884" s="51">
        <v>44943</v>
      </c>
      <c r="E884" s="57">
        <v>1.0008509999999999</v>
      </c>
      <c r="F884" s="57">
        <v>1.4450482757323255</v>
      </c>
      <c r="G884" s="2">
        <v>47.029570666460287</v>
      </c>
    </row>
    <row r="885" spans="4:7" customFormat="1" x14ac:dyDescent="0.35">
      <c r="D885" s="51">
        <v>44942</v>
      </c>
      <c r="E885" s="57">
        <v>1</v>
      </c>
      <c r="F885" s="57">
        <v>1.4450482757323255</v>
      </c>
      <c r="G885" s="2">
        <v>47.029570666460287</v>
      </c>
    </row>
    <row r="886" spans="4:7" customFormat="1" x14ac:dyDescent="0.35">
      <c r="D886" s="51">
        <v>44941</v>
      </c>
      <c r="E886" s="57">
        <v>1</v>
      </c>
      <c r="F886" s="57">
        <v>1.4450482757323255</v>
      </c>
      <c r="G886" s="2">
        <v>47.029570666460287</v>
      </c>
    </row>
    <row r="887" spans="4:7" customFormat="1" x14ac:dyDescent="0.35">
      <c r="D887" s="51">
        <v>44940</v>
      </c>
      <c r="E887" s="57">
        <v>1</v>
      </c>
      <c r="F887" s="57">
        <v>1.4450482757323255</v>
      </c>
      <c r="G887" s="2">
        <v>47.029570666460287</v>
      </c>
    </row>
    <row r="888" spans="4:7" customFormat="1" x14ac:dyDescent="0.35">
      <c r="D888" s="51">
        <v>44939</v>
      </c>
      <c r="E888" s="57">
        <v>1.007066</v>
      </c>
      <c r="F888" s="57">
        <v>1.4552589868486501</v>
      </c>
      <c r="G888" s="2">
        <v>46.699591353953252</v>
      </c>
    </row>
    <row r="889" spans="4:7" customFormat="1" x14ac:dyDescent="0.35">
      <c r="D889" s="51">
        <v>44938</v>
      </c>
      <c r="E889" s="57">
        <v>0.98710600000000004</v>
      </c>
      <c r="F889" s="57">
        <v>1.4364948774722237</v>
      </c>
      <c r="G889" s="2">
        <v>47.309601353809271</v>
      </c>
    </row>
    <row r="890" spans="4:7" customFormat="1" x14ac:dyDescent="0.35">
      <c r="D890" s="51">
        <v>44937</v>
      </c>
      <c r="E890" s="57">
        <v>1.0550850000000001</v>
      </c>
      <c r="F890" s="57">
        <v>1.5156241977977811</v>
      </c>
      <c r="G890" s="2">
        <v>44.839611361936974</v>
      </c>
    </row>
    <row r="891" spans="4:7" customFormat="1" x14ac:dyDescent="0.35">
      <c r="D891" s="51">
        <v>44936</v>
      </c>
      <c r="E891" s="57">
        <v>1.019323</v>
      </c>
      <c r="F891" s="57">
        <v>1.5449106041718277</v>
      </c>
      <c r="G891" s="2">
        <v>43.989600315049273</v>
      </c>
    </row>
    <row r="892" spans="4:7" customFormat="1" x14ac:dyDescent="0.35">
      <c r="D892" s="51">
        <v>44935</v>
      </c>
      <c r="E892" s="57">
        <v>1.0401990000000001</v>
      </c>
      <c r="F892" s="57">
        <v>1.6070144655489311</v>
      </c>
      <c r="G892" s="2">
        <v>42.289600658190665</v>
      </c>
    </row>
    <row r="893" spans="4:7" customFormat="1" x14ac:dyDescent="0.35">
      <c r="D893" s="51">
        <v>44934</v>
      </c>
      <c r="E893" s="57">
        <v>1</v>
      </c>
      <c r="F893" s="57">
        <v>1.6070144655489311</v>
      </c>
      <c r="G893" s="2">
        <v>42.289600658190665</v>
      </c>
    </row>
    <row r="894" spans="4:7" customFormat="1" x14ac:dyDescent="0.35">
      <c r="D894" s="51">
        <v>44933</v>
      </c>
      <c r="E894" s="57">
        <v>1</v>
      </c>
      <c r="F894" s="57">
        <v>1.6070144655489311</v>
      </c>
      <c r="G894" s="2">
        <v>42.289600658190665</v>
      </c>
    </row>
    <row r="895" spans="4:7" customFormat="1" x14ac:dyDescent="0.35">
      <c r="D895" s="51">
        <v>44932</v>
      </c>
      <c r="E895" s="57">
        <v>0.99295599999999995</v>
      </c>
      <c r="F895" s="57">
        <v>1.5956946556536045</v>
      </c>
      <c r="G895" s="2">
        <v>42.589601813363998</v>
      </c>
    </row>
    <row r="896" spans="4:7" customFormat="1" x14ac:dyDescent="0.35">
      <c r="D896" s="51">
        <v>44931</v>
      </c>
      <c r="E896" s="57">
        <v>0.96118300000000001</v>
      </c>
      <c r="F896" s="57">
        <v>1.5337545762050986</v>
      </c>
      <c r="G896" s="2">
        <v>44.309566246348503</v>
      </c>
    </row>
    <row r="897" spans="4:7" customFormat="1" x14ac:dyDescent="0.35">
      <c r="D897" s="51">
        <v>44930</v>
      </c>
      <c r="E897" s="57">
        <v>1.006588</v>
      </c>
      <c r="F897" s="57">
        <v>1.5438589513531378</v>
      </c>
      <c r="G897" s="2">
        <v>44.019565349823864</v>
      </c>
    </row>
    <row r="898" spans="4:7" customFormat="1" x14ac:dyDescent="0.35">
      <c r="D898" s="51">
        <v>44929</v>
      </c>
      <c r="E898" s="57">
        <v>0.98193200000000003</v>
      </c>
      <c r="F898" s="57">
        <v>1.5159645078200894</v>
      </c>
      <c r="G898" s="2">
        <v>44.829545579351588</v>
      </c>
    </row>
    <row r="899" spans="4:7" customFormat="1" x14ac:dyDescent="0.35">
      <c r="D899" s="51">
        <v>44928</v>
      </c>
      <c r="E899" s="57">
        <v>1</v>
      </c>
      <c r="F899" s="57">
        <v>1.5159645078200894</v>
      </c>
      <c r="G899" s="2">
        <v>44.829545579351588</v>
      </c>
    </row>
    <row r="900" spans="4:7" customFormat="1" x14ac:dyDescent="0.35">
      <c r="D900" s="51">
        <v>44927</v>
      </c>
      <c r="E900" s="57">
        <v>1</v>
      </c>
      <c r="F900" s="57">
        <v>1.5159645078200894</v>
      </c>
      <c r="G900" s="2">
        <v>44.829545579351588</v>
      </c>
    </row>
    <row r="901" spans="4:7" customFormat="1" x14ac:dyDescent="0.35">
      <c r="D901" s="51">
        <v>44926</v>
      </c>
      <c r="E901" s="57">
        <v>1</v>
      </c>
      <c r="F901" s="57">
        <v>1.5159645078200894</v>
      </c>
      <c r="G901" s="2">
        <v>44.829545579351588</v>
      </c>
    </row>
    <row r="902" spans="4:7" customFormat="1" x14ac:dyDescent="0.35">
      <c r="D902" s="51">
        <v>44925</v>
      </c>
      <c r="E902" s="57">
        <v>0.98875199999999996</v>
      </c>
      <c r="F902" s="57">
        <v>1.4989129390361289</v>
      </c>
      <c r="G902" s="2">
        <v>45.33952455150694</v>
      </c>
    </row>
    <row r="903" spans="4:7" customFormat="1" x14ac:dyDescent="0.35">
      <c r="D903" s="51">
        <v>44924</v>
      </c>
      <c r="E903" s="57">
        <v>1.0466299999999999</v>
      </c>
      <c r="F903" s="57">
        <v>1.5688072493833836</v>
      </c>
      <c r="G903" s="2">
        <v>43.319534650742803</v>
      </c>
    </row>
    <row r="904" spans="4:7" customFormat="1" x14ac:dyDescent="0.35">
      <c r="D904" s="51">
        <v>44923</v>
      </c>
      <c r="E904" s="57">
        <v>0.98858999999999997</v>
      </c>
      <c r="F904" s="57">
        <v>1.5509071586679191</v>
      </c>
      <c r="G904" s="2">
        <v>43.819515320550288</v>
      </c>
    </row>
    <row r="905" spans="4:7" customFormat="1" x14ac:dyDescent="0.35">
      <c r="D905" s="51">
        <v>44922</v>
      </c>
      <c r="E905" s="57">
        <v>0.97638100000000005</v>
      </c>
      <c r="F905" s="57">
        <v>1.5142762824873415</v>
      </c>
      <c r="G905" s="2">
        <v>44.879524817207923</v>
      </c>
    </row>
    <row r="906" spans="4:7" customFormat="1" x14ac:dyDescent="0.35">
      <c r="D906" s="51">
        <v>44921</v>
      </c>
      <c r="E906" s="57">
        <v>1</v>
      </c>
      <c r="F906" s="57">
        <v>1.5142762824873415</v>
      </c>
      <c r="G906" s="2">
        <v>44.879524817207923</v>
      </c>
    </row>
    <row r="907" spans="4:7" customFormat="1" x14ac:dyDescent="0.35">
      <c r="D907" s="51">
        <v>44920</v>
      </c>
      <c r="E907" s="57">
        <v>1</v>
      </c>
      <c r="F907" s="57">
        <v>1.5142762824873415</v>
      </c>
      <c r="G907" s="2">
        <v>44.879524817207923</v>
      </c>
    </row>
    <row r="908" spans="4:7" customFormat="1" x14ac:dyDescent="0.35">
      <c r="D908" s="51">
        <v>44919</v>
      </c>
      <c r="E908" s="57">
        <v>1</v>
      </c>
      <c r="F908" s="57">
        <v>1.5142762824873415</v>
      </c>
      <c r="G908" s="2">
        <v>44.879524817207923</v>
      </c>
    </row>
    <row r="909" spans="4:7" customFormat="1" x14ac:dyDescent="0.35">
      <c r="D909" s="51">
        <v>44918</v>
      </c>
      <c r="E909" s="57">
        <v>0.99955499999999997</v>
      </c>
      <c r="F909" s="57">
        <v>1.5136024295416346</v>
      </c>
      <c r="G909" s="2">
        <v>44.899505096976078</v>
      </c>
    </row>
    <row r="910" spans="4:7" customFormat="1" x14ac:dyDescent="0.35">
      <c r="D910" s="51">
        <v>44917</v>
      </c>
      <c r="E910" s="57">
        <v>0.96414</v>
      </c>
      <c r="F910" s="57">
        <v>1.4593246464182716</v>
      </c>
      <c r="G910" s="2">
        <v>46.569486897106309</v>
      </c>
    </row>
    <row r="911" spans="4:7" customFormat="1" x14ac:dyDescent="0.35">
      <c r="D911" s="51">
        <v>44916</v>
      </c>
      <c r="E911" s="57">
        <v>0.99957099999999999</v>
      </c>
      <c r="F911" s="57">
        <v>1.4586985961449581</v>
      </c>
      <c r="G911" s="2">
        <v>46.589473781358514</v>
      </c>
    </row>
    <row r="912" spans="4:7" customFormat="1" x14ac:dyDescent="0.35">
      <c r="D912" s="51">
        <v>44915</v>
      </c>
      <c r="E912" s="57">
        <v>1.055744</v>
      </c>
      <c r="F912" s="57">
        <v>1.5400122906884628</v>
      </c>
      <c r="G912" s="2">
        <v>44.129517933664324</v>
      </c>
    </row>
    <row r="913" spans="4:7" customFormat="1" x14ac:dyDescent="0.35">
      <c r="D913" s="51">
        <v>44914</v>
      </c>
      <c r="E913" s="57">
        <v>0.95623000000000002</v>
      </c>
      <c r="F913" s="57">
        <v>1.4726059527250288</v>
      </c>
      <c r="G913" s="2">
        <v>46.149480704081988</v>
      </c>
    </row>
    <row r="914" spans="4:7" customFormat="1" x14ac:dyDescent="0.35">
      <c r="D914" s="51">
        <v>44913</v>
      </c>
      <c r="E914" s="57">
        <v>1</v>
      </c>
      <c r="F914" s="57">
        <v>1.4726059527250288</v>
      </c>
      <c r="G914" s="2">
        <v>46.149480704081988</v>
      </c>
    </row>
    <row r="915" spans="4:7" customFormat="1" x14ac:dyDescent="0.35">
      <c r="D915" s="51">
        <v>44912</v>
      </c>
      <c r="E915" s="57">
        <v>1</v>
      </c>
      <c r="F915" s="57">
        <v>1.4726059527250288</v>
      </c>
      <c r="G915" s="2">
        <v>46.149480704081988</v>
      </c>
    </row>
    <row r="916" spans="4:7" customFormat="1" x14ac:dyDescent="0.35">
      <c r="D916" s="51">
        <v>44911</v>
      </c>
      <c r="E916" s="57">
        <v>0.98653299999999999</v>
      </c>
      <c r="F916" s="57">
        <v>1.4527743683596808</v>
      </c>
      <c r="G916" s="2">
        <v>46.779459687696196</v>
      </c>
    </row>
    <row r="917" spans="4:7" customFormat="1" x14ac:dyDescent="0.35">
      <c r="D917" s="51">
        <v>44910</v>
      </c>
      <c r="E917" s="57">
        <v>0.91833500000000001</v>
      </c>
      <c r="F917" s="57">
        <v>1.3341335495675875</v>
      </c>
      <c r="G917" s="2">
        <v>50.939428082013862</v>
      </c>
    </row>
    <row r="918" spans="4:7" customFormat="1" x14ac:dyDescent="0.35">
      <c r="D918" s="51">
        <v>44909</v>
      </c>
      <c r="E918" s="57">
        <v>0.98074700000000004</v>
      </c>
      <c r="F918" s="57">
        <v>1.3084474763377627</v>
      </c>
      <c r="G918" s="2">
        <v>51.939417690815119</v>
      </c>
    </row>
    <row r="919" spans="4:7" customFormat="1" x14ac:dyDescent="0.35">
      <c r="D919" s="51">
        <v>44908</v>
      </c>
      <c r="E919" s="57">
        <v>1.0552619999999999</v>
      </c>
      <c r="F919" s="57">
        <v>1.3807549007751401</v>
      </c>
      <c r="G919" s="2">
        <v>49.219452316879718</v>
      </c>
    </row>
    <row r="920" spans="4:7" customFormat="1" x14ac:dyDescent="0.35">
      <c r="D920" s="51">
        <v>44907</v>
      </c>
      <c r="E920" s="57">
        <v>1.0294920000000001</v>
      </c>
      <c r="F920" s="57">
        <v>1.4214761243088005</v>
      </c>
      <c r="G920" s="2">
        <v>47.809455845096139</v>
      </c>
    </row>
    <row r="921" spans="4:7" customFormat="1" x14ac:dyDescent="0.35">
      <c r="D921" s="51">
        <v>44906</v>
      </c>
      <c r="E921" s="57">
        <v>1</v>
      </c>
      <c r="F921" s="57">
        <v>1.4214761243088005</v>
      </c>
      <c r="G921" s="2">
        <v>47.809455845096139</v>
      </c>
    </row>
    <row r="922" spans="4:7" customFormat="1" x14ac:dyDescent="0.35">
      <c r="D922" s="51">
        <v>44905</v>
      </c>
      <c r="E922" s="57">
        <v>1</v>
      </c>
      <c r="F922" s="57">
        <v>1.4214761243088005</v>
      </c>
      <c r="G922" s="2">
        <v>47.809455845096139</v>
      </c>
    </row>
    <row r="923" spans="4:7" customFormat="1" x14ac:dyDescent="0.35">
      <c r="D923" s="51">
        <v>44904</v>
      </c>
      <c r="E923" s="57">
        <v>0.98556999999999995</v>
      </c>
      <c r="F923" s="57">
        <v>1.4009642238350244</v>
      </c>
      <c r="G923" s="2">
        <v>48.509447167726442</v>
      </c>
    </row>
    <row r="924" spans="4:7" customFormat="1" x14ac:dyDescent="0.35">
      <c r="D924" s="51">
        <v>44903</v>
      </c>
      <c r="E924" s="57">
        <v>1.0154909999999999</v>
      </c>
      <c r="F924" s="57">
        <v>1.4226665606264526</v>
      </c>
      <c r="G924" s="2">
        <v>47.769450608352457</v>
      </c>
    </row>
    <row r="925" spans="4:7" customFormat="1" x14ac:dyDescent="0.35">
      <c r="D925" s="51">
        <v>44902</v>
      </c>
      <c r="E925" s="57">
        <v>1.0067440000000001</v>
      </c>
      <c r="F925" s="57">
        <v>1.4322610239113176</v>
      </c>
      <c r="G925" s="2">
        <v>47.449451507386634</v>
      </c>
    </row>
    <row r="926" spans="4:7" customFormat="1" x14ac:dyDescent="0.35">
      <c r="D926" s="51">
        <v>44901</v>
      </c>
      <c r="E926" s="57">
        <v>0.93332000000000004</v>
      </c>
      <c r="F926" s="57">
        <v>1.3367578588369109</v>
      </c>
      <c r="G926" s="2">
        <v>50.839424321118841</v>
      </c>
    </row>
    <row r="927" spans="4:7" customFormat="1" x14ac:dyDescent="0.35">
      <c r="D927" s="51">
        <v>44900</v>
      </c>
      <c r="E927" s="57">
        <v>0.93301500000000004</v>
      </c>
      <c r="F927" s="57">
        <v>1.2472151336627204</v>
      </c>
      <c r="G927" s="2">
        <v>54.489396548950275</v>
      </c>
    </row>
    <row r="928" spans="4:7" customFormat="1" x14ac:dyDescent="0.35">
      <c r="D928" s="51">
        <v>44899</v>
      </c>
      <c r="E928" s="57">
        <v>1</v>
      </c>
      <c r="F928" s="57">
        <v>1.2472151336627204</v>
      </c>
      <c r="G928" s="2">
        <v>54.489396548950275</v>
      </c>
    </row>
    <row r="929" spans="4:7" customFormat="1" x14ac:dyDescent="0.35">
      <c r="D929" s="51">
        <v>44898</v>
      </c>
      <c r="E929" s="57">
        <v>1</v>
      </c>
      <c r="F929" s="57">
        <v>1.2472151336627204</v>
      </c>
      <c r="G929" s="2">
        <v>54.489396548950275</v>
      </c>
    </row>
    <row r="930" spans="4:7" customFormat="1" x14ac:dyDescent="0.35">
      <c r="D930" s="51">
        <v>44897</v>
      </c>
      <c r="E930" s="57">
        <v>1.049701</v>
      </c>
      <c r="F930" s="57">
        <v>1.3092029730208912</v>
      </c>
      <c r="G930" s="2">
        <v>51.909445212446478</v>
      </c>
    </row>
    <row r="931" spans="4:7" customFormat="1" x14ac:dyDescent="0.35">
      <c r="D931" s="51">
        <v>44896</v>
      </c>
      <c r="E931" s="57">
        <v>0.99558899999999995</v>
      </c>
      <c r="F931" s="57">
        <v>1.3034280787068959</v>
      </c>
      <c r="G931" s="2">
        <v>52.139432248092817</v>
      </c>
    </row>
    <row r="932" spans="4:7" customFormat="1" x14ac:dyDescent="0.35">
      <c r="D932" s="51">
        <v>44895</v>
      </c>
      <c r="E932" s="57">
        <v>1.070856</v>
      </c>
      <c r="F932" s="57">
        <v>1.3957837786517517</v>
      </c>
      <c r="G932" s="2">
        <v>48.689489761548536</v>
      </c>
    </row>
    <row r="933" spans="4:7" customFormat="1" x14ac:dyDescent="0.35">
      <c r="D933" s="51">
        <v>44894</v>
      </c>
      <c r="E933" s="57">
        <v>0.99347099999999999</v>
      </c>
      <c r="F933" s="57">
        <v>1.3866707063609345</v>
      </c>
      <c r="G933" s="2">
        <v>49.009472608207524</v>
      </c>
    </row>
    <row r="934" spans="4:7" customFormat="1" x14ac:dyDescent="0.35">
      <c r="D934" s="51">
        <v>44893</v>
      </c>
      <c r="E934" s="57">
        <v>0.99230600000000002</v>
      </c>
      <c r="F934" s="57">
        <v>1.3760016619461934</v>
      </c>
      <c r="G934" s="2">
        <v>49.389475230632002</v>
      </c>
    </row>
    <row r="935" spans="4:7" customFormat="1" x14ac:dyDescent="0.35">
      <c r="D935" s="51">
        <v>44892</v>
      </c>
      <c r="E935" s="57">
        <v>1</v>
      </c>
      <c r="F935" s="57">
        <v>1.3760016619461934</v>
      </c>
      <c r="G935" s="2">
        <v>49.389475230632002</v>
      </c>
    </row>
    <row r="936" spans="4:7" customFormat="1" x14ac:dyDescent="0.35">
      <c r="D936" s="51">
        <v>44891</v>
      </c>
      <c r="E936" s="57">
        <v>1</v>
      </c>
      <c r="F936" s="57">
        <v>1.3760016619461934</v>
      </c>
      <c r="G936" s="2">
        <v>49.389475230632002</v>
      </c>
    </row>
    <row r="937" spans="4:7" customFormat="1" x14ac:dyDescent="0.35">
      <c r="D937" s="51">
        <v>44890</v>
      </c>
      <c r="E937" s="57">
        <v>0.99697199999999997</v>
      </c>
      <c r="F937" s="57">
        <v>1.3718351289138204</v>
      </c>
      <c r="G937" s="2">
        <v>49.539480778429088</v>
      </c>
    </row>
    <row r="938" spans="4:7" customFormat="1" x14ac:dyDescent="0.35">
      <c r="D938" s="51">
        <v>44889</v>
      </c>
      <c r="E938" s="57">
        <v>1</v>
      </c>
      <c r="F938" s="57">
        <v>1.3718351289138204</v>
      </c>
      <c r="G938" s="2">
        <v>49.539480778429088</v>
      </c>
    </row>
    <row r="939" spans="4:7" customFormat="1" x14ac:dyDescent="0.35">
      <c r="D939" s="51">
        <v>44888</v>
      </c>
      <c r="E939" s="57">
        <v>1.0239769999999999</v>
      </c>
      <c r="F939" s="57">
        <v>1.4047276197997869</v>
      </c>
      <c r="G939" s="2">
        <v>48.379485846292539</v>
      </c>
    </row>
    <row r="940" spans="4:7" customFormat="1" x14ac:dyDescent="0.35">
      <c r="D940" s="51">
        <v>44887</v>
      </c>
      <c r="E940" s="57">
        <v>1.001242</v>
      </c>
      <c r="F940" s="57">
        <v>1.4064722915035781</v>
      </c>
      <c r="G940" s="2">
        <v>48.319473060751086</v>
      </c>
    </row>
    <row r="941" spans="4:7" customFormat="1" x14ac:dyDescent="0.35">
      <c r="D941" s="51">
        <v>44886</v>
      </c>
      <c r="E941" s="57">
        <v>0.97086600000000001</v>
      </c>
      <c r="F941" s="57">
        <v>1.365496127762913</v>
      </c>
      <c r="G941" s="2">
        <v>49.769456403613972</v>
      </c>
    </row>
    <row r="942" spans="4:7" customFormat="1" x14ac:dyDescent="0.35">
      <c r="D942" s="51">
        <v>44885</v>
      </c>
      <c r="E942" s="57">
        <v>1</v>
      </c>
      <c r="F942" s="57">
        <v>1.365496127762913</v>
      </c>
      <c r="G942" s="2">
        <v>49.769456403613972</v>
      </c>
    </row>
    <row r="943" spans="4:7" customFormat="1" x14ac:dyDescent="0.35">
      <c r="D943" s="51">
        <v>44884</v>
      </c>
      <c r="E943" s="57">
        <v>1</v>
      </c>
      <c r="F943" s="57">
        <v>1.365496127762913</v>
      </c>
      <c r="G943" s="2">
        <v>49.769456403613972</v>
      </c>
    </row>
    <row r="944" spans="4:7" customFormat="1" x14ac:dyDescent="0.35">
      <c r="D944" s="51">
        <v>44883</v>
      </c>
      <c r="E944" s="57">
        <v>0.99420699999999995</v>
      </c>
      <c r="F944" s="57">
        <v>1.3575858086947823</v>
      </c>
      <c r="G944" s="2">
        <v>50.059450802110604</v>
      </c>
    </row>
    <row r="945" spans="4:7" customFormat="1" x14ac:dyDescent="0.35">
      <c r="D945" s="51">
        <v>44882</v>
      </c>
      <c r="E945" s="57">
        <v>0.97355100000000006</v>
      </c>
      <c r="F945" s="57">
        <v>1.321679021640614</v>
      </c>
      <c r="G945" s="2">
        <v>51.419443667676994</v>
      </c>
    </row>
    <row r="946" spans="4:7" customFormat="1" x14ac:dyDescent="0.35">
      <c r="D946" s="51">
        <v>44881</v>
      </c>
      <c r="E946" s="57">
        <v>0.96004500000000004</v>
      </c>
      <c r="F946" s="57">
        <v>1.2688713363309634</v>
      </c>
      <c r="G946" s="2">
        <v>53.559409889824941</v>
      </c>
    </row>
    <row r="947" spans="4:7" customFormat="1" x14ac:dyDescent="0.35">
      <c r="D947" s="51">
        <v>44880</v>
      </c>
      <c r="E947" s="57">
        <v>1.1214409999999999</v>
      </c>
      <c r="F947" s="57">
        <v>1.4229643402863319</v>
      </c>
      <c r="G947" s="2">
        <v>47.759454032646339</v>
      </c>
    </row>
    <row r="948" spans="4:7" customFormat="1" x14ac:dyDescent="0.35">
      <c r="D948" s="51">
        <v>44879</v>
      </c>
      <c r="E948" s="57">
        <v>0.97929100000000002</v>
      </c>
      <c r="F948" s="57">
        <v>1.3934961717633423</v>
      </c>
      <c r="G948" s="2">
        <v>48.769419950399154</v>
      </c>
    </row>
    <row r="949" spans="4:7" customFormat="1" x14ac:dyDescent="0.35">
      <c r="D949" s="51">
        <v>44878</v>
      </c>
      <c r="E949" s="57">
        <v>1</v>
      </c>
      <c r="F949" s="57">
        <v>1.3934961717633423</v>
      </c>
      <c r="G949" s="2">
        <v>48.769419950399154</v>
      </c>
    </row>
    <row r="950" spans="4:7" customFormat="1" x14ac:dyDescent="0.35">
      <c r="D950" s="51">
        <v>44877</v>
      </c>
      <c r="E950" s="57">
        <v>1</v>
      </c>
      <c r="F950" s="57">
        <v>1.3934961717633423</v>
      </c>
      <c r="G950" s="2">
        <v>48.769419950399154</v>
      </c>
    </row>
    <row r="951" spans="4:7" customFormat="1" x14ac:dyDescent="0.35">
      <c r="D951" s="51">
        <v>44876</v>
      </c>
      <c r="E951" s="57">
        <v>1.026521</v>
      </c>
      <c r="F951" s="57">
        <v>1.4304530837346778</v>
      </c>
      <c r="G951" s="2">
        <v>47.509422554822706</v>
      </c>
    </row>
    <row r="952" spans="4:7" customFormat="1" x14ac:dyDescent="0.35">
      <c r="D952" s="51">
        <v>44875</v>
      </c>
      <c r="E952" s="57">
        <v>1.191025</v>
      </c>
      <c r="F952" s="57">
        <v>1.7037053840550946</v>
      </c>
      <c r="G952" s="2">
        <v>39.889525874622869</v>
      </c>
    </row>
    <row r="953" spans="4:7" customFormat="1" x14ac:dyDescent="0.35">
      <c r="D953" s="51">
        <v>44874</v>
      </c>
      <c r="E953" s="57">
        <v>0.91976000000000002</v>
      </c>
      <c r="F953" s="57">
        <v>1.5670000640385138</v>
      </c>
      <c r="G953" s="2">
        <v>43.36949407956736</v>
      </c>
    </row>
    <row r="954" spans="4:7" customFormat="1" x14ac:dyDescent="0.35">
      <c r="D954" s="51">
        <v>44873</v>
      </c>
      <c r="E954" s="57">
        <v>0.99199499999999996</v>
      </c>
      <c r="F954" s="57">
        <v>1.5544562285258854</v>
      </c>
      <c r="G954" s="2">
        <v>43.719468424303912</v>
      </c>
    </row>
    <row r="955" spans="4:7" customFormat="1" x14ac:dyDescent="0.35">
      <c r="D955" s="51">
        <v>44872</v>
      </c>
      <c r="E955" s="57">
        <v>0.94529700000000005</v>
      </c>
      <c r="F955" s="57">
        <v>1.469422809456834</v>
      </c>
      <c r="G955" s="2">
        <v>46.249452208463488</v>
      </c>
    </row>
    <row r="956" spans="4:7" customFormat="1" x14ac:dyDescent="0.35">
      <c r="D956" s="51">
        <v>44871</v>
      </c>
      <c r="E956" s="57">
        <v>1</v>
      </c>
      <c r="F956" s="57">
        <v>1.469422809456834</v>
      </c>
      <c r="G956" s="2">
        <v>46.249452208463488</v>
      </c>
    </row>
    <row r="957" spans="4:7" customFormat="1" x14ac:dyDescent="0.35">
      <c r="D957" s="51">
        <v>44870</v>
      </c>
      <c r="E957" s="57">
        <v>1</v>
      </c>
      <c r="F957" s="57">
        <v>1.469422809456834</v>
      </c>
      <c r="G957" s="2">
        <v>46.249452208463488</v>
      </c>
    </row>
    <row r="958" spans="4:7" customFormat="1" x14ac:dyDescent="0.35">
      <c r="D958" s="51">
        <v>44869</v>
      </c>
      <c r="E958" s="57">
        <v>0.94061399999999995</v>
      </c>
      <c r="F958" s="57">
        <v>1.3821596664944305</v>
      </c>
      <c r="G958" s="2">
        <v>49.1694278508118</v>
      </c>
    </row>
    <row r="959" spans="4:7" customFormat="1" x14ac:dyDescent="0.35">
      <c r="D959" s="51">
        <v>44868</v>
      </c>
      <c r="E959" s="57">
        <v>0.99333300000000002</v>
      </c>
      <c r="F959" s="57">
        <v>1.3729448079979121</v>
      </c>
      <c r="G959" s="2">
        <v>49.499440621434907</v>
      </c>
    </row>
    <row r="960" spans="4:7" customFormat="1" x14ac:dyDescent="0.35">
      <c r="D960" s="51">
        <v>44867</v>
      </c>
      <c r="E960" s="57">
        <v>0.93255500000000002</v>
      </c>
      <c r="F960" s="57">
        <v>1.2803465454224929</v>
      </c>
      <c r="G960" s="2">
        <v>53.079379362541516</v>
      </c>
    </row>
    <row r="961" spans="4:7" customFormat="1" x14ac:dyDescent="0.35">
      <c r="D961" s="51">
        <v>44866</v>
      </c>
      <c r="E961" s="57">
        <v>0.99699499999999996</v>
      </c>
      <c r="F961" s="57">
        <v>1.2764991040534983</v>
      </c>
      <c r="G961" s="2">
        <v>53.2393636503107</v>
      </c>
    </row>
    <row r="962" spans="4:7" customFormat="1" x14ac:dyDescent="0.35">
      <c r="D962" s="51">
        <v>44865</v>
      </c>
      <c r="E962" s="57">
        <v>0.99124900000000005</v>
      </c>
      <c r="F962" s="57">
        <v>1.2653284603939261</v>
      </c>
      <c r="G962" s="2">
        <v>53.709374385558725</v>
      </c>
    </row>
    <row r="963" spans="4:7" customFormat="1" x14ac:dyDescent="0.35">
      <c r="D963" s="51">
        <v>44864</v>
      </c>
      <c r="E963" s="57">
        <v>1</v>
      </c>
      <c r="F963" s="57">
        <v>1.2653284603939261</v>
      </c>
      <c r="G963" s="2">
        <v>53.709374385558725</v>
      </c>
    </row>
    <row r="964" spans="4:7" customFormat="1" x14ac:dyDescent="0.35">
      <c r="D964" s="51">
        <v>44863</v>
      </c>
      <c r="E964" s="57">
        <v>1</v>
      </c>
      <c r="F964" s="57">
        <v>1.2653284603939261</v>
      </c>
      <c r="G964" s="2">
        <v>53.709374385558725</v>
      </c>
    </row>
    <row r="965" spans="4:7" customFormat="1" x14ac:dyDescent="0.35">
      <c r="D965" s="51">
        <v>44862</v>
      </c>
      <c r="E965" s="57">
        <v>0.99907000000000001</v>
      </c>
      <c r="F965" s="57">
        <v>1.2641517049257598</v>
      </c>
      <c r="G965" s="2">
        <v>53.759370600216926</v>
      </c>
    </row>
    <row r="966" spans="4:7" customFormat="1" x14ac:dyDescent="0.35">
      <c r="D966" s="51">
        <v>44861</v>
      </c>
      <c r="E966" s="57">
        <v>0.97109800000000002</v>
      </c>
      <c r="F966" s="57">
        <v>1.2276151923499956</v>
      </c>
      <c r="G966" s="2">
        <v>55.359367026002445</v>
      </c>
    </row>
    <row r="967" spans="4:7" customFormat="1" x14ac:dyDescent="0.35">
      <c r="D967" s="51">
        <v>44860</v>
      </c>
      <c r="E967" s="57">
        <v>0.95712299999999995</v>
      </c>
      <c r="F967" s="57">
        <v>1.1749787357476047</v>
      </c>
      <c r="G967" s="2">
        <v>57.839344604614503</v>
      </c>
    </row>
    <row r="968" spans="4:7" customFormat="1" x14ac:dyDescent="0.35">
      <c r="D968" s="51">
        <v>44859</v>
      </c>
      <c r="E968" s="57">
        <v>1.03898</v>
      </c>
      <c r="F968" s="57">
        <v>1.2207794068670463</v>
      </c>
      <c r="G968" s="2">
        <v>55.669353216245263</v>
      </c>
    </row>
    <row r="969" spans="4:7" customFormat="1" x14ac:dyDescent="0.35">
      <c r="D969" s="51">
        <v>44858</v>
      </c>
      <c r="E969" s="57">
        <v>0.97786799999999996</v>
      </c>
      <c r="F969" s="57">
        <v>1.1937611170342648</v>
      </c>
      <c r="G969" s="2">
        <v>56.929312766391035</v>
      </c>
    </row>
    <row r="970" spans="4:7" customFormat="1" x14ac:dyDescent="0.35">
      <c r="D970" s="51">
        <v>44857</v>
      </c>
      <c r="E970" s="57">
        <v>1</v>
      </c>
      <c r="F970" s="57">
        <v>1.1937611170342648</v>
      </c>
      <c r="G970" s="2">
        <v>56.929312766391035</v>
      </c>
    </row>
    <row r="971" spans="4:7" customFormat="1" x14ac:dyDescent="0.35">
      <c r="D971" s="51">
        <v>44856</v>
      </c>
      <c r="E971" s="57">
        <v>1</v>
      </c>
      <c r="F971" s="57">
        <v>1.1937611170342648</v>
      </c>
      <c r="G971" s="2">
        <v>56.929312766391035</v>
      </c>
    </row>
    <row r="972" spans="4:7" customFormat="1" x14ac:dyDescent="0.35">
      <c r="D972" s="51">
        <v>44855</v>
      </c>
      <c r="E972" s="57">
        <v>1.0079670000000001</v>
      </c>
      <c r="F972" s="57">
        <v>1.2032718118536769</v>
      </c>
      <c r="G972" s="2">
        <v>56.479341849873087</v>
      </c>
    </row>
    <row r="973" spans="4:7" customFormat="1" x14ac:dyDescent="0.35">
      <c r="D973" s="51">
        <v>44854</v>
      </c>
      <c r="E973" s="57">
        <v>1.0226329999999999</v>
      </c>
      <c r="F973" s="57">
        <v>1.2305054627713612</v>
      </c>
      <c r="G973" s="2">
        <v>55.229336281806951</v>
      </c>
    </row>
    <row r="974" spans="4:7" customFormat="1" x14ac:dyDescent="0.35">
      <c r="D974" s="51">
        <v>44853</v>
      </c>
      <c r="E974" s="57">
        <v>0.97942899999999999</v>
      </c>
      <c r="F974" s="57">
        <v>1.2051927348966915</v>
      </c>
      <c r="G974" s="2">
        <v>56.389321004184019</v>
      </c>
    </row>
    <row r="975" spans="4:7" customFormat="1" x14ac:dyDescent="0.35">
      <c r="D975" s="51">
        <v>44852</v>
      </c>
      <c r="E975" s="57">
        <v>1.0325949999999999</v>
      </c>
      <c r="F975" s="57">
        <v>1.2444759920906492</v>
      </c>
      <c r="G975" s="2">
        <v>54.609329896216835</v>
      </c>
    </row>
    <row r="976" spans="4:7" customFormat="1" x14ac:dyDescent="0.35">
      <c r="D976" s="51">
        <v>44851</v>
      </c>
      <c r="E976" s="57">
        <v>1.0792489999999999</v>
      </c>
      <c r="F976" s="57">
        <v>1.3430994699878409</v>
      </c>
      <c r="G976" s="2">
        <v>50.599379657722025</v>
      </c>
    </row>
    <row r="977" spans="4:7" customFormat="1" x14ac:dyDescent="0.35">
      <c r="D977" s="51">
        <v>44850</v>
      </c>
      <c r="E977" s="57">
        <v>1</v>
      </c>
      <c r="F977" s="57">
        <v>1.3430994699878409</v>
      </c>
      <c r="G977" s="2">
        <v>50.599379657722025</v>
      </c>
    </row>
    <row r="978" spans="4:7" customFormat="1" x14ac:dyDescent="0.35">
      <c r="D978" s="51">
        <v>44849</v>
      </c>
      <c r="E978" s="57">
        <v>1</v>
      </c>
      <c r="F978" s="57">
        <v>1.3430994699878409</v>
      </c>
      <c r="G978" s="2">
        <v>50.599379657722025</v>
      </c>
    </row>
    <row r="979" spans="4:7" customFormat="1" x14ac:dyDescent="0.35">
      <c r="D979" s="51">
        <v>44848</v>
      </c>
      <c r="E979" s="57">
        <v>0.96436100000000002</v>
      </c>
      <c r="F979" s="57">
        <v>1.2952327479769443</v>
      </c>
      <c r="G979" s="2">
        <v>52.469334261466429</v>
      </c>
    </row>
    <row r="980" spans="4:7" customFormat="1" x14ac:dyDescent="0.35">
      <c r="D980" s="51">
        <v>44847</v>
      </c>
      <c r="E980" s="57">
        <v>0.99714899999999995</v>
      </c>
      <c r="F980" s="57">
        <v>1.2915400394124621</v>
      </c>
      <c r="G980" s="2">
        <v>52.619352034115686</v>
      </c>
    </row>
    <row r="981" spans="4:7" customFormat="1" x14ac:dyDescent="0.35">
      <c r="D981" s="51">
        <v>44846</v>
      </c>
      <c r="E981" s="57">
        <v>1.002286</v>
      </c>
      <c r="F981" s="57">
        <v>1.2944924999425591</v>
      </c>
      <c r="G981" s="2">
        <v>52.49933854619907</v>
      </c>
    </row>
    <row r="982" spans="4:7" customFormat="1" x14ac:dyDescent="0.35">
      <c r="D982" s="51">
        <v>44845</v>
      </c>
      <c r="E982" s="57">
        <v>0.95750500000000005</v>
      </c>
      <c r="F982" s="57">
        <v>1.2394830411575002</v>
      </c>
      <c r="G982" s="2">
        <v>54.829310077962063</v>
      </c>
    </row>
    <row r="983" spans="4:7" customFormat="1" x14ac:dyDescent="0.35">
      <c r="D983" s="51">
        <v>44844</v>
      </c>
      <c r="E983" s="57">
        <v>0.96548699999999998</v>
      </c>
      <c r="F983" s="57">
        <v>1.1967047629580314</v>
      </c>
      <c r="G983" s="2">
        <v>56.789278444932002</v>
      </c>
    </row>
    <row r="984" spans="4:7" customFormat="1" x14ac:dyDescent="0.35">
      <c r="D984" s="51">
        <v>44843</v>
      </c>
      <c r="E984" s="57">
        <v>1</v>
      </c>
      <c r="F984" s="57">
        <v>1.1967047629580314</v>
      </c>
      <c r="G984" s="2">
        <v>56.789278444932002</v>
      </c>
    </row>
    <row r="985" spans="4:7" customFormat="1" x14ac:dyDescent="0.35">
      <c r="D985" s="51">
        <v>44842</v>
      </c>
      <c r="E985" s="57">
        <v>1</v>
      </c>
      <c r="F985" s="57">
        <v>1.1967047629580314</v>
      </c>
      <c r="G985" s="2">
        <v>56.789278444932002</v>
      </c>
    </row>
    <row r="986" spans="4:7" customFormat="1" x14ac:dyDescent="0.35">
      <c r="D986" s="51">
        <v>44841</v>
      </c>
      <c r="E986" s="57">
        <v>0.928396</v>
      </c>
      <c r="F986" s="57">
        <v>1.1110159151111845</v>
      </c>
      <c r="G986" s="2">
        <v>61.169240760335036</v>
      </c>
    </row>
    <row r="987" spans="4:7" customFormat="1" x14ac:dyDescent="0.35">
      <c r="D987" s="51">
        <v>44840</v>
      </c>
      <c r="E987" s="57">
        <v>0.98980599999999996</v>
      </c>
      <c r="F987" s="57">
        <v>1.099690218872541</v>
      </c>
      <c r="G987" s="2">
        <v>61.799222029705859</v>
      </c>
    </row>
    <row r="988" spans="4:7" customFormat="1" x14ac:dyDescent="0.35">
      <c r="D988" s="51">
        <v>44839</v>
      </c>
      <c r="E988" s="57">
        <v>0.97078200000000003</v>
      </c>
      <c r="F988" s="57">
        <v>1.0675594700575233</v>
      </c>
      <c r="G988" s="2">
        <v>63.65921703297532</v>
      </c>
    </row>
    <row r="989" spans="4:7" customFormat="1" x14ac:dyDescent="0.35">
      <c r="D989" s="51">
        <v>44838</v>
      </c>
      <c r="E989" s="57">
        <v>1.0413870000000001</v>
      </c>
      <c r="F989" s="57">
        <v>1.111742553844794</v>
      </c>
      <c r="G989" s="2">
        <v>61.129260335471173</v>
      </c>
    </row>
    <row r="990" spans="4:7" customFormat="1" x14ac:dyDescent="0.35">
      <c r="D990" s="51">
        <v>44837</v>
      </c>
      <c r="E990" s="57">
        <v>1.023096</v>
      </c>
      <c r="F990" s="57">
        <v>1.1374193598683935</v>
      </c>
      <c r="G990" s="2">
        <v>59.749290717069726</v>
      </c>
    </row>
    <row r="991" spans="4:7" customFormat="1" x14ac:dyDescent="0.35">
      <c r="D991" s="51">
        <v>44836</v>
      </c>
      <c r="E991" s="57">
        <v>1</v>
      </c>
      <c r="F991" s="57">
        <v>1.1374193598683935</v>
      </c>
      <c r="G991" s="2">
        <v>59.749290717069726</v>
      </c>
    </row>
    <row r="992" spans="4:7" customFormat="1" x14ac:dyDescent="0.35">
      <c r="D992" s="51">
        <v>44835</v>
      </c>
      <c r="E992" s="57">
        <v>1</v>
      </c>
      <c r="F992" s="57">
        <v>1.1374193598683935</v>
      </c>
      <c r="G992" s="2">
        <v>59.749290717069726</v>
      </c>
    </row>
    <row r="993" spans="4:7" customFormat="1" x14ac:dyDescent="0.35">
      <c r="D993" s="51">
        <v>44834</v>
      </c>
      <c r="E993" s="57">
        <v>0.98272999999999999</v>
      </c>
      <c r="F993" s="57">
        <v>1.1177761275234663</v>
      </c>
      <c r="G993" s="2">
        <v>60.799294533666142</v>
      </c>
    </row>
    <row r="994" spans="4:7" customFormat="1" x14ac:dyDescent="0.35">
      <c r="D994" s="51">
        <v>44833</v>
      </c>
      <c r="E994" s="57">
        <v>0.96569300000000002</v>
      </c>
      <c r="F994" s="57">
        <v>1.0794285819165188</v>
      </c>
      <c r="G994" s="2">
        <v>62.959237080175726</v>
      </c>
    </row>
    <row r="995" spans="4:7" customFormat="1" x14ac:dyDescent="0.35">
      <c r="D995" s="51">
        <v>44832</v>
      </c>
      <c r="E995" s="57">
        <v>1.0610040000000001</v>
      </c>
      <c r="F995" s="57">
        <v>1.1452780431277543</v>
      </c>
      <c r="G995" s="2">
        <v>59.33930228366313</v>
      </c>
    </row>
    <row r="996" spans="4:7" customFormat="1" x14ac:dyDescent="0.35">
      <c r="D996" s="51">
        <v>44831</v>
      </c>
      <c r="E996" s="57">
        <v>1.0328980000000001</v>
      </c>
      <c r="F996" s="57">
        <v>1.1829554001905713</v>
      </c>
      <c r="G996" s="2">
        <v>57.449334090745772</v>
      </c>
    </row>
    <row r="997" spans="4:7" customFormat="1" x14ac:dyDescent="0.35">
      <c r="D997" s="51">
        <v>44830</v>
      </c>
      <c r="E997" s="57">
        <v>0.99566699999999997</v>
      </c>
      <c r="F997" s="57">
        <v>1.1778296544415456</v>
      </c>
      <c r="G997" s="2">
        <v>57.699345354165366</v>
      </c>
    </row>
    <row r="998" spans="4:7" customFormat="1" x14ac:dyDescent="0.35">
      <c r="D998" s="51">
        <v>44829</v>
      </c>
      <c r="E998" s="57">
        <v>1</v>
      </c>
      <c r="F998" s="57">
        <v>1.1778296544415456</v>
      </c>
      <c r="G998" s="2">
        <v>57.699345354165366</v>
      </c>
    </row>
    <row r="999" spans="4:7" customFormat="1" x14ac:dyDescent="0.35">
      <c r="D999" s="51">
        <v>44828</v>
      </c>
      <c r="E999" s="57">
        <v>1</v>
      </c>
      <c r="F999" s="57">
        <v>1.1778296544415456</v>
      </c>
      <c r="G999" s="2">
        <v>57.699345354165366</v>
      </c>
    </row>
    <row r="1000" spans="4:7" customFormat="1" x14ac:dyDescent="0.35">
      <c r="D1000" s="51">
        <v>44827</v>
      </c>
      <c r="E1000" s="57">
        <v>0.97400399999999998</v>
      </c>
      <c r="F1000" s="57">
        <v>1.1472107947446832</v>
      </c>
      <c r="G1000" s="2">
        <v>59.239331002917197</v>
      </c>
    </row>
    <row r="1001" spans="4:7" customFormat="1" x14ac:dyDescent="0.35">
      <c r="D1001" s="51">
        <v>44826</v>
      </c>
      <c r="E1001" s="57">
        <v>0.96121999999999996</v>
      </c>
      <c r="F1001" s="57">
        <v>1.1027219601244844</v>
      </c>
      <c r="G1001" s="2">
        <v>61.629315872450846</v>
      </c>
    </row>
    <row r="1002" spans="4:7" customFormat="1" x14ac:dyDescent="0.35">
      <c r="D1002" s="51">
        <v>44825</v>
      </c>
      <c r="E1002" s="57">
        <v>1.0009749999999999</v>
      </c>
      <c r="F1002" s="57">
        <v>1.1037971140356058</v>
      </c>
      <c r="G1002" s="2">
        <v>61.569285818777537</v>
      </c>
    </row>
    <row r="1003" spans="4:7" customFormat="1" x14ac:dyDescent="0.35">
      <c r="D1003" s="51">
        <v>44824</v>
      </c>
      <c r="E1003" s="57">
        <v>0.97683600000000004</v>
      </c>
      <c r="F1003" s="57">
        <v>1.0782287576860849</v>
      </c>
      <c r="G1003" s="2">
        <v>63.029296441549597</v>
      </c>
    </row>
    <row r="1004" spans="4:7" customFormat="1" x14ac:dyDescent="0.35">
      <c r="D1004" s="51">
        <v>44823</v>
      </c>
      <c r="E1004" s="57">
        <v>1.0184200000000001</v>
      </c>
      <c r="F1004" s="57">
        <v>1.0980897314026627</v>
      </c>
      <c r="G1004" s="2">
        <v>61.889295616297389</v>
      </c>
    </row>
    <row r="1005" spans="4:7" customFormat="1" x14ac:dyDescent="0.35">
      <c r="D1005" s="51">
        <v>44822</v>
      </c>
      <c r="E1005" s="57">
        <v>1</v>
      </c>
      <c r="F1005" s="57">
        <v>1.0980897314026627</v>
      </c>
      <c r="G1005" s="2">
        <v>61.889295616297389</v>
      </c>
    </row>
    <row r="1006" spans="4:7" customFormat="1" x14ac:dyDescent="0.35">
      <c r="D1006" s="51">
        <v>44821</v>
      </c>
      <c r="E1006" s="57">
        <v>1</v>
      </c>
      <c r="F1006" s="57">
        <v>1.0980897314026627</v>
      </c>
      <c r="G1006" s="2">
        <v>61.889295616297389</v>
      </c>
    </row>
    <row r="1007" spans="4:7" customFormat="1" x14ac:dyDescent="0.35">
      <c r="D1007" s="51">
        <v>44820</v>
      </c>
      <c r="E1007" s="57">
        <v>0.98582400000000003</v>
      </c>
      <c r="F1007" s="57">
        <v>1.0825232113702987</v>
      </c>
      <c r="G1007" s="2">
        <v>62.779254325617337</v>
      </c>
    </row>
    <row r="1008" spans="4:7" customFormat="1" x14ac:dyDescent="0.35">
      <c r="D1008" s="51">
        <v>44819</v>
      </c>
      <c r="E1008" s="57">
        <v>0.98695200000000005</v>
      </c>
      <c r="F1008" s="57">
        <v>1.0683984485083391</v>
      </c>
      <c r="G1008" s="2">
        <v>63.609227526381559</v>
      </c>
    </row>
    <row r="1009" spans="4:7" customFormat="1" x14ac:dyDescent="0.35">
      <c r="D1009" s="51">
        <v>44818</v>
      </c>
      <c r="E1009" s="57">
        <v>0.99624100000000004</v>
      </c>
      <c r="F1009" s="57">
        <v>1.0643823387403963</v>
      </c>
      <c r="G1009" s="2">
        <v>63.849236807541104</v>
      </c>
    </row>
    <row r="1010" spans="4:7" customFormat="1" x14ac:dyDescent="0.35">
      <c r="D1010" s="51">
        <v>44817</v>
      </c>
      <c r="E1010" s="57">
        <v>0.94690799999999997</v>
      </c>
      <c r="F1010" s="57">
        <v>1.0078721516119913</v>
      </c>
      <c r="G1010" s="2">
        <v>67.429187215168838</v>
      </c>
    </row>
    <row r="1011" spans="4:7" customFormat="1" x14ac:dyDescent="0.35">
      <c r="D1011" s="51">
        <v>44816</v>
      </c>
      <c r="E1011" s="57">
        <v>1.008224</v>
      </c>
      <c r="F1011" s="57">
        <v>1.0161608921868484</v>
      </c>
      <c r="G1011" s="2">
        <v>66.879172897261753</v>
      </c>
    </row>
    <row r="1012" spans="4:7" customFormat="1" x14ac:dyDescent="0.35">
      <c r="D1012" s="51">
        <v>44815</v>
      </c>
      <c r="E1012" s="57">
        <v>1</v>
      </c>
      <c r="F1012" s="57">
        <v>1.0161608921868484</v>
      </c>
      <c r="G1012" s="2">
        <v>66.879172897261753</v>
      </c>
    </row>
    <row r="1013" spans="4:7" customFormat="1" x14ac:dyDescent="0.35">
      <c r="D1013" s="51">
        <v>44814</v>
      </c>
      <c r="E1013" s="57">
        <v>1</v>
      </c>
      <c r="F1013" s="57">
        <v>1.0161608921868484</v>
      </c>
      <c r="G1013" s="2">
        <v>66.879172897261753</v>
      </c>
    </row>
    <row r="1014" spans="4:7" customFormat="1" x14ac:dyDescent="0.35">
      <c r="D1014" s="51">
        <v>44813</v>
      </c>
      <c r="E1014" s="57">
        <v>1.0386709999999999</v>
      </c>
      <c r="F1014" s="57">
        <v>1.0554568500486059</v>
      </c>
      <c r="G1014" s="2">
        <v>64.389178957785248</v>
      </c>
    </row>
    <row r="1015" spans="4:7" customFormat="1" x14ac:dyDescent="0.35">
      <c r="D1015" s="51">
        <v>44812</v>
      </c>
      <c r="E1015" s="57">
        <v>1.035542</v>
      </c>
      <c r="F1015" s="57">
        <v>1.0929698974130335</v>
      </c>
      <c r="G1015" s="2">
        <v>62.179205631239718</v>
      </c>
    </row>
    <row r="1016" spans="4:7" customFormat="1" x14ac:dyDescent="0.35">
      <c r="D1016" s="51">
        <v>44811</v>
      </c>
      <c r="E1016" s="57">
        <v>1.0358149999999999</v>
      </c>
      <c r="F1016" s="57">
        <v>1.1321146142888812</v>
      </c>
      <c r="G1016" s="2">
        <v>60.029257764407475</v>
      </c>
    </row>
    <row r="1017" spans="4:7" customFormat="1" x14ac:dyDescent="0.35">
      <c r="D1017" s="51">
        <v>44810</v>
      </c>
      <c r="E1017" s="57">
        <v>0.97976200000000002</v>
      </c>
      <c r="F1017" s="57">
        <v>1.1092028787249029</v>
      </c>
      <c r="G1017" s="2">
        <v>61.269224326323609</v>
      </c>
    </row>
    <row r="1018" spans="4:7" customFormat="1" x14ac:dyDescent="0.35">
      <c r="D1018" s="51">
        <v>44809</v>
      </c>
      <c r="E1018" s="57">
        <v>1</v>
      </c>
      <c r="F1018" s="57">
        <v>1.1092028787249029</v>
      </c>
      <c r="G1018" s="2">
        <v>61.269224326323609</v>
      </c>
    </row>
    <row r="1019" spans="4:7" customFormat="1" x14ac:dyDescent="0.35">
      <c r="D1019" s="51">
        <v>44808</v>
      </c>
      <c r="E1019" s="57">
        <v>1</v>
      </c>
      <c r="F1019" s="57">
        <v>1.1092028787249029</v>
      </c>
      <c r="G1019" s="2">
        <v>61.269224326323609</v>
      </c>
    </row>
    <row r="1020" spans="4:7" customFormat="1" x14ac:dyDescent="0.35">
      <c r="D1020" s="51">
        <v>44807</v>
      </c>
      <c r="E1020" s="57">
        <v>1</v>
      </c>
      <c r="F1020" s="57">
        <v>1.1092028787249029</v>
      </c>
      <c r="G1020" s="2">
        <v>61.269224326323609</v>
      </c>
    </row>
    <row r="1021" spans="4:7" customFormat="1" x14ac:dyDescent="0.35">
      <c r="D1021" s="51">
        <v>44806</v>
      </c>
      <c r="E1021" s="57">
        <v>0.98998200000000003</v>
      </c>
      <c r="F1021" s="57">
        <v>1.0980908842858368</v>
      </c>
      <c r="G1021" s="2">
        <v>61.889230638863744</v>
      </c>
    </row>
    <row r="1022" spans="4:7" customFormat="1" x14ac:dyDescent="0.35">
      <c r="D1022" s="51">
        <v>44805</v>
      </c>
      <c r="E1022" s="57">
        <v>0.98708099999999999</v>
      </c>
      <c r="F1022" s="57">
        <v>1.083904648151748</v>
      </c>
      <c r="G1022" s="2">
        <v>62.699242148176033</v>
      </c>
    </row>
    <row r="1023" spans="4:7" customFormat="1" x14ac:dyDescent="0.35">
      <c r="D1023" s="51">
        <v>44804</v>
      </c>
      <c r="E1023" s="57">
        <v>0.99809000000000003</v>
      </c>
      <c r="F1023" s="57">
        <v>1.0818343902737781</v>
      </c>
      <c r="G1023" s="2">
        <v>62.819226871500604</v>
      </c>
    </row>
    <row r="1024" spans="4:7" customFormat="1" x14ac:dyDescent="0.35">
      <c r="D1024" s="51">
        <v>44803</v>
      </c>
      <c r="E1024" s="57">
        <v>1.0047980000000001</v>
      </c>
      <c r="F1024" s="57">
        <v>1.0870250316783119</v>
      </c>
      <c r="G1024" s="2">
        <v>62.519259464589496</v>
      </c>
    </row>
    <row r="1025" spans="4:7" customFormat="1" x14ac:dyDescent="0.35">
      <c r="D1025" s="51">
        <v>44802</v>
      </c>
      <c r="E1025" s="57">
        <v>0.98596399999999995</v>
      </c>
      <c r="F1025" s="57">
        <v>1.071767548333675</v>
      </c>
      <c r="G1025" s="2">
        <v>63.409272006472342</v>
      </c>
    </row>
    <row r="1026" spans="4:7" customFormat="1" x14ac:dyDescent="0.35">
      <c r="D1026" s="51">
        <v>44801</v>
      </c>
      <c r="E1026" s="57">
        <v>1</v>
      </c>
      <c r="F1026" s="57">
        <v>1.071767548333675</v>
      </c>
      <c r="G1026" s="2">
        <v>63.409272006472342</v>
      </c>
    </row>
    <row r="1027" spans="4:7" customFormat="1" x14ac:dyDescent="0.35">
      <c r="D1027" s="51">
        <v>44800</v>
      </c>
      <c r="E1027" s="57">
        <v>1</v>
      </c>
      <c r="F1027" s="57">
        <v>1.071767548333675</v>
      </c>
      <c r="G1027" s="2">
        <v>63.409272006472342</v>
      </c>
    </row>
    <row r="1028" spans="4:7" customFormat="1" x14ac:dyDescent="0.35">
      <c r="D1028" s="51">
        <v>44799</v>
      </c>
      <c r="E1028" s="57">
        <v>0.95742099999999997</v>
      </c>
      <c r="F1028" s="57">
        <v>1.0261327578931754</v>
      </c>
      <c r="G1028" s="2">
        <v>66.229247119576812</v>
      </c>
    </row>
    <row r="1029" spans="4:7" customFormat="1" x14ac:dyDescent="0.35">
      <c r="D1029" s="51">
        <v>44798</v>
      </c>
      <c r="E1029" s="57">
        <v>1.0364629999999999</v>
      </c>
      <c r="F1029" s="57">
        <v>1.0635486366442342</v>
      </c>
      <c r="G1029" s="2">
        <v>63.899287403001182</v>
      </c>
    </row>
    <row r="1030" spans="4:7" customFormat="1" x14ac:dyDescent="0.35">
      <c r="D1030" s="51">
        <v>44797</v>
      </c>
      <c r="E1030" s="57">
        <v>1.0080450000000001</v>
      </c>
      <c r="F1030" s="57">
        <v>1.0721048854260371</v>
      </c>
      <c r="G1030" s="2">
        <v>63.38932032101858</v>
      </c>
    </row>
    <row r="1031" spans="4:7" customFormat="1" x14ac:dyDescent="0.35">
      <c r="D1031" s="51">
        <v>44796</v>
      </c>
      <c r="E1031" s="57">
        <v>0.991398</v>
      </c>
      <c r="F1031" s="57">
        <v>1.0628826392016024</v>
      </c>
      <c r="G1031" s="2">
        <v>63.939326406769609</v>
      </c>
    </row>
    <row r="1032" spans="4:7" customFormat="1" x14ac:dyDescent="0.35">
      <c r="D1032" s="51">
        <v>44795</v>
      </c>
      <c r="E1032" s="57">
        <v>0.97336</v>
      </c>
      <c r="F1032" s="57">
        <v>1.0345674456932716</v>
      </c>
      <c r="G1032" s="2">
        <v>65.689289067528577</v>
      </c>
    </row>
    <row r="1033" spans="4:7" customFormat="1" x14ac:dyDescent="0.35">
      <c r="D1033" s="51">
        <v>44794</v>
      </c>
      <c r="E1033" s="57">
        <v>1</v>
      </c>
      <c r="F1033" s="57">
        <v>1.0345674456932716</v>
      </c>
      <c r="G1033" s="2">
        <v>65.689289067528577</v>
      </c>
    </row>
    <row r="1034" spans="4:7" customFormat="1" x14ac:dyDescent="0.35">
      <c r="D1034" s="51">
        <v>44793</v>
      </c>
      <c r="E1034" s="57">
        <v>1</v>
      </c>
      <c r="F1034" s="57">
        <v>1.0345674456932716</v>
      </c>
      <c r="G1034" s="2">
        <v>65.689289067528577</v>
      </c>
    </row>
    <row r="1035" spans="4:7" customFormat="1" x14ac:dyDescent="0.35">
      <c r="D1035" s="51">
        <v>44792</v>
      </c>
      <c r="E1035" s="57">
        <v>0.950376</v>
      </c>
      <c r="F1035" s="57">
        <v>0.98322807076818874</v>
      </c>
      <c r="G1035" s="2">
        <v>69.119263394202477</v>
      </c>
    </row>
    <row r="1036" spans="4:7" customFormat="1" x14ac:dyDescent="0.35">
      <c r="D1036" s="51">
        <v>44791</v>
      </c>
      <c r="E1036" s="57">
        <v>0.98503600000000002</v>
      </c>
      <c r="F1036" s="57">
        <v>0.9685150459172136</v>
      </c>
      <c r="G1036" s="2">
        <v>70.169276446954711</v>
      </c>
    </row>
    <row r="1037" spans="4:7" customFormat="1" x14ac:dyDescent="0.35">
      <c r="D1037" s="51">
        <v>44790</v>
      </c>
      <c r="E1037" s="57">
        <v>0.95158699999999996</v>
      </c>
      <c r="F1037" s="57">
        <v>0.92162632699922353</v>
      </c>
      <c r="G1037" s="2">
        <v>73.739212964190045</v>
      </c>
    </row>
    <row r="1038" spans="4:7" customFormat="1" x14ac:dyDescent="0.35">
      <c r="D1038" s="51">
        <v>44789</v>
      </c>
      <c r="E1038" s="57">
        <v>0.977854</v>
      </c>
      <c r="F1038" s="57">
        <v>0.90121599036149869</v>
      </c>
      <c r="G1038" s="2">
        <v>75.40922567601099</v>
      </c>
    </row>
    <row r="1039" spans="4:7" customFormat="1" x14ac:dyDescent="0.35">
      <c r="D1039" s="51">
        <v>44788</v>
      </c>
      <c r="E1039" s="57">
        <v>1.012351</v>
      </c>
      <c r="F1039" s="57">
        <v>0.9123469090584535</v>
      </c>
      <c r="G1039" s="2">
        <v>74.489209450092886</v>
      </c>
    </row>
    <row r="1040" spans="4:7" customFormat="1" x14ac:dyDescent="0.35">
      <c r="D1040" s="51">
        <v>44787</v>
      </c>
      <c r="E1040" s="57">
        <v>1</v>
      </c>
      <c r="F1040" s="57">
        <v>0.9123469090584535</v>
      </c>
      <c r="G1040" s="2">
        <v>74.489209450092886</v>
      </c>
    </row>
    <row r="1041" spans="4:7" customFormat="1" x14ac:dyDescent="0.35">
      <c r="D1041" s="51">
        <v>44786</v>
      </c>
      <c r="E1041" s="57">
        <v>1</v>
      </c>
      <c r="F1041" s="57">
        <v>0.9123469090584535</v>
      </c>
      <c r="G1041" s="2">
        <v>74.489209450092886</v>
      </c>
    </row>
    <row r="1042" spans="4:7" customFormat="1" x14ac:dyDescent="0.35">
      <c r="D1042" s="51">
        <v>44785</v>
      </c>
      <c r="E1042" s="57">
        <v>1.040508</v>
      </c>
      <c r="F1042" s="57">
        <v>0.94930425765059334</v>
      </c>
      <c r="G1042" s="2">
        <v>71.589271250286288</v>
      </c>
    </row>
    <row r="1043" spans="4:7" customFormat="1" x14ac:dyDescent="0.35">
      <c r="D1043" s="51">
        <v>44784</v>
      </c>
      <c r="E1043" s="57">
        <v>0.96430499999999997</v>
      </c>
      <c r="F1043" s="57">
        <v>0.91541884217375535</v>
      </c>
      <c r="G1043" s="2">
        <v>74.239240956218524</v>
      </c>
    </row>
    <row r="1044" spans="4:7" customFormat="1" x14ac:dyDescent="0.35">
      <c r="D1044" s="51">
        <v>44783</v>
      </c>
      <c r="E1044" s="57">
        <v>1.3622019999999999</v>
      </c>
      <c r="F1044" s="57">
        <v>1.2469853776467739</v>
      </c>
      <c r="G1044" s="2">
        <v>54.499436174824673</v>
      </c>
    </row>
    <row r="1045" spans="4:7" customFormat="1" x14ac:dyDescent="0.35">
      <c r="D1045" s="51">
        <v>44782</v>
      </c>
      <c r="E1045" s="57">
        <v>0.99145000000000005</v>
      </c>
      <c r="F1045" s="57">
        <v>1.236323652667894</v>
      </c>
      <c r="G1045" s="2">
        <v>54.969424756492685</v>
      </c>
    </row>
    <row r="1046" spans="4:7" customFormat="1" x14ac:dyDescent="0.35">
      <c r="D1046" s="51">
        <v>44781</v>
      </c>
      <c r="E1046" s="57">
        <v>1.041493</v>
      </c>
      <c r="F1046" s="57">
        <v>1.287622429988043</v>
      </c>
      <c r="G1046" s="2">
        <v>52.779447155662766</v>
      </c>
    </row>
    <row r="1047" spans="4:7" customFormat="1" x14ac:dyDescent="0.35">
      <c r="D1047" s="51">
        <v>44780</v>
      </c>
      <c r="E1047" s="57">
        <v>1</v>
      </c>
      <c r="F1047" s="57">
        <v>1.287622429988043</v>
      </c>
      <c r="G1047" s="2">
        <v>52.779447155662766</v>
      </c>
    </row>
    <row r="1048" spans="4:7" customFormat="1" x14ac:dyDescent="0.35">
      <c r="D1048" s="51">
        <v>44779</v>
      </c>
      <c r="E1048" s="57">
        <v>1</v>
      </c>
      <c r="F1048" s="57">
        <v>1.287622429988043</v>
      </c>
      <c r="G1048" s="2">
        <v>52.779447155662766</v>
      </c>
    </row>
    <row r="1049" spans="4:7" customFormat="1" x14ac:dyDescent="0.35">
      <c r="D1049" s="51">
        <v>44778</v>
      </c>
      <c r="E1049" s="57">
        <v>1.0459769999999999</v>
      </c>
      <c r="F1049" s="57">
        <v>1.3468234464516031</v>
      </c>
      <c r="G1049" s="2">
        <v>50.459472011012451</v>
      </c>
    </row>
    <row r="1050" spans="4:7" customFormat="1" x14ac:dyDescent="0.35">
      <c r="D1050" s="51">
        <v>44777</v>
      </c>
      <c r="E1050" s="57">
        <v>1.0085949999999999</v>
      </c>
      <c r="F1050" s="57">
        <v>1.3583993939738546</v>
      </c>
      <c r="G1050" s="2">
        <v>50.0294687273013</v>
      </c>
    </row>
    <row r="1051" spans="4:7" customFormat="1" x14ac:dyDescent="0.35">
      <c r="D1051" s="51">
        <v>44776</v>
      </c>
      <c r="E1051" s="57">
        <v>1.0488470000000001</v>
      </c>
      <c r="F1051" s="57">
        <v>1.4247531291712956</v>
      </c>
      <c r="G1051" s="2">
        <v>47.699491658269793</v>
      </c>
    </row>
    <row r="1052" spans="4:7" customFormat="1" x14ac:dyDescent="0.35">
      <c r="D1052" s="51">
        <v>44775</v>
      </c>
      <c r="E1052" s="57">
        <v>1.0499670000000001</v>
      </c>
      <c r="F1052" s="57">
        <v>1.495943768776598</v>
      </c>
      <c r="G1052" s="2">
        <v>45.429515078349873</v>
      </c>
    </row>
    <row r="1053" spans="4:7" customFormat="1" x14ac:dyDescent="0.35">
      <c r="D1053" s="51">
        <v>44774</v>
      </c>
      <c r="E1053" s="57">
        <v>1.0095559999999999</v>
      </c>
      <c r="F1053" s="57">
        <v>1.510239007431027</v>
      </c>
      <c r="G1053" s="2">
        <v>44.999499857709601</v>
      </c>
    </row>
    <row r="1054" spans="4:7" customFormat="1" x14ac:dyDescent="0.35">
      <c r="D1054" s="51">
        <v>44773</v>
      </c>
      <c r="E1054" s="57">
        <v>1</v>
      </c>
      <c r="F1054" s="57">
        <v>1.510239007431027</v>
      </c>
      <c r="G1054" s="2">
        <v>44.999499857709601</v>
      </c>
    </row>
    <row r="1055" spans="4:7" customFormat="1" x14ac:dyDescent="0.35">
      <c r="D1055" s="51">
        <v>44772</v>
      </c>
      <c r="E1055" s="57">
        <v>1</v>
      </c>
      <c r="F1055" s="57">
        <v>1.510239007431027</v>
      </c>
      <c r="G1055" s="2">
        <v>44.999499857709601</v>
      </c>
    </row>
    <row r="1056" spans="4:7" customFormat="1" x14ac:dyDescent="0.35">
      <c r="D1056" s="51">
        <v>44771</v>
      </c>
      <c r="E1056" s="57">
        <v>0.95480600000000004</v>
      </c>
      <c r="F1056" s="57">
        <v>1.4419852657291892</v>
      </c>
      <c r="G1056" s="2">
        <v>47.129469083467853</v>
      </c>
    </row>
    <row r="1057" spans="4:7" customFormat="1" x14ac:dyDescent="0.35">
      <c r="D1057" s="51">
        <v>44770</v>
      </c>
      <c r="E1057" s="57">
        <v>1.010723</v>
      </c>
      <c r="F1057" s="57">
        <v>1.4574476737336033</v>
      </c>
      <c r="G1057" s="2">
        <v>46.629461369205856</v>
      </c>
    </row>
    <row r="1058" spans="4:7" customFormat="1" x14ac:dyDescent="0.35">
      <c r="D1058" s="51">
        <v>44769</v>
      </c>
      <c r="E1058" s="57">
        <v>1.0912710000000001</v>
      </c>
      <c r="F1058" s="57">
        <v>1.5904703803629432</v>
      </c>
      <c r="G1058" s="2">
        <v>42.72949741100593</v>
      </c>
    </row>
    <row r="1059" spans="4:7" customFormat="1" x14ac:dyDescent="0.35">
      <c r="D1059" s="51">
        <v>44768</v>
      </c>
      <c r="E1059" s="57">
        <v>0.91774100000000003</v>
      </c>
      <c r="F1059" s="57">
        <v>1.4596398773446679</v>
      </c>
      <c r="G1059" s="2">
        <v>46.559429524240414</v>
      </c>
    </row>
    <row r="1060" spans="4:7" customFormat="1" x14ac:dyDescent="0.35">
      <c r="D1060" s="51">
        <v>44767</v>
      </c>
      <c r="E1060" s="57">
        <v>0.98497999999999997</v>
      </c>
      <c r="F1060" s="57">
        <v>1.4377160863869509</v>
      </c>
      <c r="G1060" s="2">
        <v>47.269416154886819</v>
      </c>
    </row>
    <row r="1061" spans="4:7" customFormat="1" x14ac:dyDescent="0.35">
      <c r="D1061" s="51">
        <v>44766</v>
      </c>
      <c r="E1061" s="57">
        <v>1</v>
      </c>
      <c r="F1061" s="57">
        <v>1.4377160863869509</v>
      </c>
      <c r="G1061" s="2">
        <v>47.269416154886819</v>
      </c>
    </row>
    <row r="1062" spans="4:7" customFormat="1" x14ac:dyDescent="0.35">
      <c r="D1062" s="51">
        <v>44765</v>
      </c>
      <c r="E1062" s="57">
        <v>1</v>
      </c>
      <c r="F1062" s="57">
        <v>1.4377160863869509</v>
      </c>
      <c r="G1062" s="2">
        <v>47.269416154886819</v>
      </c>
    </row>
    <row r="1063" spans="4:7" customFormat="1" x14ac:dyDescent="0.35">
      <c r="D1063" s="51">
        <v>44764</v>
      </c>
      <c r="E1063" s="57">
        <v>0.92704500000000001</v>
      </c>
      <c r="F1063" s="57">
        <v>1.3328275093045909</v>
      </c>
      <c r="G1063" s="2">
        <v>50.989343726449981</v>
      </c>
    </row>
    <row r="1064" spans="4:7" customFormat="1" x14ac:dyDescent="0.35">
      <c r="D1064" s="51">
        <v>44763</v>
      </c>
      <c r="E1064" s="57">
        <v>1.0243070000000001</v>
      </c>
      <c r="F1064" s="57">
        <v>1.3652245475732576</v>
      </c>
      <c r="G1064" s="2">
        <v>49.779356898322455</v>
      </c>
    </row>
    <row r="1065" spans="4:7" customFormat="1" x14ac:dyDescent="0.35">
      <c r="D1065" s="51">
        <v>44762</v>
      </c>
      <c r="E1065" s="57">
        <v>1.081704</v>
      </c>
      <c r="F1065" s="57">
        <v>1.4767688540081831</v>
      </c>
      <c r="G1065" s="2">
        <v>46.019388759145251</v>
      </c>
    </row>
    <row r="1066" spans="4:7" customFormat="1" x14ac:dyDescent="0.35">
      <c r="D1066" s="51">
        <v>44761</v>
      </c>
      <c r="E1066" s="57">
        <v>1.055021</v>
      </c>
      <c r="F1066" s="57">
        <v>1.5580221531245673</v>
      </c>
      <c r="G1066" s="2">
        <v>43.619405451782718</v>
      </c>
    </row>
    <row r="1067" spans="4:7" customFormat="1" x14ac:dyDescent="0.35">
      <c r="D1067" s="51">
        <v>44760</v>
      </c>
      <c r="E1067" s="57">
        <v>1.012065</v>
      </c>
      <c r="F1067" s="57">
        <v>1.5768196904020151</v>
      </c>
      <c r="G1067" s="2">
        <v>43.099411057375484</v>
      </c>
    </row>
    <row r="1068" spans="4:7" customFormat="1" x14ac:dyDescent="0.35">
      <c r="D1068" s="51">
        <v>44759</v>
      </c>
      <c r="E1068" s="57">
        <v>1</v>
      </c>
      <c r="F1068" s="57">
        <v>1.5768196904020151</v>
      </c>
      <c r="G1068" s="2">
        <v>43.099411057375484</v>
      </c>
    </row>
    <row r="1069" spans="4:7" customFormat="1" x14ac:dyDescent="0.35">
      <c r="D1069" s="51">
        <v>44758</v>
      </c>
      <c r="E1069" s="57">
        <v>1</v>
      </c>
      <c r="F1069" s="57">
        <v>1.5768196904020151</v>
      </c>
      <c r="G1069" s="2">
        <v>43.099411057375484</v>
      </c>
    </row>
    <row r="1070" spans="4:7" customFormat="1" x14ac:dyDescent="0.35">
      <c r="D1070" s="51">
        <v>44757</v>
      </c>
      <c r="E1070" s="57">
        <v>1.045863</v>
      </c>
      <c r="F1070" s="57">
        <v>1.6491373718629228</v>
      </c>
      <c r="G1070" s="2">
        <v>41.209423277595135</v>
      </c>
    </row>
    <row r="1071" spans="4:7" customFormat="1" x14ac:dyDescent="0.35">
      <c r="D1071" s="51">
        <v>44756</v>
      </c>
      <c r="E1071" s="57">
        <v>0.93319700000000005</v>
      </c>
      <c r="F1071" s="57">
        <v>1.5389700480103641</v>
      </c>
      <c r="G1071" s="2">
        <v>44.159403938927291</v>
      </c>
    </row>
    <row r="1072" spans="4:7" customFormat="1" x14ac:dyDescent="0.35">
      <c r="D1072" s="51">
        <v>44755</v>
      </c>
      <c r="E1072" s="57">
        <v>0.97807299999999997</v>
      </c>
      <c r="F1072" s="57">
        <v>1.5052250517676409</v>
      </c>
      <c r="G1072" s="2">
        <v>45.149394716884416</v>
      </c>
    </row>
    <row r="1073" spans="4:7" customFormat="1" x14ac:dyDescent="0.35">
      <c r="D1073" s="51">
        <v>44754</v>
      </c>
      <c r="E1073" s="57">
        <v>1.0376920000000001</v>
      </c>
      <c r="F1073" s="57">
        <v>1.5619599944188669</v>
      </c>
      <c r="G1073" s="2">
        <v>43.509437016845474</v>
      </c>
    </row>
    <row r="1074" spans="4:7" customFormat="1" x14ac:dyDescent="0.35">
      <c r="D1074" s="51">
        <v>44753</v>
      </c>
      <c r="E1074" s="57">
        <v>0.95353900000000003</v>
      </c>
      <c r="F1074" s="57">
        <v>1.4893897711181721</v>
      </c>
      <c r="G1074" s="2">
        <v>45.629425767425843</v>
      </c>
    </row>
    <row r="1075" spans="4:7" customFormat="1" x14ac:dyDescent="0.35">
      <c r="D1075" s="51">
        <v>44752</v>
      </c>
      <c r="E1075" s="57">
        <v>1</v>
      </c>
      <c r="F1075" s="57">
        <v>1.4893897711181721</v>
      </c>
      <c r="G1075" s="2">
        <v>45.629425767425843</v>
      </c>
    </row>
    <row r="1076" spans="4:7" customFormat="1" x14ac:dyDescent="0.35">
      <c r="D1076" s="51">
        <v>44751</v>
      </c>
      <c r="E1076" s="57">
        <v>1</v>
      </c>
      <c r="F1076" s="57">
        <v>1.4893897711181721</v>
      </c>
      <c r="G1076" s="2">
        <v>45.629425767425843</v>
      </c>
    </row>
    <row r="1077" spans="4:7" customFormat="1" x14ac:dyDescent="0.35">
      <c r="D1077" s="51">
        <v>44750</v>
      </c>
      <c r="E1077" s="57">
        <v>1.0021960000000001</v>
      </c>
      <c r="F1077" s="57">
        <v>1.4926604710555478</v>
      </c>
      <c r="G1077" s="2">
        <v>45.529443110355494</v>
      </c>
    </row>
    <row r="1078" spans="4:7" customFormat="1" x14ac:dyDescent="0.35">
      <c r="D1078" s="51">
        <v>44749</v>
      </c>
      <c r="E1078" s="57">
        <v>1.0590839999999999</v>
      </c>
      <c r="F1078" s="57">
        <v>1.5808528223273937</v>
      </c>
      <c r="G1078" s="2">
        <v>42.989454198491806</v>
      </c>
    </row>
    <row r="1079" spans="4:7" customFormat="1" x14ac:dyDescent="0.35">
      <c r="D1079" s="51">
        <v>44748</v>
      </c>
      <c r="E1079" s="57">
        <v>0.97064799999999996</v>
      </c>
      <c r="F1079" s="57">
        <v>1.5344516302864399</v>
      </c>
      <c r="G1079" s="2">
        <v>44.289437776095774</v>
      </c>
    </row>
    <row r="1080" spans="4:7" customFormat="1" x14ac:dyDescent="0.35">
      <c r="D1080" s="51">
        <v>44747</v>
      </c>
      <c r="E1080" s="57">
        <v>1.0631299999999999</v>
      </c>
      <c r="F1080" s="57">
        <v>1.6313215617064227</v>
      </c>
      <c r="G1080" s="2">
        <v>41.659475112258875</v>
      </c>
    </row>
    <row r="1081" spans="4:7" customFormat="1" x14ac:dyDescent="0.35">
      <c r="D1081" s="51">
        <v>44746</v>
      </c>
      <c r="E1081" s="57">
        <v>1</v>
      </c>
      <c r="F1081" s="57">
        <v>1.6313215617064227</v>
      </c>
      <c r="G1081" s="2">
        <v>41.659475112258875</v>
      </c>
    </row>
    <row r="1082" spans="4:7" customFormat="1" x14ac:dyDescent="0.35">
      <c r="D1082" s="51">
        <v>44745</v>
      </c>
      <c r="E1082" s="57">
        <v>1</v>
      </c>
      <c r="F1082" s="57">
        <v>1.6313215617064227</v>
      </c>
      <c r="G1082" s="2">
        <v>41.659475112258875</v>
      </c>
    </row>
    <row r="1083" spans="4:7" customFormat="1" x14ac:dyDescent="0.35">
      <c r="D1083" s="51">
        <v>44744</v>
      </c>
      <c r="E1083" s="57">
        <v>1</v>
      </c>
      <c r="F1083" s="57">
        <v>1.6313215617064227</v>
      </c>
      <c r="G1083" s="2">
        <v>41.659475112258875</v>
      </c>
    </row>
    <row r="1084" spans="4:7" customFormat="1" x14ac:dyDescent="0.35">
      <c r="D1084" s="51">
        <v>44743</v>
      </c>
      <c r="E1084" s="57">
        <v>0.99450899999999998</v>
      </c>
      <c r="F1084" s="57">
        <v>1.6223639750110928</v>
      </c>
      <c r="G1084" s="2">
        <v>41.889490303515473</v>
      </c>
    </row>
    <row r="1085" spans="4:7" customFormat="1" x14ac:dyDescent="0.35">
      <c r="D1085" s="51">
        <v>44742</v>
      </c>
      <c r="E1085" s="57">
        <v>0.96654399999999996</v>
      </c>
      <c r="F1085" s="57">
        <v>1.5680861658631216</v>
      </c>
      <c r="G1085" s="2">
        <v>43.33945511380287</v>
      </c>
    </row>
    <row r="1086" spans="4:7" customFormat="1" x14ac:dyDescent="0.35">
      <c r="D1086" s="51">
        <v>44741</v>
      </c>
      <c r="E1086" s="57">
        <v>0.981653</v>
      </c>
      <c r="F1086" s="57">
        <v>1.5393164889780309</v>
      </c>
      <c r="G1086" s="2">
        <v>44.149465354664905</v>
      </c>
    </row>
    <row r="1087" spans="4:7" customFormat="1" x14ac:dyDescent="0.35">
      <c r="D1087" s="51">
        <v>44740</v>
      </c>
      <c r="E1087" s="57">
        <v>0.92286800000000002</v>
      </c>
      <c r="F1087" s="57">
        <v>1.4205859295501775</v>
      </c>
      <c r="G1087" s="2">
        <v>47.839415121842883</v>
      </c>
    </row>
    <row r="1088" spans="4:7" customFormat="1" x14ac:dyDescent="0.35">
      <c r="D1088" s="51">
        <v>44739</v>
      </c>
      <c r="E1088" s="57">
        <v>0.96665999999999996</v>
      </c>
      <c r="F1088" s="57">
        <v>1.3732235946589746</v>
      </c>
      <c r="G1088" s="2">
        <v>49.489391432192171</v>
      </c>
    </row>
    <row r="1089" spans="4:7" customFormat="1" x14ac:dyDescent="0.35">
      <c r="D1089" s="51">
        <v>44738</v>
      </c>
      <c r="E1089" s="57">
        <v>1</v>
      </c>
      <c r="F1089" s="57">
        <v>1.3732235946589746</v>
      </c>
      <c r="G1089" s="2">
        <v>49.489391432192171</v>
      </c>
    </row>
    <row r="1090" spans="4:7" customFormat="1" x14ac:dyDescent="0.35">
      <c r="D1090" s="51">
        <v>44737</v>
      </c>
      <c r="E1090" s="57">
        <v>1</v>
      </c>
      <c r="F1090" s="57">
        <v>1.3732235946589746</v>
      </c>
      <c r="G1090" s="2">
        <v>49.489391432192171</v>
      </c>
    </row>
    <row r="1091" spans="4:7" customFormat="1" x14ac:dyDescent="0.35">
      <c r="D1091" s="51">
        <v>44736</v>
      </c>
      <c r="E1091" s="57">
        <v>1.0425530000000001</v>
      </c>
      <c r="F1091" s="57">
        <v>1.4316583782824981</v>
      </c>
      <c r="G1091" s="2">
        <v>47.469424990568506</v>
      </c>
    </row>
    <row r="1092" spans="4:7" customFormat="1" x14ac:dyDescent="0.35">
      <c r="D1092" s="51">
        <v>44735</v>
      </c>
      <c r="E1092" s="57">
        <v>1.0460560000000001</v>
      </c>
      <c r="F1092" s="57">
        <v>1.497594836552677</v>
      </c>
      <c r="G1092" s="2">
        <v>45.379429964140066</v>
      </c>
    </row>
    <row r="1093" spans="4:7" customFormat="1" x14ac:dyDescent="0.35">
      <c r="D1093" s="51">
        <v>44734</v>
      </c>
      <c r="E1093" s="57">
        <v>0.96430099999999996</v>
      </c>
      <c r="F1093" s="57">
        <v>1.444132198482583</v>
      </c>
      <c r="G1093" s="2">
        <v>47.059403613747229</v>
      </c>
    </row>
    <row r="1094" spans="4:7" customFormat="1" x14ac:dyDescent="0.35">
      <c r="D1094" s="51">
        <v>44733</v>
      </c>
      <c r="E1094" s="57">
        <v>1.0164150000000001</v>
      </c>
      <c r="F1094" s="57">
        <v>1.4678376285206747</v>
      </c>
      <c r="G1094" s="2">
        <v>46.299398979498754</v>
      </c>
    </row>
    <row r="1095" spans="4:7" customFormat="1" x14ac:dyDescent="0.35">
      <c r="D1095" s="51">
        <v>44732</v>
      </c>
      <c r="E1095" s="57">
        <v>1</v>
      </c>
      <c r="F1095" s="57">
        <v>1.4678376285206747</v>
      </c>
      <c r="G1095" s="2">
        <v>46.299398979498754</v>
      </c>
    </row>
    <row r="1096" spans="4:7" customFormat="1" x14ac:dyDescent="0.35">
      <c r="D1096" s="51">
        <v>44731</v>
      </c>
      <c r="E1096" s="57">
        <v>1</v>
      </c>
      <c r="F1096" s="57">
        <v>1.4678376285206747</v>
      </c>
      <c r="G1096" s="2">
        <v>46.299398979498754</v>
      </c>
    </row>
    <row r="1097" spans="4:7" customFormat="1" x14ac:dyDescent="0.35">
      <c r="D1097" s="51">
        <v>44730</v>
      </c>
      <c r="E1097" s="57">
        <v>1</v>
      </c>
      <c r="F1097" s="57">
        <v>1.4678376285206747</v>
      </c>
      <c r="G1097" s="2">
        <v>46.299398979498754</v>
      </c>
    </row>
    <row r="1098" spans="4:7" customFormat="1" x14ac:dyDescent="0.35">
      <c r="D1098" s="51">
        <v>44729</v>
      </c>
      <c r="E1098" s="57">
        <v>1.0468010000000001</v>
      </c>
      <c r="F1098" s="57">
        <v>1.5365338973730709</v>
      </c>
      <c r="G1098" s="2">
        <v>44.229417988231525</v>
      </c>
    </row>
    <row r="1099" spans="4:7" customFormat="1" x14ac:dyDescent="0.35">
      <c r="D1099" s="51">
        <v>44728</v>
      </c>
      <c r="E1099" s="57">
        <v>0.91877900000000001</v>
      </c>
      <c r="F1099" s="57">
        <v>1.4117350776945328</v>
      </c>
      <c r="G1099" s="2">
        <v>48.139343616072551</v>
      </c>
    </row>
    <row r="1100" spans="4:7" customFormat="1" x14ac:dyDescent="0.35">
      <c r="D1100" s="51">
        <v>44727</v>
      </c>
      <c r="E1100" s="57">
        <v>1.060352</v>
      </c>
      <c r="F1100" s="57">
        <v>1.4969361131035532</v>
      </c>
      <c r="G1100" s="2">
        <v>45.399399082637231</v>
      </c>
    </row>
    <row r="1101" spans="4:7" customFormat="1" x14ac:dyDescent="0.35">
      <c r="D1101" s="51">
        <v>44726</v>
      </c>
      <c r="E1101" s="57">
        <v>0.99605100000000002</v>
      </c>
      <c r="F1101" s="57">
        <v>1.4910247123929072</v>
      </c>
      <c r="G1101" s="2">
        <v>45.579392102048217</v>
      </c>
    </row>
    <row r="1102" spans="4:7" customFormat="1" x14ac:dyDescent="0.35">
      <c r="D1102" s="51">
        <v>44725</v>
      </c>
      <c r="E1102" s="57">
        <v>0.92510700000000001</v>
      </c>
      <c r="F1102" s="57">
        <v>1.3793573986076653</v>
      </c>
      <c r="G1102" s="2">
        <v>49.269319226909126</v>
      </c>
    </row>
    <row r="1103" spans="4:7" customFormat="1" x14ac:dyDescent="0.35">
      <c r="D1103" s="51">
        <v>44724</v>
      </c>
      <c r="E1103" s="57">
        <v>1</v>
      </c>
      <c r="F1103" s="57">
        <v>1.3793573986076653</v>
      </c>
      <c r="G1103" s="2">
        <v>49.269319226909126</v>
      </c>
    </row>
    <row r="1104" spans="4:7" customFormat="1" x14ac:dyDescent="0.35">
      <c r="D1104" s="51">
        <v>44723</v>
      </c>
      <c r="E1104" s="57">
        <v>1</v>
      </c>
      <c r="F1104" s="57">
        <v>1.3793573986076653</v>
      </c>
      <c r="G1104" s="2">
        <v>49.269319226909126</v>
      </c>
    </row>
    <row r="1105" spans="4:7" customFormat="1" x14ac:dyDescent="0.35">
      <c r="D1105" s="51">
        <v>44722</v>
      </c>
      <c r="E1105" s="57">
        <v>0.93829700000000005</v>
      </c>
      <c r="F1105" s="57">
        <v>1.2942469090413766</v>
      </c>
      <c r="G1105" s="2">
        <v>52.509300601951324</v>
      </c>
    </row>
    <row r="1106" spans="4:7" customFormat="1" x14ac:dyDescent="0.35">
      <c r="D1106" s="51">
        <v>44721</v>
      </c>
      <c r="E1106" s="57">
        <v>0.95978799999999997</v>
      </c>
      <c r="F1106" s="57">
        <v>1.2422026523350047</v>
      </c>
      <c r="G1106" s="2">
        <v>54.709269757437397</v>
      </c>
    </row>
    <row r="1107" spans="4:7" customFormat="1" x14ac:dyDescent="0.35">
      <c r="D1107" s="51">
        <v>44720</v>
      </c>
      <c r="E1107" s="57">
        <v>1.0281899999999999</v>
      </c>
      <c r="F1107" s="57">
        <v>1.2772203451043285</v>
      </c>
      <c r="G1107" s="2">
        <v>53.209299601666423</v>
      </c>
    </row>
    <row r="1108" spans="4:7" customFormat="1" x14ac:dyDescent="0.35">
      <c r="D1108" s="51">
        <v>44719</v>
      </c>
      <c r="E1108" s="57">
        <v>1.0104439999999999</v>
      </c>
      <c r="F1108" s="57">
        <v>1.2905596343885979</v>
      </c>
      <c r="G1108" s="2">
        <v>52.659325605047314</v>
      </c>
    </row>
    <row r="1109" spans="4:7" customFormat="1" x14ac:dyDescent="0.35">
      <c r="D1109" s="51">
        <v>44718</v>
      </c>
      <c r="E1109" s="57">
        <v>1.0295209999999999</v>
      </c>
      <c r="F1109" s="57">
        <v>1.3286582453553835</v>
      </c>
      <c r="G1109" s="2">
        <v>51.149345768612122</v>
      </c>
    </row>
    <row r="1110" spans="4:7" customFormat="1" x14ac:dyDescent="0.35">
      <c r="D1110" s="51">
        <v>44717</v>
      </c>
      <c r="E1110" s="57">
        <v>1</v>
      </c>
      <c r="F1110" s="57">
        <v>1.3286582453553835</v>
      </c>
      <c r="G1110" s="2">
        <v>51.149345768612122</v>
      </c>
    </row>
    <row r="1111" spans="4:7" customFormat="1" x14ac:dyDescent="0.35">
      <c r="D1111" s="51">
        <v>44716</v>
      </c>
      <c r="E1111" s="57">
        <v>1</v>
      </c>
      <c r="F1111" s="57">
        <v>1.3286582453553835</v>
      </c>
      <c r="G1111" s="2">
        <v>51.149345768612122</v>
      </c>
    </row>
    <row r="1112" spans="4:7" customFormat="1" x14ac:dyDescent="0.35">
      <c r="D1112" s="51">
        <v>44715</v>
      </c>
      <c r="E1112" s="57">
        <v>0.93664199999999997</v>
      </c>
      <c r="F1112" s="57">
        <v>1.244477116246157</v>
      </c>
      <c r="G1112" s="2">
        <v>54.609280566760972</v>
      </c>
    </row>
    <row r="1113" spans="4:7" customFormat="1" x14ac:dyDescent="0.35">
      <c r="D1113" s="51">
        <v>44714</v>
      </c>
      <c r="E1113" s="57">
        <v>1.0591539999999999</v>
      </c>
      <c r="F1113" s="57">
        <v>1.3180929155805821</v>
      </c>
      <c r="G1113" s="2">
        <v>51.559339403675928</v>
      </c>
    </row>
    <row r="1114" spans="4:7" customFormat="1" x14ac:dyDescent="0.35">
      <c r="D1114" s="51">
        <v>44713</v>
      </c>
      <c r="E1114" s="57">
        <v>0.99058599999999997</v>
      </c>
      <c r="F1114" s="57">
        <v>1.3056843888733065</v>
      </c>
      <c r="G1114" s="2">
        <v>52.049331813366962</v>
      </c>
    </row>
    <row r="1115" spans="4:7" customFormat="1" x14ac:dyDescent="0.35">
      <c r="D1115" s="51">
        <v>44712</v>
      </c>
      <c r="E1115" s="57">
        <v>0.99161699999999997</v>
      </c>
      <c r="F1115" s="57">
        <v>1.2947388366413815</v>
      </c>
      <c r="G1115" s="2">
        <v>52.489350034707925</v>
      </c>
    </row>
    <row r="1116" spans="4:7" customFormat="1" x14ac:dyDescent="0.35">
      <c r="D1116" s="51">
        <v>44711</v>
      </c>
      <c r="E1116" s="57">
        <v>1</v>
      </c>
      <c r="F1116" s="57">
        <v>1.2947388366413815</v>
      </c>
      <c r="G1116" s="2">
        <v>52.489350034707925</v>
      </c>
    </row>
    <row r="1117" spans="4:7" customFormat="1" x14ac:dyDescent="0.35">
      <c r="D1117" s="51">
        <v>44710</v>
      </c>
      <c r="E1117" s="57">
        <v>1</v>
      </c>
      <c r="F1117" s="57">
        <v>1.2947388366413815</v>
      </c>
      <c r="G1117" s="2">
        <v>52.489350034707925</v>
      </c>
    </row>
    <row r="1118" spans="4:7" customFormat="1" x14ac:dyDescent="0.35">
      <c r="D1118" s="51">
        <v>44709</v>
      </c>
      <c r="E1118" s="57">
        <v>1</v>
      </c>
      <c r="F1118" s="57">
        <v>1.2947388366413815</v>
      </c>
      <c r="G1118" s="2">
        <v>52.489350034707925</v>
      </c>
    </row>
    <row r="1119" spans="4:7" customFormat="1" x14ac:dyDescent="0.35">
      <c r="D1119" s="51">
        <v>44708</v>
      </c>
      <c r="E1119" s="57">
        <v>1.0705689999999999</v>
      </c>
      <c r="F1119" s="57">
        <v>1.3861072616043268</v>
      </c>
      <c r="G1119" s="2">
        <v>49.029394681433828</v>
      </c>
    </row>
    <row r="1120" spans="4:7" customFormat="1" x14ac:dyDescent="0.35">
      <c r="D1120" s="51">
        <v>44707</v>
      </c>
      <c r="E1120" s="57">
        <v>1.0582780000000001</v>
      </c>
      <c r="F1120" s="57">
        <v>1.4668868205961039</v>
      </c>
      <c r="G1120" s="2">
        <v>46.329409362600217</v>
      </c>
    </row>
    <row r="1121" spans="4:7" customFormat="1" x14ac:dyDescent="0.35">
      <c r="D1121" s="51">
        <v>44706</v>
      </c>
      <c r="E1121" s="57">
        <v>1.082983</v>
      </c>
      <c r="F1121" s="57">
        <v>1.5886134896296304</v>
      </c>
      <c r="G1121" s="2">
        <v>42.779442856074574</v>
      </c>
    </row>
    <row r="1122" spans="4:7" customFormat="1" x14ac:dyDescent="0.35">
      <c r="D1122" s="51">
        <v>44705</v>
      </c>
      <c r="E1122" s="57">
        <v>0.81485700000000005</v>
      </c>
      <c r="F1122" s="57">
        <v>1.2944928223191319</v>
      </c>
      <c r="G1122" s="2">
        <v>52.499325471922766</v>
      </c>
    </row>
    <row r="1123" spans="4:7" customFormat="1" x14ac:dyDescent="0.35">
      <c r="D1123" s="51">
        <v>44704</v>
      </c>
      <c r="E1123" s="57">
        <v>0.99734</v>
      </c>
      <c r="F1123" s="57">
        <v>1.2910494714117631</v>
      </c>
      <c r="G1123" s="2">
        <v>52.639346132635573</v>
      </c>
    </row>
    <row r="1124" spans="4:7" customFormat="1" x14ac:dyDescent="0.35">
      <c r="D1124" s="51">
        <v>44703</v>
      </c>
      <c r="E1124" s="57">
        <v>1</v>
      </c>
      <c r="F1124" s="57">
        <v>1.2910494714117631</v>
      </c>
      <c r="G1124" s="2">
        <v>52.639346132635573</v>
      </c>
    </row>
    <row r="1125" spans="4:7" customFormat="1" x14ac:dyDescent="0.35">
      <c r="D1125" s="51">
        <v>44702</v>
      </c>
      <c r="E1125" s="57">
        <v>1</v>
      </c>
      <c r="F1125" s="57">
        <v>1.2910494714117631</v>
      </c>
      <c r="G1125" s="2">
        <v>52.639346132635573</v>
      </c>
    </row>
    <row r="1126" spans="4:7" customFormat="1" x14ac:dyDescent="0.35">
      <c r="D1126" s="51">
        <v>44701</v>
      </c>
      <c r="E1126" s="57">
        <v>0.980626</v>
      </c>
      <c r="F1126" s="57">
        <v>1.2660366789526316</v>
      </c>
      <c r="G1126" s="2">
        <v>53.679329461625095</v>
      </c>
    </row>
    <row r="1127" spans="4:7" customFormat="1" x14ac:dyDescent="0.35">
      <c r="D1127" s="51">
        <v>44700</v>
      </c>
      <c r="E1127" s="57">
        <v>1.0571090000000001</v>
      </c>
      <c r="F1127" s="57">
        <v>1.3383387676509375</v>
      </c>
      <c r="G1127" s="2">
        <v>50.779370397589176</v>
      </c>
    </row>
    <row r="1128" spans="4:7" customFormat="1" x14ac:dyDescent="0.35">
      <c r="D1128" s="51">
        <v>44699</v>
      </c>
      <c r="E1128" s="57">
        <v>0.95147099999999996</v>
      </c>
      <c r="F1128" s="57">
        <v>1.2733905255956051</v>
      </c>
      <c r="G1128" s="2">
        <v>53.369330644432864</v>
      </c>
    </row>
    <row r="1129" spans="4:7" customFormat="1" x14ac:dyDescent="0.35">
      <c r="D1129" s="51">
        <v>44698</v>
      </c>
      <c r="E1129" s="57">
        <v>1.0470870000000001</v>
      </c>
      <c r="F1129" s="57">
        <v>1.3333506652743254</v>
      </c>
      <c r="G1129" s="2">
        <v>50.96933745183815</v>
      </c>
    </row>
    <row r="1130" spans="4:7" customFormat="1" x14ac:dyDescent="0.35">
      <c r="D1130" s="51">
        <v>44697</v>
      </c>
      <c r="E1130" s="57">
        <v>0.98170299999999999</v>
      </c>
      <c r="F1130" s="57">
        <v>1.3089543481518011</v>
      </c>
      <c r="G1130" s="2">
        <v>51.919304974965087</v>
      </c>
    </row>
    <row r="1131" spans="4:7" customFormat="1" x14ac:dyDescent="0.35">
      <c r="D1131" s="51">
        <v>44696</v>
      </c>
      <c r="E1131" s="57">
        <v>1</v>
      </c>
      <c r="F1131" s="57">
        <v>1.3089543481518011</v>
      </c>
      <c r="G1131" s="2">
        <v>51.919304974965087</v>
      </c>
    </row>
    <row r="1132" spans="4:7" customFormat="1" x14ac:dyDescent="0.35">
      <c r="D1132" s="51">
        <v>44695</v>
      </c>
      <c r="E1132" s="57">
        <v>1</v>
      </c>
      <c r="F1132" s="57">
        <v>1.3089543481518011</v>
      </c>
      <c r="G1132" s="2">
        <v>51.919304974965087</v>
      </c>
    </row>
    <row r="1133" spans="4:7" customFormat="1" x14ac:dyDescent="0.35">
      <c r="D1133" s="51">
        <v>44694</v>
      </c>
      <c r="E1133" s="57">
        <v>1.1578949999999999</v>
      </c>
      <c r="F1133" s="57">
        <v>1.5156316949532296</v>
      </c>
      <c r="G1133" s="2">
        <v>44.839389560335867</v>
      </c>
    </row>
    <row r="1134" spans="4:7" customFormat="1" x14ac:dyDescent="0.35">
      <c r="D1134" s="51">
        <v>44693</v>
      </c>
      <c r="E1134" s="57">
        <v>1.03461</v>
      </c>
      <c r="F1134" s="57">
        <v>1.5680877079155608</v>
      </c>
      <c r="G1134" s="2">
        <v>43.339412493921252</v>
      </c>
    </row>
    <row r="1135" spans="4:7" customFormat="1" x14ac:dyDescent="0.35">
      <c r="D1135" s="51">
        <v>44692</v>
      </c>
      <c r="E1135" s="57">
        <v>0.99062899999999998</v>
      </c>
      <c r="F1135" s="57">
        <v>1.553393158004684</v>
      </c>
      <c r="G1135" s="2">
        <v>43.749388008953154</v>
      </c>
    </row>
    <row r="1136" spans="4:7" customFormat="1" x14ac:dyDescent="0.35">
      <c r="D1136" s="51">
        <v>44691</v>
      </c>
      <c r="E1136" s="57">
        <v>0.97243800000000002</v>
      </c>
      <c r="F1136" s="57">
        <v>1.5105785357837589</v>
      </c>
      <c r="G1136" s="2">
        <v>44.989385450746632</v>
      </c>
    </row>
    <row r="1137" spans="4:7" customFormat="1" x14ac:dyDescent="0.35">
      <c r="D1137" s="51">
        <v>44690</v>
      </c>
      <c r="E1137" s="57">
        <v>0.91966499999999995</v>
      </c>
      <c r="F1137" s="57">
        <v>1.3892262091115706</v>
      </c>
      <c r="G1137" s="2">
        <v>48.919318937598618</v>
      </c>
    </row>
    <row r="1138" spans="4:7" customFormat="1" x14ac:dyDescent="0.35">
      <c r="D1138" s="51">
        <v>44689</v>
      </c>
      <c r="E1138" s="57">
        <v>1</v>
      </c>
      <c r="F1138" s="57">
        <v>1.3892262091115706</v>
      </c>
      <c r="G1138" s="2">
        <v>48.919318937598618</v>
      </c>
    </row>
    <row r="1139" spans="4:7" customFormat="1" x14ac:dyDescent="0.35">
      <c r="D1139" s="51">
        <v>44688</v>
      </c>
      <c r="E1139" s="57">
        <v>1</v>
      </c>
      <c r="F1139" s="57">
        <v>1.3892262091115706</v>
      </c>
      <c r="G1139" s="2">
        <v>48.919318937598618</v>
      </c>
    </row>
    <row r="1140" spans="4:7" customFormat="1" x14ac:dyDescent="0.35">
      <c r="D1140" s="51">
        <v>44687</v>
      </c>
      <c r="E1140" s="57">
        <v>0.88687499999999997</v>
      </c>
      <c r="F1140" s="57">
        <v>1.2320699942058242</v>
      </c>
      <c r="G1140" s="2">
        <v>55.159203876080191</v>
      </c>
    </row>
    <row r="1141" spans="4:7" customFormat="1" x14ac:dyDescent="0.35">
      <c r="D1141" s="51">
        <v>44686</v>
      </c>
      <c r="E1141" s="57">
        <v>0.88270099999999996</v>
      </c>
      <c r="F1141" s="57">
        <v>1.0875494159554753</v>
      </c>
      <c r="G1141" s="2">
        <v>62.489114520183151</v>
      </c>
    </row>
    <row r="1142" spans="4:7" customFormat="1" x14ac:dyDescent="0.35">
      <c r="D1142" s="51">
        <v>44685</v>
      </c>
      <c r="E1142" s="57">
        <v>1.0363180000000001</v>
      </c>
      <c r="F1142" s="57">
        <v>1.1270470356441462</v>
      </c>
      <c r="G1142" s="2">
        <v>60.299169289912122</v>
      </c>
    </row>
    <row r="1143" spans="4:7" customFormat="1" x14ac:dyDescent="0.35">
      <c r="D1143" s="51">
        <v>44684</v>
      </c>
      <c r="E1143" s="57">
        <v>0.97132700000000005</v>
      </c>
      <c r="F1143" s="57">
        <v>1.0947312159911218</v>
      </c>
      <c r="G1143" s="2">
        <v>62.079165193505496</v>
      </c>
    </row>
    <row r="1144" spans="4:7" customFormat="1" x14ac:dyDescent="0.35">
      <c r="D1144" s="51">
        <v>44683</v>
      </c>
      <c r="E1144" s="57">
        <v>1.0536319999999999</v>
      </c>
      <c r="F1144" s="57">
        <v>1.1534438405671574</v>
      </c>
      <c r="G1144" s="2">
        <v>58.919210116535474</v>
      </c>
    </row>
    <row r="1145" spans="4:7" customFormat="1" x14ac:dyDescent="0.35">
      <c r="D1145" s="51">
        <v>44682</v>
      </c>
      <c r="E1145" s="57">
        <v>1</v>
      </c>
      <c r="F1145" s="57">
        <v>1.1534438405671574</v>
      </c>
      <c r="G1145" s="2">
        <v>58.919210116535474</v>
      </c>
    </row>
    <row r="1146" spans="4:7" customFormat="1" x14ac:dyDescent="0.35">
      <c r="D1146" s="51">
        <v>44681</v>
      </c>
      <c r="E1146" s="57">
        <v>1</v>
      </c>
      <c r="F1146" s="57">
        <v>1.1534438405671574</v>
      </c>
      <c r="G1146" s="2">
        <v>58.919210116535474</v>
      </c>
    </row>
    <row r="1147" spans="4:7" customFormat="1" x14ac:dyDescent="0.35">
      <c r="D1147" s="51">
        <v>44680</v>
      </c>
      <c r="E1147" s="57">
        <v>0.96907900000000002</v>
      </c>
      <c r="F1147" s="57">
        <v>1.1177782035729804</v>
      </c>
      <c r="G1147" s="2">
        <v>60.799181611133328</v>
      </c>
    </row>
    <row r="1148" spans="4:7" customFormat="1" x14ac:dyDescent="0.35">
      <c r="D1148" s="51">
        <v>44679</v>
      </c>
      <c r="E1148" s="57">
        <v>1.066106</v>
      </c>
      <c r="F1148" s="57">
        <v>1.1916700494983758</v>
      </c>
      <c r="G1148" s="2">
        <v>57.029208738280552</v>
      </c>
    </row>
    <row r="1149" spans="4:7" customFormat="1" x14ac:dyDescent="0.35">
      <c r="D1149" s="51">
        <v>44678</v>
      </c>
      <c r="E1149" s="57">
        <v>0.95736100000000002</v>
      </c>
      <c r="F1149" s="57">
        <v>1.1408584302578146</v>
      </c>
      <c r="G1149" s="2">
        <v>59.56917895995403</v>
      </c>
    </row>
    <row r="1150" spans="4:7" customFormat="1" x14ac:dyDescent="0.35">
      <c r="D1150" s="51">
        <v>44677</v>
      </c>
      <c r="E1150" s="57">
        <v>0.94525499999999996</v>
      </c>
      <c r="F1150" s="57">
        <v>1.0784021354933506</v>
      </c>
      <c r="G1150" s="2">
        <v>63.019163040612348</v>
      </c>
    </row>
    <row r="1151" spans="4:7" customFormat="1" x14ac:dyDescent="0.35">
      <c r="D1151" s="51">
        <v>44676</v>
      </c>
      <c r="E1151" s="57">
        <v>1.0602290000000001</v>
      </c>
      <c r="F1151" s="57">
        <v>1.1433532177119798</v>
      </c>
      <c r="G1151" s="2">
        <v>59.43919949427184</v>
      </c>
    </row>
    <row r="1152" spans="4:7" customFormat="1" x14ac:dyDescent="0.35">
      <c r="D1152" s="51">
        <v>44675</v>
      </c>
      <c r="E1152" s="57">
        <v>1</v>
      </c>
      <c r="F1152" s="57">
        <v>1.1433532177119798</v>
      </c>
      <c r="G1152" s="2">
        <v>59.43919949427184</v>
      </c>
    </row>
    <row r="1153" spans="4:7" customFormat="1" x14ac:dyDescent="0.35">
      <c r="D1153" s="51">
        <v>44674</v>
      </c>
      <c r="E1153" s="57">
        <v>1</v>
      </c>
      <c r="F1153" s="57">
        <v>1.1433532177119798</v>
      </c>
      <c r="G1153" s="2">
        <v>59.43919949427184</v>
      </c>
    </row>
    <row r="1154" spans="4:7" customFormat="1" x14ac:dyDescent="0.35">
      <c r="D1154" s="51">
        <v>44673</v>
      </c>
      <c r="E1154" s="57">
        <v>0.93650500000000003</v>
      </c>
      <c r="F1154" s="57">
        <v>1.0707560051533578</v>
      </c>
      <c r="G1154" s="2">
        <v>63.469174744685652</v>
      </c>
    </row>
    <row r="1155" spans="4:7" customFormat="1" x14ac:dyDescent="0.35">
      <c r="D1155" s="51">
        <v>44672</v>
      </c>
      <c r="E1155" s="57">
        <v>0.94844600000000001</v>
      </c>
      <c r="F1155" s="57">
        <v>1.0155542500636816</v>
      </c>
      <c r="G1155" s="2">
        <v>66.919123223341813</v>
      </c>
    </row>
    <row r="1156" spans="4:7" customFormat="1" x14ac:dyDescent="0.35">
      <c r="D1156" s="51">
        <v>44671</v>
      </c>
      <c r="E1156" s="57">
        <v>1.000448</v>
      </c>
      <c r="F1156" s="57">
        <v>1.0160092183677101</v>
      </c>
      <c r="G1156" s="2">
        <v>66.889156881059108</v>
      </c>
    </row>
    <row r="1157" spans="4:7" customFormat="1" x14ac:dyDescent="0.35">
      <c r="D1157" s="51">
        <v>44670</v>
      </c>
      <c r="E1157" s="57">
        <v>1.078349</v>
      </c>
      <c r="F1157" s="57">
        <v>1.0956125246176018</v>
      </c>
      <c r="G1157" s="2">
        <v>62.029228831351539</v>
      </c>
    </row>
    <row r="1158" spans="4:7" customFormat="1" x14ac:dyDescent="0.35">
      <c r="D1158" s="51">
        <v>44669</v>
      </c>
      <c r="E1158" s="57">
        <v>0.97562099999999996</v>
      </c>
      <c r="F1158" s="57">
        <v>1.0689025868799493</v>
      </c>
      <c r="G1158" s="2">
        <v>63.57922680154644</v>
      </c>
    </row>
    <row r="1159" spans="4:7" customFormat="1" x14ac:dyDescent="0.35">
      <c r="D1159" s="51">
        <v>44668</v>
      </c>
      <c r="E1159" s="57">
        <v>1</v>
      </c>
      <c r="F1159" s="57">
        <v>1.0689025868799493</v>
      </c>
      <c r="G1159" s="2">
        <v>63.57922680154644</v>
      </c>
    </row>
    <row r="1160" spans="4:7" customFormat="1" x14ac:dyDescent="0.35">
      <c r="D1160" s="51">
        <v>44667</v>
      </c>
      <c r="E1160" s="57">
        <v>1</v>
      </c>
      <c r="F1160" s="57">
        <v>1.0689025868799493</v>
      </c>
      <c r="G1160" s="2">
        <v>63.57922680154644</v>
      </c>
    </row>
    <row r="1161" spans="4:7" customFormat="1" x14ac:dyDescent="0.35">
      <c r="D1161" s="51">
        <v>44666</v>
      </c>
      <c r="E1161" s="57">
        <v>1</v>
      </c>
      <c r="F1161" s="57">
        <v>1.0689025868799493</v>
      </c>
      <c r="G1161" s="2">
        <v>63.57922680154644</v>
      </c>
    </row>
    <row r="1162" spans="4:7" customFormat="1" x14ac:dyDescent="0.35">
      <c r="D1162" s="51">
        <v>44665</v>
      </c>
      <c r="E1162" s="57">
        <v>0.94881400000000005</v>
      </c>
      <c r="F1162" s="57">
        <v>1.0141897390679122</v>
      </c>
      <c r="G1162" s="2">
        <v>67.009157539355911</v>
      </c>
    </row>
    <row r="1163" spans="4:7" customFormat="1" x14ac:dyDescent="0.35">
      <c r="D1163" s="51">
        <v>44664</v>
      </c>
      <c r="E1163" s="57">
        <v>1.0177700000000001</v>
      </c>
      <c r="F1163" s="57">
        <v>1.0322118907311491</v>
      </c>
      <c r="G1163" s="2">
        <v>65.839195043434088</v>
      </c>
    </row>
    <row r="1164" spans="4:7" customFormat="1" x14ac:dyDescent="0.35">
      <c r="D1164" s="51">
        <v>44663</v>
      </c>
      <c r="E1164" s="57">
        <v>0.97976200000000002</v>
      </c>
      <c r="F1164" s="57">
        <v>1.0113219864865322</v>
      </c>
      <c r="G1164" s="2">
        <v>67.199171884022931</v>
      </c>
    </row>
    <row r="1165" spans="4:7" customFormat="1" x14ac:dyDescent="0.35">
      <c r="D1165" s="51">
        <v>44662</v>
      </c>
      <c r="E1165" s="57">
        <v>0.99129699999999998</v>
      </c>
      <c r="F1165" s="57">
        <v>1.0025204512381398</v>
      </c>
      <c r="G1165" s="2">
        <v>67.789140776198195</v>
      </c>
    </row>
    <row r="1166" spans="4:7" customFormat="1" x14ac:dyDescent="0.35">
      <c r="D1166" s="51">
        <v>44661</v>
      </c>
      <c r="E1166" s="57">
        <v>1</v>
      </c>
      <c r="F1166" s="57">
        <v>1.0025204512381398</v>
      </c>
      <c r="G1166" s="2">
        <v>67.789140776198195</v>
      </c>
    </row>
    <row r="1167" spans="4:7" customFormat="1" x14ac:dyDescent="0.35">
      <c r="D1167" s="51">
        <v>44660</v>
      </c>
      <c r="E1167" s="57">
        <v>1</v>
      </c>
      <c r="F1167" s="57">
        <v>1.0025204512381398</v>
      </c>
      <c r="G1167" s="2">
        <v>67.789140776198195</v>
      </c>
    </row>
    <row r="1168" spans="4:7" customFormat="1" x14ac:dyDescent="0.35">
      <c r="D1168" s="51">
        <v>44659</v>
      </c>
      <c r="E1168" s="57">
        <v>0.98876900000000001</v>
      </c>
      <c r="F1168" s="57">
        <v>0.99126114405028432</v>
      </c>
      <c r="G1168" s="2">
        <v>68.55912834665952</v>
      </c>
    </row>
    <row r="1169" spans="4:7" customFormat="1" x14ac:dyDescent="0.35">
      <c r="D1169" s="51">
        <v>44658</v>
      </c>
      <c r="E1169" s="57">
        <v>1.0122549999999999</v>
      </c>
      <c r="F1169" s="57">
        <v>1.0034090493706205</v>
      </c>
      <c r="G1169" s="2">
        <v>67.729108126568434</v>
      </c>
    </row>
    <row r="1170" spans="4:7" customFormat="1" x14ac:dyDescent="0.35">
      <c r="D1170" s="51">
        <v>44657</v>
      </c>
      <c r="E1170" s="57">
        <v>0.94108700000000001</v>
      </c>
      <c r="F1170" s="57">
        <v>0.94429521204504907</v>
      </c>
      <c r="G1170" s="2">
        <v>71.969018939341879</v>
      </c>
    </row>
    <row r="1171" spans="4:7" customFormat="1" x14ac:dyDescent="0.35">
      <c r="D1171" s="51">
        <v>44656</v>
      </c>
      <c r="E1171" s="57">
        <v>0.956793</v>
      </c>
      <c r="F1171" s="57">
        <v>0.90349504881821863</v>
      </c>
      <c r="G1171" s="2">
        <v>75.219006555589232</v>
      </c>
    </row>
    <row r="1172" spans="4:7" customFormat="1" x14ac:dyDescent="0.35">
      <c r="D1172" s="51">
        <v>44655</v>
      </c>
      <c r="E1172" s="57">
        <v>1.0399560000000001</v>
      </c>
      <c r="F1172" s="57">
        <v>0.93959509698879951</v>
      </c>
      <c r="G1172" s="2">
        <v>72.329027916170702</v>
      </c>
    </row>
    <row r="1173" spans="4:7" customFormat="1" x14ac:dyDescent="0.35">
      <c r="D1173" s="51">
        <v>44654</v>
      </c>
      <c r="E1173" s="57">
        <v>1</v>
      </c>
      <c r="F1173" s="57">
        <v>0.93959509698879951</v>
      </c>
      <c r="G1173" s="2">
        <v>72.329027916170702</v>
      </c>
    </row>
    <row r="1174" spans="4:7" customFormat="1" x14ac:dyDescent="0.35">
      <c r="D1174" s="51">
        <v>44653</v>
      </c>
      <c r="E1174" s="57">
        <v>1</v>
      </c>
      <c r="F1174" s="57">
        <v>0.93959509698879951</v>
      </c>
      <c r="G1174" s="2">
        <v>72.329027916170702</v>
      </c>
    </row>
    <row r="1175" spans="4:7" customFormat="1" x14ac:dyDescent="0.35">
      <c r="D1175" s="51">
        <v>44652</v>
      </c>
      <c r="E1175" s="57">
        <v>1.0444770000000001</v>
      </c>
      <c r="F1175" s="57">
        <v>0.98138546811757044</v>
      </c>
      <c r="G1175" s="2">
        <v>69.249038433752673</v>
      </c>
    </row>
    <row r="1176" spans="4:7" customFormat="1" x14ac:dyDescent="0.35">
      <c r="D1176" s="51">
        <v>44651</v>
      </c>
      <c r="E1176" s="57">
        <v>0.96677400000000002</v>
      </c>
      <c r="F1176" s="57">
        <v>0.94877795455389602</v>
      </c>
      <c r="G1176" s="2">
        <v>71.628983023698069</v>
      </c>
    </row>
    <row r="1177" spans="4:7" customFormat="1" x14ac:dyDescent="0.35">
      <c r="D1177" s="51">
        <v>44650</v>
      </c>
      <c r="E1177" s="57">
        <v>0.97681700000000005</v>
      </c>
      <c r="F1177" s="57">
        <v>0.92678243523347315</v>
      </c>
      <c r="G1177" s="2">
        <v>73.32896850044385</v>
      </c>
    </row>
    <row r="1178" spans="4:7" customFormat="1" x14ac:dyDescent="0.35">
      <c r="D1178" s="51">
        <v>44649</v>
      </c>
      <c r="E1178" s="57">
        <v>1.064451</v>
      </c>
      <c r="F1178" s="57">
        <v>0.98651448996670577</v>
      </c>
      <c r="G1178" s="2">
        <v>68.889003345803459</v>
      </c>
    </row>
    <row r="1179" spans="4:7" customFormat="1" x14ac:dyDescent="0.35">
      <c r="D1179" s="51">
        <v>44648</v>
      </c>
      <c r="E1179" s="57">
        <v>1.052559</v>
      </c>
      <c r="F1179" s="57">
        <v>1.0383647050448659</v>
      </c>
      <c r="G1179" s="2">
        <v>65.449065891606523</v>
      </c>
    </row>
    <row r="1180" spans="4:7" customFormat="1" x14ac:dyDescent="0.35">
      <c r="D1180" s="51">
        <v>44647</v>
      </c>
      <c r="E1180" s="57">
        <v>1</v>
      </c>
      <c r="F1180" s="57">
        <v>1.0383647050448659</v>
      </c>
      <c r="G1180" s="2">
        <v>65.449065891606523</v>
      </c>
    </row>
    <row r="1181" spans="4:7" customFormat="1" x14ac:dyDescent="0.35">
      <c r="D1181" s="51">
        <v>44646</v>
      </c>
      <c r="E1181" s="57">
        <v>1</v>
      </c>
      <c r="F1181" s="57">
        <v>1.0383647050448659</v>
      </c>
      <c r="G1181" s="2">
        <v>65.449065891606523</v>
      </c>
    </row>
    <row r="1182" spans="4:7" customFormat="1" x14ac:dyDescent="0.35">
      <c r="D1182" s="51">
        <v>44645</v>
      </c>
      <c r="E1182" s="57">
        <v>0.95687100000000003</v>
      </c>
      <c r="F1182" s="57">
        <v>0.99358107368098592</v>
      </c>
      <c r="G1182" s="2">
        <v>68.399048452306019</v>
      </c>
    </row>
    <row r="1183" spans="4:7" customFormat="1" x14ac:dyDescent="0.35">
      <c r="D1183" s="51">
        <v>44644</v>
      </c>
      <c r="E1183" s="57">
        <v>1.026411</v>
      </c>
      <c r="F1183" s="57">
        <v>1.0198225434179744</v>
      </c>
      <c r="G1183" s="2">
        <v>66.639044644207843</v>
      </c>
    </row>
    <row r="1184" spans="4:7" customFormat="1" x14ac:dyDescent="0.35">
      <c r="D1184" s="51">
        <v>44643</v>
      </c>
      <c r="E1184" s="57">
        <v>0.98361600000000005</v>
      </c>
      <c r="F1184" s="57">
        <v>1.0031137708666145</v>
      </c>
      <c r="G1184" s="2">
        <v>67.749044997445992</v>
      </c>
    </row>
    <row r="1185" spans="4:7" customFormat="1" x14ac:dyDescent="0.35">
      <c r="D1185" s="51">
        <v>44642</v>
      </c>
      <c r="E1185" s="57">
        <v>1.011798</v>
      </c>
      <c r="F1185" s="57">
        <v>1.0149485071352988</v>
      </c>
      <c r="G1185" s="2">
        <v>66.959061984156904</v>
      </c>
    </row>
    <row r="1186" spans="4:7" customFormat="1" x14ac:dyDescent="0.35">
      <c r="D1186" s="51">
        <v>44641</v>
      </c>
      <c r="E1186" s="57">
        <v>0.97311400000000003</v>
      </c>
      <c r="F1186" s="57">
        <v>0.98766060157245927</v>
      </c>
      <c r="G1186" s="2">
        <v>68.809062436833614</v>
      </c>
    </row>
    <row r="1187" spans="4:7" customFormat="1" x14ac:dyDescent="0.35">
      <c r="D1187" s="51">
        <v>44640</v>
      </c>
      <c r="E1187" s="57">
        <v>1</v>
      </c>
      <c r="F1187" s="57">
        <v>0.98766060157245927</v>
      </c>
      <c r="G1187" s="2">
        <v>68.809062436833614</v>
      </c>
    </row>
    <row r="1188" spans="4:7" customFormat="1" x14ac:dyDescent="0.35">
      <c r="D1188" s="51">
        <v>44639</v>
      </c>
      <c r="E1188" s="57">
        <v>1</v>
      </c>
      <c r="F1188" s="57">
        <v>0.98766060157245927</v>
      </c>
      <c r="G1188" s="2">
        <v>68.809062436833614</v>
      </c>
    </row>
    <row r="1189" spans="4:7" customFormat="1" x14ac:dyDescent="0.35">
      <c r="D1189" s="51">
        <v>44638</v>
      </c>
      <c r="E1189" s="57">
        <v>1.0519799999999999</v>
      </c>
      <c r="F1189" s="57">
        <v>1.0389991996421957</v>
      </c>
      <c r="G1189" s="2">
        <v>65.409097546373133</v>
      </c>
    </row>
    <row r="1190" spans="4:7" customFormat="1" x14ac:dyDescent="0.35">
      <c r="D1190" s="51">
        <v>44637</v>
      </c>
      <c r="E1190" s="57">
        <v>1.0845629999999999</v>
      </c>
      <c r="F1190" s="57">
        <v>1.1268600889615386</v>
      </c>
      <c r="G1190" s="2">
        <v>60.309172953874643</v>
      </c>
    </row>
    <row r="1191" spans="4:7" customFormat="1" x14ac:dyDescent="0.35">
      <c r="D1191" s="51">
        <v>44636</v>
      </c>
      <c r="E1191" s="57">
        <v>1.1195470000000001</v>
      </c>
      <c r="F1191" s="57">
        <v>1.2615728320166237</v>
      </c>
      <c r="G1191" s="2">
        <v>53.869264045077728</v>
      </c>
    </row>
    <row r="1192" spans="4:7" customFormat="1" x14ac:dyDescent="0.35">
      <c r="D1192" s="51">
        <v>44635</v>
      </c>
      <c r="E1192" s="57">
        <v>1.026486</v>
      </c>
      <c r="F1192" s="57">
        <v>1.294986850045416</v>
      </c>
      <c r="G1192" s="2">
        <v>52.479297374808546</v>
      </c>
    </row>
    <row r="1193" spans="4:7" customFormat="1" x14ac:dyDescent="0.35">
      <c r="D1193" s="51">
        <v>44634</v>
      </c>
      <c r="E1193" s="57">
        <v>0.92394399999999999</v>
      </c>
      <c r="F1193" s="57">
        <v>1.1964953301783618</v>
      </c>
      <c r="G1193" s="2">
        <v>56.799218756557266</v>
      </c>
    </row>
    <row r="1194" spans="4:7" customFormat="1" x14ac:dyDescent="0.35">
      <c r="D1194" s="51">
        <v>44633</v>
      </c>
      <c r="E1194" s="57">
        <v>1</v>
      </c>
      <c r="F1194" s="57">
        <v>1.1964953301783618</v>
      </c>
      <c r="G1194" s="2">
        <v>56.799218756557266</v>
      </c>
    </row>
    <row r="1195" spans="4:7" customFormat="1" x14ac:dyDescent="0.35">
      <c r="D1195" s="51">
        <v>44632</v>
      </c>
      <c r="E1195" s="57">
        <v>1</v>
      </c>
      <c r="F1195" s="57">
        <v>1.1964953301783618</v>
      </c>
      <c r="G1195" s="2">
        <v>56.799218756557266</v>
      </c>
    </row>
    <row r="1196" spans="4:7" customFormat="1" x14ac:dyDescent="0.35">
      <c r="D1196" s="51">
        <v>44631</v>
      </c>
      <c r="E1196" s="57">
        <v>0.90115800000000001</v>
      </c>
      <c r="F1196" s="57">
        <v>1.0782313387528721</v>
      </c>
      <c r="G1196" s="2">
        <v>63.029145562218027</v>
      </c>
    </row>
    <row r="1197" spans="4:7" customFormat="1" x14ac:dyDescent="0.35">
      <c r="D1197" s="51">
        <v>44630</v>
      </c>
      <c r="E1197" s="57">
        <v>0.94924699999999995</v>
      </c>
      <c r="F1197" s="57">
        <v>1.0235078636171475</v>
      </c>
      <c r="G1197" s="2">
        <v>66.39909903557033</v>
      </c>
    </row>
    <row r="1198" spans="4:7" customFormat="1" x14ac:dyDescent="0.35">
      <c r="D1198" s="51">
        <v>44629</v>
      </c>
      <c r="E1198" s="57">
        <v>1.064956</v>
      </c>
      <c r="F1198" s="57">
        <v>1.089990840406263</v>
      </c>
      <c r="G1198" s="2">
        <v>62.349147791617995</v>
      </c>
    </row>
    <row r="1199" spans="4:7" customFormat="1" x14ac:dyDescent="0.35">
      <c r="D1199" s="51">
        <v>44628</v>
      </c>
      <c r="E1199" s="57">
        <v>0.94312499999999999</v>
      </c>
      <c r="F1199" s="57">
        <v>1.0279976113581568</v>
      </c>
      <c r="G1199" s="2">
        <v>66.109103026235118</v>
      </c>
    </row>
    <row r="1200" spans="4:7" customFormat="1" x14ac:dyDescent="0.35">
      <c r="D1200" s="51">
        <v>44627</v>
      </c>
      <c r="E1200" s="57">
        <v>0.87377700000000003</v>
      </c>
      <c r="F1200" s="57">
        <v>0.89824066885969622</v>
      </c>
      <c r="G1200" s="2">
        <v>75.659010280924207</v>
      </c>
    </row>
    <row r="1201" spans="4:7" customFormat="1" x14ac:dyDescent="0.35">
      <c r="D1201" s="51">
        <v>44626</v>
      </c>
      <c r="E1201" s="57">
        <v>1</v>
      </c>
      <c r="F1201" s="57">
        <v>0.89824066885969622</v>
      </c>
      <c r="G1201" s="2">
        <v>75.659010280924207</v>
      </c>
    </row>
    <row r="1202" spans="4:7" customFormat="1" x14ac:dyDescent="0.35">
      <c r="D1202" s="51">
        <v>44625</v>
      </c>
      <c r="E1202" s="57">
        <v>1</v>
      </c>
      <c r="F1202" s="57">
        <v>0.89824066885969622</v>
      </c>
      <c r="G1202" s="2">
        <v>75.659010280924207</v>
      </c>
    </row>
    <row r="1203" spans="4:7" customFormat="1" x14ac:dyDescent="0.35">
      <c r="D1203" s="51">
        <v>44624</v>
      </c>
      <c r="E1203" s="57">
        <v>0.95433900000000005</v>
      </c>
      <c r="F1203" s="57">
        <v>0.85722610167889368</v>
      </c>
      <c r="G1203" s="2">
        <v>79.278967202350742</v>
      </c>
    </row>
    <row r="1204" spans="4:7" customFormat="1" x14ac:dyDescent="0.35">
      <c r="D1204" s="51">
        <v>44623</v>
      </c>
      <c r="E1204" s="57">
        <v>0.96377299999999999</v>
      </c>
      <c r="F1204" s="57">
        <v>0.8261713716933724</v>
      </c>
      <c r="G1204" s="2">
        <v>82.25896264198181</v>
      </c>
    </row>
    <row r="1205" spans="4:7" customFormat="1" x14ac:dyDescent="0.35">
      <c r="D1205" s="51">
        <v>44622</v>
      </c>
      <c r="E1205" s="57">
        <v>1.0021929999999999</v>
      </c>
      <c r="F1205" s="57">
        <v>0.82798316551149587</v>
      </c>
      <c r="G1205" s="2">
        <v>82.078963475080968</v>
      </c>
    </row>
    <row r="1206" spans="4:7" customFormat="1" x14ac:dyDescent="0.35">
      <c r="D1206" s="51">
        <v>44621</v>
      </c>
      <c r="E1206" s="57">
        <v>0.96202500000000002</v>
      </c>
      <c r="F1206" s="57">
        <v>0.79654050480119687</v>
      </c>
      <c r="G1206" s="2">
        <v>85.318950625067927</v>
      </c>
    </row>
    <row r="1207" spans="4:7" customFormat="1" x14ac:dyDescent="0.35">
      <c r="D1207" s="51">
        <v>44620</v>
      </c>
      <c r="E1207" s="57">
        <v>1.020208</v>
      </c>
      <c r="F1207" s="57">
        <v>0.81263699532221945</v>
      </c>
      <c r="G1207" s="2">
        <v>83.628976272552194</v>
      </c>
    </row>
    <row r="1208" spans="4:7" customFormat="1" x14ac:dyDescent="0.35">
      <c r="D1208" s="51">
        <v>44619</v>
      </c>
      <c r="E1208" s="57">
        <v>1</v>
      </c>
      <c r="F1208" s="57">
        <v>0.81263699532221945</v>
      </c>
      <c r="G1208" s="2">
        <v>83.628976272552194</v>
      </c>
    </row>
    <row r="1209" spans="4:7" customFormat="1" x14ac:dyDescent="0.35">
      <c r="D1209" s="51">
        <v>44618</v>
      </c>
      <c r="E1209" s="57">
        <v>1</v>
      </c>
      <c r="F1209" s="57">
        <v>0.81263699532221945</v>
      </c>
      <c r="G1209" s="2">
        <v>83.628976272552194</v>
      </c>
    </row>
    <row r="1210" spans="4:7" customFormat="1" x14ac:dyDescent="0.35">
      <c r="D1210" s="51">
        <v>44617</v>
      </c>
      <c r="E1210" s="57">
        <v>1.0097799999999999</v>
      </c>
      <c r="F1210" s="57">
        <v>0.8205845851364707</v>
      </c>
      <c r="G1210" s="2">
        <v>82.819006390057439</v>
      </c>
    </row>
    <row r="1211" spans="4:7" customFormat="1" x14ac:dyDescent="0.35">
      <c r="D1211" s="51">
        <v>44616</v>
      </c>
      <c r="E1211" s="57">
        <v>1.1173770000000001</v>
      </c>
      <c r="F1211" s="57">
        <v>0.91690234198603426</v>
      </c>
      <c r="G1211" s="2">
        <v>74.119125765124423</v>
      </c>
    </row>
    <row r="1212" spans="4:7" customFormat="1" x14ac:dyDescent="0.35">
      <c r="D1212" s="51">
        <v>44615</v>
      </c>
      <c r="E1212" s="57">
        <v>0.99090900000000004</v>
      </c>
      <c r="F1212" s="57">
        <v>0.90856678279503922</v>
      </c>
      <c r="G1212" s="2">
        <v>74.799124606925986</v>
      </c>
    </row>
    <row r="1213" spans="4:7" customFormat="1" x14ac:dyDescent="0.35">
      <c r="D1213" s="51">
        <v>44614</v>
      </c>
      <c r="E1213" s="57">
        <v>0.95835999999999999</v>
      </c>
      <c r="F1213" s="57">
        <v>0.8707340619594538</v>
      </c>
      <c r="G1213" s="2">
        <v>78.049088658673128</v>
      </c>
    </row>
    <row r="1214" spans="4:7" customFormat="1" x14ac:dyDescent="0.35">
      <c r="D1214" s="51">
        <v>44613</v>
      </c>
      <c r="E1214" s="57">
        <v>1</v>
      </c>
      <c r="F1214" s="57">
        <v>0.8707340619594538</v>
      </c>
      <c r="G1214" s="2">
        <v>78.049088658673128</v>
      </c>
    </row>
    <row r="1215" spans="4:7" customFormat="1" x14ac:dyDescent="0.35">
      <c r="D1215" s="51">
        <v>44612</v>
      </c>
      <c r="E1215" s="57">
        <v>1</v>
      </c>
      <c r="F1215" s="57">
        <v>0.8707340619594538</v>
      </c>
      <c r="G1215" s="2">
        <v>78.049088658673128</v>
      </c>
    </row>
    <row r="1216" spans="4:7" customFormat="1" x14ac:dyDescent="0.35">
      <c r="D1216" s="51">
        <v>44611</v>
      </c>
      <c r="E1216" s="57">
        <v>1</v>
      </c>
      <c r="F1216" s="57">
        <v>0.8707340619594538</v>
      </c>
      <c r="G1216" s="2">
        <v>78.049088658673128</v>
      </c>
    </row>
    <row r="1217" spans="4:7" customFormat="1" x14ac:dyDescent="0.35">
      <c r="D1217" s="51">
        <v>44610</v>
      </c>
      <c r="E1217" s="57">
        <v>0.98287400000000003</v>
      </c>
      <c r="F1217" s="57">
        <v>0.85582187041433622</v>
      </c>
      <c r="G1217" s="2">
        <v>79.409048014977643</v>
      </c>
    </row>
    <row r="1218" spans="4:7" customFormat="1" x14ac:dyDescent="0.35">
      <c r="D1218" s="51">
        <v>44609</v>
      </c>
      <c r="E1218" s="57">
        <v>0.98146100000000003</v>
      </c>
      <c r="F1218" s="57">
        <v>0.8399557887587249</v>
      </c>
      <c r="G1218" s="2">
        <v>80.909020343118712</v>
      </c>
    </row>
    <row r="1219" spans="4:7" customFormat="1" x14ac:dyDescent="0.35">
      <c r="D1219" s="51">
        <v>44608</v>
      </c>
      <c r="E1219" s="57">
        <v>1.0048440000000001</v>
      </c>
      <c r="F1219" s="57">
        <v>0.84402453459947224</v>
      </c>
      <c r="G1219" s="2">
        <v>80.518986373127277</v>
      </c>
    </row>
    <row r="1220" spans="4:7" customFormat="1" x14ac:dyDescent="0.35">
      <c r="D1220" s="51">
        <v>44607</v>
      </c>
      <c r="E1220" s="57">
        <v>1.052411</v>
      </c>
      <c r="F1220" s="57">
        <v>0.88826070448236516</v>
      </c>
      <c r="G1220" s="2">
        <v>76.509069529990924</v>
      </c>
    </row>
    <row r="1221" spans="4:7" customFormat="1" x14ac:dyDescent="0.35">
      <c r="D1221" s="51">
        <v>44606</v>
      </c>
      <c r="E1221" s="57">
        <v>1.0027520000000001</v>
      </c>
      <c r="F1221" s="57">
        <v>0.8907051979411007</v>
      </c>
      <c r="G1221" s="2">
        <v>76.299094422141181</v>
      </c>
    </row>
    <row r="1222" spans="4:7" customFormat="1" x14ac:dyDescent="0.35">
      <c r="D1222" s="51">
        <v>44605</v>
      </c>
      <c r="E1222" s="57">
        <v>1</v>
      </c>
      <c r="F1222" s="57">
        <v>0.8907051979411007</v>
      </c>
      <c r="G1222" s="2">
        <v>76.299094422141181</v>
      </c>
    </row>
    <row r="1223" spans="4:7" customFormat="1" x14ac:dyDescent="0.35">
      <c r="D1223" s="51">
        <v>44604</v>
      </c>
      <c r="E1223" s="57">
        <v>1</v>
      </c>
      <c r="F1223" s="57">
        <v>0.8907051979411007</v>
      </c>
      <c r="G1223" s="2">
        <v>76.299094422141181</v>
      </c>
    </row>
    <row r="1224" spans="4:7" customFormat="1" x14ac:dyDescent="0.35">
      <c r="D1224" s="51">
        <v>44603</v>
      </c>
      <c r="E1224" s="57">
        <v>0.92890200000000001</v>
      </c>
      <c r="F1224" s="57">
        <v>0.82737783977788437</v>
      </c>
      <c r="G1224" s="2">
        <v>82.139014042537511</v>
      </c>
    </row>
    <row r="1225" spans="4:7" customFormat="1" x14ac:dyDescent="0.35">
      <c r="D1225" s="51">
        <v>44602</v>
      </c>
      <c r="E1225" s="57">
        <v>1.0275209999999999</v>
      </c>
      <c r="F1225" s="57">
        <v>0.85014810530641149</v>
      </c>
      <c r="G1225" s="2">
        <v>79.939012480073416</v>
      </c>
    </row>
    <row r="1226" spans="4:7" customFormat="1" x14ac:dyDescent="0.35">
      <c r="D1226" s="51">
        <v>44601</v>
      </c>
      <c r="E1226" s="57">
        <v>1.045104</v>
      </c>
      <c r="F1226" s="57">
        <v>0.88849318544815192</v>
      </c>
      <c r="G1226" s="2">
        <v>76.489050352953782</v>
      </c>
    </row>
    <row r="1227" spans="4:7" customFormat="1" x14ac:dyDescent="0.35">
      <c r="D1227" s="51">
        <v>44600</v>
      </c>
      <c r="E1227" s="57">
        <v>1.03969</v>
      </c>
      <c r="F1227" s="57">
        <v>0.92375747997858904</v>
      </c>
      <c r="G1227" s="2">
        <v>73.569093049806952</v>
      </c>
    </row>
    <row r="1228" spans="4:7" customFormat="1" x14ac:dyDescent="0.35">
      <c r="D1228" s="51">
        <v>44599</v>
      </c>
      <c r="E1228" s="57">
        <v>1.0072559999999999</v>
      </c>
      <c r="F1228" s="57">
        <v>0.93046026425331363</v>
      </c>
      <c r="G1228" s="2">
        <v>73.039121186477871</v>
      </c>
    </row>
    <row r="1229" spans="4:7" customFormat="1" x14ac:dyDescent="0.35">
      <c r="D1229" s="51">
        <v>44598</v>
      </c>
      <c r="E1229" s="57">
        <v>1</v>
      </c>
      <c r="F1229" s="57">
        <v>0.93046026425331363</v>
      </c>
      <c r="G1229" s="2">
        <v>73.039121186477871</v>
      </c>
    </row>
    <row r="1230" spans="4:7" customFormat="1" x14ac:dyDescent="0.35">
      <c r="D1230" s="51">
        <v>44597</v>
      </c>
      <c r="E1230" s="57">
        <v>1</v>
      </c>
      <c r="F1230" s="57">
        <v>0.93046026425331363</v>
      </c>
      <c r="G1230" s="2">
        <v>73.039121186477871</v>
      </c>
    </row>
    <row r="1231" spans="4:7" customFormat="1" x14ac:dyDescent="0.35">
      <c r="D1231" s="51">
        <v>44596</v>
      </c>
      <c r="E1231" s="57">
        <v>1.109356</v>
      </c>
      <c r="F1231" s="57">
        <v>1.032211676910999</v>
      </c>
      <c r="G1231" s="2">
        <v>65.839208681863951</v>
      </c>
    </row>
    <row r="1232" spans="4:7" customFormat="1" x14ac:dyDescent="0.35">
      <c r="D1232" s="51">
        <v>44595</v>
      </c>
      <c r="E1232" s="57">
        <v>0.94043699999999997</v>
      </c>
      <c r="F1232" s="57">
        <v>0.97073005279914915</v>
      </c>
      <c r="G1232" s="2">
        <v>70.009164549952786</v>
      </c>
    </row>
    <row r="1233" spans="4:7" customFormat="1" x14ac:dyDescent="0.35">
      <c r="D1233" s="51">
        <v>44594</v>
      </c>
      <c r="E1233" s="57">
        <v>0.98480800000000002</v>
      </c>
      <c r="F1233" s="57">
        <v>0.95598272183702449</v>
      </c>
      <c r="G1233" s="2">
        <v>71.089150930894945</v>
      </c>
    </row>
    <row r="1234" spans="4:7" customFormat="1" x14ac:dyDescent="0.35">
      <c r="D1234" s="51">
        <v>44593</v>
      </c>
      <c r="E1234" s="57">
        <v>1.022289</v>
      </c>
      <c r="F1234" s="57">
        <v>0.97729062072404993</v>
      </c>
      <c r="G1234" s="2">
        <v>69.539191883014439</v>
      </c>
    </row>
    <row r="1235" spans="4:7" customFormat="1" x14ac:dyDescent="0.35">
      <c r="D1235" s="51">
        <v>44592</v>
      </c>
      <c r="E1235" s="57">
        <v>1.093396</v>
      </c>
      <c r="F1235" s="57">
        <v>1.0685656555371934</v>
      </c>
      <c r="G1235" s="2">
        <v>63.599274080950025</v>
      </c>
    </row>
    <row r="1236" spans="4:7" customFormat="1" x14ac:dyDescent="0.35">
      <c r="D1236" s="51">
        <v>44591</v>
      </c>
      <c r="E1236" s="57">
        <v>1</v>
      </c>
      <c r="F1236" s="57">
        <v>1.0685656555371934</v>
      </c>
      <c r="G1236" s="2">
        <v>63.599274080950025</v>
      </c>
    </row>
    <row r="1237" spans="4:7" customFormat="1" x14ac:dyDescent="0.35">
      <c r="D1237" s="51">
        <v>44590</v>
      </c>
      <c r="E1237" s="57">
        <v>1</v>
      </c>
      <c r="F1237" s="57">
        <v>1.0685656555371934</v>
      </c>
      <c r="G1237" s="2">
        <v>63.599274080950025</v>
      </c>
    </row>
    <row r="1238" spans="4:7" customFormat="1" x14ac:dyDescent="0.35">
      <c r="D1238" s="51">
        <v>44589</v>
      </c>
      <c r="E1238" s="57">
        <v>1.057005</v>
      </c>
      <c r="F1238" s="57">
        <v>1.1294792407310912</v>
      </c>
      <c r="G1238" s="2">
        <v>60.169321886793362</v>
      </c>
    </row>
    <row r="1239" spans="4:7" customFormat="1" x14ac:dyDescent="0.35">
      <c r="D1239" s="51">
        <v>44588</v>
      </c>
      <c r="E1239" s="57">
        <v>0.97901099999999996</v>
      </c>
      <c r="F1239" s="57">
        <v>1.1057726009473863</v>
      </c>
      <c r="G1239" s="2">
        <v>61.459290944425923</v>
      </c>
    </row>
    <row r="1240" spans="4:7" customFormat="1" x14ac:dyDescent="0.35">
      <c r="D1240" s="51">
        <v>44587</v>
      </c>
      <c r="E1240" s="57">
        <v>0.98069300000000004</v>
      </c>
      <c r="F1240" s="57">
        <v>1.0844234493408951</v>
      </c>
      <c r="G1240" s="2">
        <v>62.669246078462805</v>
      </c>
    </row>
    <row r="1241" spans="4:7" customFormat="1" x14ac:dyDescent="0.35">
      <c r="D1241" s="51">
        <v>44586</v>
      </c>
      <c r="E1241" s="57">
        <v>0.95928400000000003</v>
      </c>
      <c r="F1241" s="57">
        <v>1.0402700641775313</v>
      </c>
      <c r="G1241" s="2">
        <v>65.329189352123876</v>
      </c>
    </row>
    <row r="1242" spans="4:7" customFormat="1" x14ac:dyDescent="0.35">
      <c r="D1242" s="51">
        <v>44585</v>
      </c>
      <c r="E1242" s="57">
        <v>1.0989070000000001</v>
      </c>
      <c r="F1242" s="57">
        <v>1.1431600554151384</v>
      </c>
      <c r="G1242" s="2">
        <v>59.449243067997443</v>
      </c>
    </row>
    <row r="1243" spans="4:7" customFormat="1" x14ac:dyDescent="0.35">
      <c r="D1243" s="51">
        <v>44584</v>
      </c>
      <c r="E1243" s="57">
        <v>1</v>
      </c>
      <c r="F1243" s="57">
        <v>1.1431600554151384</v>
      </c>
      <c r="G1243" s="2">
        <v>59.449243067997443</v>
      </c>
    </row>
    <row r="1244" spans="4:7" customFormat="1" x14ac:dyDescent="0.35">
      <c r="D1244" s="51">
        <v>44583</v>
      </c>
      <c r="E1244" s="57">
        <v>1</v>
      </c>
      <c r="F1244" s="57">
        <v>1.1431600554151384</v>
      </c>
      <c r="G1244" s="2">
        <v>59.449243067997443</v>
      </c>
    </row>
    <row r="1245" spans="4:7" customFormat="1" x14ac:dyDescent="0.35">
      <c r="D1245" s="51">
        <v>44582</v>
      </c>
      <c r="E1245" s="57">
        <v>0.87775000000000003</v>
      </c>
      <c r="F1245" s="57">
        <v>1.0034087386406378</v>
      </c>
      <c r="G1245" s="2">
        <v>67.729129100538245</v>
      </c>
    </row>
    <row r="1246" spans="4:7" customFormat="1" x14ac:dyDescent="0.35">
      <c r="D1246" s="51">
        <v>44581</v>
      </c>
      <c r="E1246" s="57">
        <v>0.98159399999999997</v>
      </c>
      <c r="F1246" s="57">
        <v>0.98493999739721827</v>
      </c>
      <c r="G1246" s="2">
        <v>68.999127032702162</v>
      </c>
    </row>
    <row r="1247" spans="4:7" customFormat="1" x14ac:dyDescent="0.35">
      <c r="D1247" s="51">
        <v>44580</v>
      </c>
      <c r="E1247" s="57">
        <v>0.971831</v>
      </c>
      <c r="F1247" s="57">
        <v>0.95719522261053602</v>
      </c>
      <c r="G1247" s="2">
        <v>70.999100700329748</v>
      </c>
    </row>
    <row r="1248" spans="4:7" customFormat="1" x14ac:dyDescent="0.35">
      <c r="D1248" s="51">
        <v>44579</v>
      </c>
      <c r="E1248" s="57">
        <v>0.94077100000000002</v>
      </c>
      <c r="F1248" s="57">
        <v>0.90050150677053664</v>
      </c>
      <c r="G1248" s="2">
        <v>75.469057507437768</v>
      </c>
    </row>
    <row r="1249" spans="4:7" customFormat="1" x14ac:dyDescent="0.35">
      <c r="D1249" s="51">
        <v>44578</v>
      </c>
      <c r="E1249" s="57">
        <v>1</v>
      </c>
      <c r="F1249" s="57">
        <v>0.90050150677053664</v>
      </c>
      <c r="G1249" s="2">
        <v>75.469057507437768</v>
      </c>
    </row>
    <row r="1250" spans="4:7" customFormat="1" x14ac:dyDescent="0.35">
      <c r="D1250" s="51">
        <v>44577</v>
      </c>
      <c r="E1250" s="57">
        <v>1</v>
      </c>
      <c r="F1250" s="57">
        <v>0.90050150677053664</v>
      </c>
      <c r="G1250" s="2">
        <v>75.469057507437768</v>
      </c>
    </row>
    <row r="1251" spans="4:7" customFormat="1" x14ac:dyDescent="0.35">
      <c r="D1251" s="51">
        <v>44576</v>
      </c>
      <c r="E1251" s="57">
        <v>1</v>
      </c>
      <c r="F1251" s="57">
        <v>0.90050150677053664</v>
      </c>
      <c r="G1251" s="2">
        <v>75.469057507437768</v>
      </c>
    </row>
    <row r="1252" spans="4:7" customFormat="1" x14ac:dyDescent="0.35">
      <c r="D1252" s="51">
        <v>44575</v>
      </c>
      <c r="E1252" s="57">
        <v>0.99617199999999995</v>
      </c>
      <c r="F1252" s="57">
        <v>0.89705438700261897</v>
      </c>
      <c r="G1252" s="2">
        <v>75.759063201372626</v>
      </c>
    </row>
    <row r="1253" spans="4:7" customFormat="1" x14ac:dyDescent="0.35">
      <c r="D1253" s="51">
        <v>44574</v>
      </c>
      <c r="E1253" s="57">
        <v>0.91952900000000004</v>
      </c>
      <c r="F1253" s="57">
        <v>0.82486752342613123</v>
      </c>
      <c r="G1253" s="2">
        <v>82.388987407001437</v>
      </c>
    </row>
    <row r="1254" spans="4:7" customFormat="1" x14ac:dyDescent="0.35">
      <c r="D1254" s="51">
        <v>44573</v>
      </c>
      <c r="E1254" s="57">
        <v>0.97066399999999997</v>
      </c>
      <c r="F1254" s="57">
        <v>0.80066920975890221</v>
      </c>
      <c r="G1254" s="2">
        <v>84.878997683030846</v>
      </c>
    </row>
    <row r="1255" spans="4:7" customFormat="1" x14ac:dyDescent="0.35">
      <c r="D1255" s="51">
        <v>44572</v>
      </c>
      <c r="E1255" s="57">
        <v>1.047901</v>
      </c>
      <c r="F1255" s="57">
        <v>0.83902206557556336</v>
      </c>
      <c r="G1255" s="2">
        <v>80.999061631805716</v>
      </c>
    </row>
    <row r="1256" spans="4:7" customFormat="1" x14ac:dyDescent="0.35">
      <c r="D1256" s="51">
        <v>44571</v>
      </c>
      <c r="E1256" s="57">
        <v>1.0260959999999999</v>
      </c>
      <c r="F1256" s="57">
        <v>0.86091718539882323</v>
      </c>
      <c r="G1256" s="2">
        <v>78.939067720569739</v>
      </c>
    </row>
    <row r="1257" spans="4:7" customFormat="1" x14ac:dyDescent="0.35">
      <c r="D1257" s="51">
        <v>44570</v>
      </c>
      <c r="E1257" s="57">
        <v>1</v>
      </c>
      <c r="F1257" s="57">
        <v>0.86091718539882323</v>
      </c>
      <c r="G1257" s="2">
        <v>78.939067720569739</v>
      </c>
    </row>
    <row r="1258" spans="4:7" customFormat="1" x14ac:dyDescent="0.35">
      <c r="D1258" s="51">
        <v>44569</v>
      </c>
      <c r="E1258" s="57">
        <v>1</v>
      </c>
      <c r="F1258" s="57">
        <v>0.86091718539882323</v>
      </c>
      <c r="G1258" s="2">
        <v>78.939067720569739</v>
      </c>
    </row>
    <row r="1259" spans="4:7" customFormat="1" x14ac:dyDescent="0.35">
      <c r="D1259" s="51">
        <v>44568</v>
      </c>
      <c r="E1259" s="57">
        <v>1.0261279999999999</v>
      </c>
      <c r="F1259" s="57">
        <v>0.8834112296189236</v>
      </c>
      <c r="G1259" s="2">
        <v>76.929065107442483</v>
      </c>
    </row>
    <row r="1260" spans="4:7" customFormat="1" x14ac:dyDescent="0.35">
      <c r="D1260" s="51">
        <v>44567</v>
      </c>
      <c r="E1260" s="57">
        <v>0.96597200000000005</v>
      </c>
      <c r="F1260" s="57">
        <v>0.85335051229745096</v>
      </c>
      <c r="G1260" s="2">
        <v>79.639021739183406</v>
      </c>
    </row>
    <row r="1261" spans="4:7" customFormat="1" x14ac:dyDescent="0.35">
      <c r="D1261" s="51">
        <v>44566</v>
      </c>
      <c r="E1261" s="57">
        <v>0.93298999999999999</v>
      </c>
      <c r="F1261" s="57">
        <v>0.79616749446839874</v>
      </c>
      <c r="G1261" s="2">
        <v>85.358923181581162</v>
      </c>
    </row>
    <row r="1262" spans="4:7" customFormat="1" x14ac:dyDescent="0.35">
      <c r="D1262" s="51">
        <v>44565</v>
      </c>
      <c r="E1262" s="57">
        <v>0.94728699999999999</v>
      </c>
      <c r="F1262" s="57">
        <v>0.75419911733248601</v>
      </c>
      <c r="G1262" s="2">
        <v>90.108829933886099</v>
      </c>
    </row>
    <row r="1263" spans="4:7" customFormat="1" x14ac:dyDescent="0.35">
      <c r="D1263" s="51">
        <v>44564</v>
      </c>
      <c r="E1263" s="57">
        <v>0.98330399999999996</v>
      </c>
      <c r="F1263" s="57">
        <v>0.74160700886950282</v>
      </c>
      <c r="G1263" s="2">
        <v>91.638831870800999</v>
      </c>
    </row>
    <row r="1264" spans="4:7" customFormat="1" x14ac:dyDescent="0.35">
      <c r="D1264" s="51">
        <v>44563</v>
      </c>
      <c r="E1264" s="57">
        <v>1</v>
      </c>
      <c r="F1264" s="57">
        <v>0.74160700886950282</v>
      </c>
      <c r="G1264" s="2">
        <v>91.638831870800999</v>
      </c>
    </row>
    <row r="1265" spans="4:7" customFormat="1" x14ac:dyDescent="0.35">
      <c r="D1265" s="51">
        <v>44562</v>
      </c>
      <c r="E1265" s="57">
        <v>1</v>
      </c>
      <c r="F1265" s="57">
        <v>0.74160700886950282</v>
      </c>
      <c r="G1265" s="2">
        <v>91.638831870800999</v>
      </c>
    </row>
    <row r="1266" spans="4:7" customFormat="1" x14ac:dyDescent="0.35">
      <c r="D1266" s="51">
        <v>44561</v>
      </c>
      <c r="E1266" s="57">
        <v>0.97210099999999999</v>
      </c>
      <c r="F1266" s="57">
        <v>0.72091691492905252</v>
      </c>
      <c r="G1266" s="2">
        <v>94.268838187391026</v>
      </c>
    </row>
    <row r="1267" spans="4:7" customFormat="1" x14ac:dyDescent="0.35">
      <c r="D1267" s="51">
        <v>44560</v>
      </c>
      <c r="E1267" s="57">
        <v>1.018364</v>
      </c>
      <c r="F1267" s="57">
        <v>0.7341558331548097</v>
      </c>
      <c r="G1267" s="2">
        <v>92.568902855355276</v>
      </c>
    </row>
    <row r="1268" spans="4:7" customFormat="1" x14ac:dyDescent="0.35">
      <c r="D1268" s="51">
        <v>44559</v>
      </c>
      <c r="E1268" s="57">
        <v>0.97658</v>
      </c>
      <c r="F1268" s="57">
        <v>0.71696190354232403</v>
      </c>
      <c r="G1268" s="2">
        <v>94.788857907550096</v>
      </c>
    </row>
    <row r="1269" spans="4:7" customFormat="1" x14ac:dyDescent="0.35">
      <c r="D1269" s="51">
        <v>44558</v>
      </c>
      <c r="E1269" s="57">
        <v>0.970414</v>
      </c>
      <c r="F1269" s="57">
        <v>0.69574986866412081</v>
      </c>
      <c r="G1269" s="2">
        <v>97.678782362527855</v>
      </c>
    </row>
    <row r="1270" spans="4:7" customFormat="1" x14ac:dyDescent="0.35">
      <c r="D1270" s="51">
        <v>44557</v>
      </c>
      <c r="E1270" s="57">
        <v>1.0169699999999999</v>
      </c>
      <c r="F1270" s="57">
        <v>0.70755674393535084</v>
      </c>
      <c r="G1270" s="2">
        <v>96.048833655395796</v>
      </c>
    </row>
    <row r="1271" spans="4:7" customFormat="1" x14ac:dyDescent="0.35">
      <c r="D1271" s="51">
        <v>44556</v>
      </c>
      <c r="E1271" s="57">
        <v>1</v>
      </c>
      <c r="F1271" s="57">
        <v>0.70755674393535084</v>
      </c>
      <c r="G1271" s="2">
        <v>96.048833655395796</v>
      </c>
    </row>
    <row r="1272" spans="4:7" customFormat="1" x14ac:dyDescent="0.35">
      <c r="D1272" s="51">
        <v>44555</v>
      </c>
      <c r="E1272" s="57">
        <v>1</v>
      </c>
      <c r="F1272" s="57">
        <v>0.70755674393535084</v>
      </c>
      <c r="G1272" s="2">
        <v>96.048833655395796</v>
      </c>
    </row>
    <row r="1273" spans="4:7" customFormat="1" x14ac:dyDescent="0.35">
      <c r="D1273" s="51">
        <v>44554</v>
      </c>
      <c r="E1273" s="57">
        <v>1</v>
      </c>
      <c r="F1273" s="57">
        <v>0.70755674393535084</v>
      </c>
      <c r="G1273" s="2">
        <v>96.048833655395796</v>
      </c>
    </row>
    <row r="1274" spans="4:7" customFormat="1" x14ac:dyDescent="0.35">
      <c r="D1274" s="51">
        <v>44553</v>
      </c>
      <c r="E1274" s="57">
        <v>1.0273829999999999</v>
      </c>
      <c r="F1274" s="57">
        <v>0.72693177025453248</v>
      </c>
      <c r="G1274" s="2">
        <v>93.488829049532455</v>
      </c>
    </row>
    <row r="1275" spans="4:7" customFormat="1" x14ac:dyDescent="0.35">
      <c r="D1275" s="51">
        <v>44552</v>
      </c>
      <c r="E1275" s="57">
        <v>0.99957200000000002</v>
      </c>
      <c r="F1275" s="57">
        <v>0.7266206434568635</v>
      </c>
      <c r="G1275" s="2">
        <v>93.528859401356243</v>
      </c>
    </row>
    <row r="1276" spans="4:7" customFormat="1" x14ac:dyDescent="0.35">
      <c r="D1276" s="51">
        <v>44551</v>
      </c>
      <c r="E1276" s="57">
        <v>1.0623579999999999</v>
      </c>
      <c r="F1276" s="57">
        <v>0.77193125354154657</v>
      </c>
      <c r="G1276" s="2">
        <v>88.03892793329203</v>
      </c>
    </row>
    <row r="1277" spans="4:7" customFormat="1" x14ac:dyDescent="0.35">
      <c r="D1277" s="51">
        <v>44550</v>
      </c>
      <c r="E1277" s="57">
        <v>0.97833099999999995</v>
      </c>
      <c r="F1277" s="57">
        <v>0.75520427520855471</v>
      </c>
      <c r="G1277" s="2">
        <v>89.988897349968511</v>
      </c>
    </row>
    <row r="1278" spans="4:7" customFormat="1" x14ac:dyDescent="0.35">
      <c r="D1278" s="51">
        <v>44549</v>
      </c>
      <c r="E1278" s="57">
        <v>1</v>
      </c>
      <c r="F1278" s="57">
        <v>0.75520427520855471</v>
      </c>
      <c r="G1278" s="2">
        <v>89.988897349968511</v>
      </c>
    </row>
    <row r="1279" spans="4:7" customFormat="1" x14ac:dyDescent="0.35">
      <c r="D1279" s="51">
        <v>44548</v>
      </c>
      <c r="E1279" s="57">
        <v>1</v>
      </c>
      <c r="F1279" s="57">
        <v>0.75520427520855471</v>
      </c>
      <c r="G1279" s="2">
        <v>89.988897349968511</v>
      </c>
    </row>
    <row r="1280" spans="4:7" customFormat="1" x14ac:dyDescent="0.35">
      <c r="D1280" s="51">
        <v>44547</v>
      </c>
      <c r="E1280" s="57">
        <v>1.0330619999999999</v>
      </c>
      <c r="F1280" s="57">
        <v>0.78017283895549994</v>
      </c>
      <c r="G1280" s="2">
        <v>87.108902805415852</v>
      </c>
    </row>
    <row r="1281" spans="4:7" customFormat="1" x14ac:dyDescent="0.35">
      <c r="D1281" s="51">
        <v>44546</v>
      </c>
      <c r="E1281" s="57">
        <v>0.95275100000000001</v>
      </c>
      <c r="F1281" s="57">
        <v>0.74331045248769156</v>
      </c>
      <c r="G1281" s="2">
        <v>91.428823276402582</v>
      </c>
    </row>
    <row r="1282" spans="4:7" customFormat="1" x14ac:dyDescent="0.35">
      <c r="D1282" s="51">
        <v>44545</v>
      </c>
      <c r="E1282" s="57">
        <v>1.035096</v>
      </c>
      <c r="F1282" s="57">
        <v>0.76939767612819965</v>
      </c>
      <c r="G1282" s="2">
        <v>88.328834500763776</v>
      </c>
    </row>
    <row r="1283" spans="4:7" customFormat="1" x14ac:dyDescent="0.35">
      <c r="D1283" s="51">
        <v>44544</v>
      </c>
      <c r="E1283" s="57">
        <v>0.95491899999999996</v>
      </c>
      <c r="F1283" s="57">
        <v>0.73471245949066422</v>
      </c>
      <c r="G1283" s="2">
        <v>92.498771624361623</v>
      </c>
    </row>
    <row r="1284" spans="4:7" customFormat="1" x14ac:dyDescent="0.35">
      <c r="D1284" s="51">
        <v>44543</v>
      </c>
      <c r="E1284" s="57">
        <v>0.98341500000000004</v>
      </c>
      <c r="F1284" s="57">
        <v>0.72252725335001156</v>
      </c>
      <c r="G1284" s="2">
        <v>94.058735756889646</v>
      </c>
    </row>
    <row r="1285" spans="4:7" customFormat="1" x14ac:dyDescent="0.35">
      <c r="D1285" s="51">
        <v>44542</v>
      </c>
      <c r="E1285" s="57">
        <v>1</v>
      </c>
      <c r="F1285" s="57">
        <v>0.72252725335001156</v>
      </c>
      <c r="G1285" s="2">
        <v>94.058735756889646</v>
      </c>
    </row>
    <row r="1286" spans="4:7" customFormat="1" x14ac:dyDescent="0.35">
      <c r="D1286" s="51">
        <v>44541</v>
      </c>
      <c r="E1286" s="57">
        <v>1</v>
      </c>
      <c r="F1286" s="57">
        <v>0.72252725335001156</v>
      </c>
      <c r="G1286" s="2">
        <v>94.058735756889646</v>
      </c>
    </row>
    <row r="1287" spans="4:7" customFormat="1" x14ac:dyDescent="0.35">
      <c r="D1287" s="51">
        <v>44540</v>
      </c>
      <c r="E1287" s="57">
        <v>0.99523899999999998</v>
      </c>
      <c r="F1287" s="57">
        <v>0.71908730109681218</v>
      </c>
      <c r="G1287" s="2">
        <v>94.50869163777709</v>
      </c>
    </row>
    <row r="1288" spans="4:7" customFormat="1" x14ac:dyDescent="0.35">
      <c r="D1288" s="51">
        <v>44539</v>
      </c>
      <c r="E1288" s="57">
        <v>0.96537300000000004</v>
      </c>
      <c r="F1288" s="57">
        <v>0.69418746512173291</v>
      </c>
      <c r="G1288" s="2">
        <v>97.898627409070997</v>
      </c>
    </row>
    <row r="1289" spans="4:7" customFormat="1" x14ac:dyDescent="0.35">
      <c r="D1289" s="51">
        <v>44538</v>
      </c>
      <c r="E1289" s="57">
        <v>1.022775</v>
      </c>
      <c r="F1289" s="57">
        <v>0.70999758463988039</v>
      </c>
      <c r="G1289" s="2">
        <v>95.718635485880071</v>
      </c>
    </row>
    <row r="1290" spans="4:7" customFormat="1" x14ac:dyDescent="0.35">
      <c r="D1290" s="51">
        <v>44537</v>
      </c>
      <c r="E1290" s="57">
        <v>1.0679460000000001</v>
      </c>
      <c r="F1290" s="57">
        <v>0.75823908052582178</v>
      </c>
      <c r="G1290" s="2">
        <v>89.628722319180994</v>
      </c>
    </row>
    <row r="1291" spans="4:7" customFormat="1" x14ac:dyDescent="0.35">
      <c r="D1291" s="51">
        <v>44536</v>
      </c>
      <c r="E1291" s="57">
        <v>1.001341</v>
      </c>
      <c r="F1291" s="57">
        <v>0.7592558791328069</v>
      </c>
      <c r="G1291" s="2">
        <v>89.508691164329619</v>
      </c>
    </row>
    <row r="1292" spans="4:7" customFormat="1" x14ac:dyDescent="0.35">
      <c r="D1292" s="51">
        <v>44535</v>
      </c>
      <c r="E1292" s="57">
        <v>1</v>
      </c>
      <c r="F1292" s="57">
        <v>0.7592558791328069</v>
      </c>
      <c r="G1292" s="2">
        <v>89.508691164329619</v>
      </c>
    </row>
    <row r="1293" spans="4:7" customFormat="1" x14ac:dyDescent="0.35">
      <c r="D1293" s="51">
        <v>44534</v>
      </c>
      <c r="E1293" s="57">
        <v>1</v>
      </c>
      <c r="F1293" s="57">
        <v>0.7592558791328069</v>
      </c>
      <c r="G1293" s="2">
        <v>89.508691164329619</v>
      </c>
    </row>
    <row r="1294" spans="4:7" customFormat="1" x14ac:dyDescent="0.35">
      <c r="D1294" s="51">
        <v>44533</v>
      </c>
      <c r="E1294" s="57">
        <v>0.93346499999999999</v>
      </c>
      <c r="F1294" s="57">
        <v>0.70873878921470557</v>
      </c>
      <c r="G1294" s="2">
        <v>95.888641956934251</v>
      </c>
    </row>
    <row r="1295" spans="4:7" customFormat="1" x14ac:dyDescent="0.35">
      <c r="D1295" s="51">
        <v>44532</v>
      </c>
      <c r="E1295" s="57">
        <v>1.007036</v>
      </c>
      <c r="F1295" s="57">
        <v>0.71372547533562025</v>
      </c>
      <c r="G1295" s="2">
        <v>95.218683301226818</v>
      </c>
    </row>
    <row r="1296" spans="4:7" customFormat="1" x14ac:dyDescent="0.35">
      <c r="D1296" s="51">
        <v>44531</v>
      </c>
      <c r="E1296" s="57">
        <v>0.92071199999999997</v>
      </c>
      <c r="F1296" s="57">
        <v>0.65713560984720953</v>
      </c>
      <c r="G1296" s="2">
        <v>103.41853185494142</v>
      </c>
    </row>
    <row r="1297" spans="4:7" customFormat="1" x14ac:dyDescent="0.35">
      <c r="D1297" s="51">
        <v>44530</v>
      </c>
      <c r="E1297" s="57">
        <v>0.96599999999999997</v>
      </c>
      <c r="F1297" s="57">
        <v>0.63479299911240439</v>
      </c>
      <c r="G1297" s="2">
        <v>107.05852158896627</v>
      </c>
    </row>
    <row r="1298" spans="4:7" customFormat="1" x14ac:dyDescent="0.35">
      <c r="D1298" s="51">
        <v>44529</v>
      </c>
      <c r="E1298" s="57">
        <v>1.0296209999999999</v>
      </c>
      <c r="F1298" s="57">
        <v>0.65359620253911288</v>
      </c>
      <c r="G1298" s="2">
        <v>103.97857229890054</v>
      </c>
    </row>
    <row r="1299" spans="4:7" customFormat="1" x14ac:dyDescent="0.35">
      <c r="D1299" s="51">
        <v>44528</v>
      </c>
      <c r="E1299" s="57">
        <v>1</v>
      </c>
      <c r="F1299" s="57">
        <v>0.65359620253911288</v>
      </c>
      <c r="G1299" s="2">
        <v>103.97857229890054</v>
      </c>
    </row>
    <row r="1300" spans="4:7" customFormat="1" x14ac:dyDescent="0.35">
      <c r="D1300" s="51">
        <v>44527</v>
      </c>
      <c r="E1300" s="57">
        <v>1</v>
      </c>
      <c r="F1300" s="57">
        <v>0.65359620253911288</v>
      </c>
      <c r="G1300" s="2">
        <v>103.97857229890054</v>
      </c>
    </row>
    <row r="1301" spans="4:7" customFormat="1" x14ac:dyDescent="0.35">
      <c r="D1301" s="51">
        <v>44526</v>
      </c>
      <c r="E1301" s="57">
        <v>0.97900399999999999</v>
      </c>
      <c r="F1301" s="57">
        <v>0.63987329667060167</v>
      </c>
      <c r="G1301" s="2">
        <v>106.20852652175124</v>
      </c>
    </row>
    <row r="1302" spans="4:7" customFormat="1" x14ac:dyDescent="0.35">
      <c r="D1302" s="51">
        <v>44525</v>
      </c>
      <c r="E1302" s="57">
        <v>1</v>
      </c>
      <c r="F1302" s="57">
        <v>0.63987329667060167</v>
      </c>
      <c r="G1302" s="2">
        <v>106.20852652175124</v>
      </c>
    </row>
    <row r="1303" spans="4:7" customFormat="1" x14ac:dyDescent="0.35">
      <c r="D1303" s="51">
        <v>44524</v>
      </c>
      <c r="E1303" s="57">
        <v>1.0337749999999999</v>
      </c>
      <c r="F1303" s="57">
        <v>0.66148501726565112</v>
      </c>
      <c r="G1303" s="2">
        <v>102.73853258373559</v>
      </c>
    </row>
    <row r="1304" spans="4:7" customFormat="1" x14ac:dyDescent="0.35">
      <c r="D1304" s="51">
        <v>44523</v>
      </c>
      <c r="E1304" s="57">
        <v>0.99486799999999997</v>
      </c>
      <c r="F1304" s="57">
        <v>0.65809027615704374</v>
      </c>
      <c r="G1304" s="2">
        <v>103.26850655939843</v>
      </c>
    </row>
    <row r="1305" spans="4:7" customFormat="1" x14ac:dyDescent="0.35">
      <c r="D1305" s="51">
        <v>44522</v>
      </c>
      <c r="E1305" s="57">
        <v>0.958067</v>
      </c>
      <c r="F1305" s="57">
        <v>0.63049457660695041</v>
      </c>
      <c r="G1305" s="2">
        <v>107.78839742877943</v>
      </c>
    </row>
    <row r="1306" spans="4:7" customFormat="1" x14ac:dyDescent="0.35">
      <c r="D1306" s="51">
        <v>44521</v>
      </c>
      <c r="E1306" s="57">
        <v>1</v>
      </c>
      <c r="F1306" s="57">
        <v>0.63049457660695041</v>
      </c>
      <c r="G1306" s="2">
        <v>107.78839742877943</v>
      </c>
    </row>
    <row r="1307" spans="4:7" customFormat="1" x14ac:dyDescent="0.35">
      <c r="D1307" s="51">
        <v>44520</v>
      </c>
      <c r="E1307" s="57">
        <v>1</v>
      </c>
      <c r="F1307" s="57">
        <v>0.63049457660695041</v>
      </c>
      <c r="G1307" s="2">
        <v>107.78839742877943</v>
      </c>
    </row>
    <row r="1308" spans="4:7" customFormat="1" x14ac:dyDescent="0.35">
      <c r="D1308" s="51">
        <v>44519</v>
      </c>
      <c r="E1308" s="57">
        <v>1.021997</v>
      </c>
      <c r="F1308" s="57">
        <v>0.64436356580857357</v>
      </c>
      <c r="G1308" s="2">
        <v>105.46840883953615</v>
      </c>
    </row>
    <row r="1309" spans="4:7" customFormat="1" x14ac:dyDescent="0.35">
      <c r="D1309" s="51">
        <v>44518</v>
      </c>
      <c r="E1309" s="57">
        <v>0.98111599999999999</v>
      </c>
      <c r="F1309" s="57">
        <v>0.6321954042318445</v>
      </c>
      <c r="G1309" s="2">
        <v>107.49840879114818</v>
      </c>
    </row>
    <row r="1310" spans="4:7" customFormat="1" x14ac:dyDescent="0.35">
      <c r="D1310" s="51">
        <v>44517</v>
      </c>
      <c r="E1310" s="57">
        <v>0.96291700000000002</v>
      </c>
      <c r="F1310" s="57">
        <v>0.60875170205671503</v>
      </c>
      <c r="G1310" s="2">
        <v>111.63829155695474</v>
      </c>
    </row>
    <row r="1311" spans="4:7" customFormat="1" x14ac:dyDescent="0.35">
      <c r="D1311" s="51">
        <v>44516</v>
      </c>
      <c r="E1311" s="57">
        <v>1.0587009999999999</v>
      </c>
      <c r="F1311" s="57">
        <v>0.6444860357191462</v>
      </c>
      <c r="G1311" s="2">
        <v>105.44836696759023</v>
      </c>
    </row>
    <row r="1312" spans="4:7" customFormat="1" x14ac:dyDescent="0.35">
      <c r="D1312" s="51">
        <v>44515</v>
      </c>
      <c r="E1312" s="57">
        <v>1.051032</v>
      </c>
      <c r="F1312" s="57">
        <v>0.67737544709396569</v>
      </c>
      <c r="G1312" s="2">
        <v>100.32840766750225</v>
      </c>
    </row>
    <row r="1313" spans="4:7" customFormat="1" x14ac:dyDescent="0.35">
      <c r="D1313" s="51">
        <v>44514</v>
      </c>
      <c r="E1313" s="57">
        <v>1</v>
      </c>
      <c r="F1313" s="57">
        <v>0.67737544709396569</v>
      </c>
      <c r="G1313" s="2">
        <v>100.32840766750225</v>
      </c>
    </row>
    <row r="1314" spans="4:7" customFormat="1" x14ac:dyDescent="0.35">
      <c r="D1314" s="51">
        <v>44513</v>
      </c>
      <c r="E1314" s="57">
        <v>1</v>
      </c>
      <c r="F1314" s="57">
        <v>0.67737544709396569</v>
      </c>
      <c r="G1314" s="2">
        <v>100.32840766750225</v>
      </c>
    </row>
    <row r="1315" spans="4:7" customFormat="1" x14ac:dyDescent="0.35">
      <c r="D1315" s="51">
        <v>44512</v>
      </c>
      <c r="E1315" s="57">
        <v>1.095904</v>
      </c>
      <c r="F1315" s="57">
        <v>0.74233846197206532</v>
      </c>
      <c r="G1315" s="2">
        <v>91.548536794739562</v>
      </c>
    </row>
    <row r="1316" spans="4:7" customFormat="1" x14ac:dyDescent="0.35">
      <c r="D1316" s="51">
        <v>44511</v>
      </c>
      <c r="E1316" s="57">
        <v>1.0325960000000001</v>
      </c>
      <c r="F1316" s="57">
        <v>0.76653572647850676</v>
      </c>
      <c r="G1316" s="2">
        <v>88.658620404049174</v>
      </c>
    </row>
    <row r="1317" spans="4:7" customFormat="1" x14ac:dyDescent="0.35">
      <c r="D1317" s="51">
        <v>44510</v>
      </c>
      <c r="E1317" s="57">
        <v>0.91317300000000001</v>
      </c>
      <c r="F1317" s="57">
        <v>0.69997972895555749</v>
      </c>
      <c r="G1317" s="2">
        <v>97.088525836888707</v>
      </c>
    </row>
    <row r="1318" spans="4:7" customFormat="1" x14ac:dyDescent="0.35">
      <c r="D1318" s="51">
        <v>44509</v>
      </c>
      <c r="E1318" s="57">
        <v>1.0939719999999999</v>
      </c>
      <c r="F1318" s="57">
        <v>0.76575822404496907</v>
      </c>
      <c r="G1318" s="2">
        <v>88.748638755734802</v>
      </c>
    </row>
    <row r="1319" spans="4:7" customFormat="1" x14ac:dyDescent="0.35">
      <c r="D1319" s="51">
        <v>44508</v>
      </c>
      <c r="E1319" s="57">
        <v>1.294675</v>
      </c>
      <c r="F1319" s="57">
        <v>0.99140802871542033</v>
      </c>
      <c r="G1319" s="2">
        <v>68.548970788603157</v>
      </c>
    </row>
    <row r="1320" spans="4:7" customFormat="1" x14ac:dyDescent="0.35">
      <c r="D1320" s="51">
        <v>44507</v>
      </c>
      <c r="E1320" s="57">
        <v>1</v>
      </c>
      <c r="F1320" s="57">
        <v>0.99140802871542033</v>
      </c>
      <c r="G1320" s="2">
        <v>68.548970788603157</v>
      </c>
    </row>
    <row r="1321" spans="4:7" customFormat="1" x14ac:dyDescent="0.35">
      <c r="D1321" s="51">
        <v>44506</v>
      </c>
      <c r="E1321" s="57">
        <v>1</v>
      </c>
      <c r="F1321" s="57">
        <v>0.99140802871542033</v>
      </c>
      <c r="G1321" s="2">
        <v>68.548970788603157</v>
      </c>
    </row>
    <row r="1322" spans="4:7" customFormat="1" x14ac:dyDescent="0.35">
      <c r="D1322" s="51">
        <v>44505</v>
      </c>
      <c r="E1322" s="57">
        <v>0.94643100000000002</v>
      </c>
      <c r="F1322" s="57">
        <v>0.93829929202516404</v>
      </c>
      <c r="G1322" s="2">
        <v>72.428915355269595</v>
      </c>
    </row>
    <row r="1323" spans="4:7" customFormat="1" x14ac:dyDescent="0.35">
      <c r="D1323" s="51">
        <v>44504</v>
      </c>
      <c r="E1323" s="57">
        <v>0.94420499999999996</v>
      </c>
      <c r="F1323" s="57">
        <v>0.88594688302661995</v>
      </c>
      <c r="G1323" s="2">
        <v>76.708887747120173</v>
      </c>
    </row>
    <row r="1324" spans="4:7" customFormat="1" x14ac:dyDescent="0.35">
      <c r="D1324" s="51">
        <v>44503</v>
      </c>
      <c r="E1324" s="57">
        <v>1.0222549999999999</v>
      </c>
      <c r="F1324" s="57">
        <v>0.90566363090837732</v>
      </c>
      <c r="G1324" s="2">
        <v>75.038897092330359</v>
      </c>
    </row>
    <row r="1325" spans="4:7" customFormat="1" x14ac:dyDescent="0.35">
      <c r="D1325" s="51">
        <v>44502</v>
      </c>
      <c r="E1325" s="57">
        <v>0.981043</v>
      </c>
      <c r="F1325" s="57">
        <v>0.88849496545724715</v>
      </c>
      <c r="G1325" s="2">
        <v>76.488897114938254</v>
      </c>
    </row>
    <row r="1326" spans="4:7" customFormat="1" x14ac:dyDescent="0.35">
      <c r="D1326" s="51">
        <v>44501</v>
      </c>
      <c r="E1326" s="57">
        <v>1.0210919999999999</v>
      </c>
      <c r="F1326" s="57">
        <v>0.90723510126867135</v>
      </c>
      <c r="G1326" s="2">
        <v>74.908918212010533</v>
      </c>
    </row>
    <row r="1327" spans="4:7" customFormat="1" x14ac:dyDescent="0.35">
      <c r="D1327" s="51">
        <v>44500</v>
      </c>
      <c r="E1327" s="57">
        <v>1</v>
      </c>
      <c r="F1327" s="57">
        <v>0.90723510126867135</v>
      </c>
      <c r="G1327" s="2">
        <v>74.908918212010533</v>
      </c>
    </row>
    <row r="1328" spans="4:7" customFormat="1" x14ac:dyDescent="0.35">
      <c r="D1328" s="51">
        <v>44499</v>
      </c>
      <c r="E1328" s="57">
        <v>1</v>
      </c>
      <c r="F1328" s="57">
        <v>0.90723510126867135</v>
      </c>
      <c r="G1328" s="2">
        <v>74.908918212010533</v>
      </c>
    </row>
    <row r="1329" spans="4:7" customFormat="1" x14ac:dyDescent="0.35">
      <c r="D1329" s="51">
        <v>44498</v>
      </c>
      <c r="E1329" s="57">
        <v>0.99310600000000004</v>
      </c>
      <c r="F1329" s="57">
        <v>0.90098062248052513</v>
      </c>
      <c r="G1329" s="2">
        <v>75.428925222494414</v>
      </c>
    </row>
    <row r="1330" spans="4:7" customFormat="1" x14ac:dyDescent="0.35">
      <c r="D1330" s="51">
        <v>44497</v>
      </c>
      <c r="E1330" s="57">
        <v>1.0325800000000001</v>
      </c>
      <c r="F1330" s="57">
        <v>0.93033457116094065</v>
      </c>
      <c r="G1330" s="2">
        <v>73.048989155798495</v>
      </c>
    </row>
    <row r="1331" spans="4:7" customFormat="1" x14ac:dyDescent="0.35">
      <c r="D1331" s="51">
        <v>44496</v>
      </c>
      <c r="E1331" s="57">
        <v>0.95142000000000004</v>
      </c>
      <c r="F1331" s="57">
        <v>0.88513891769394215</v>
      </c>
      <c r="G1331" s="2">
        <v>76.778908532297507</v>
      </c>
    </row>
    <row r="1332" spans="4:7" customFormat="1" x14ac:dyDescent="0.35">
      <c r="D1332" s="51">
        <v>44495</v>
      </c>
      <c r="E1332" s="57">
        <v>1.0088029999999999</v>
      </c>
      <c r="F1332" s="57">
        <v>0.89293079558640187</v>
      </c>
      <c r="G1332" s="2">
        <v>76.108921694619767</v>
      </c>
    </row>
    <row r="1333" spans="4:7" customFormat="1" x14ac:dyDescent="0.35">
      <c r="D1333" s="51">
        <v>44494</v>
      </c>
      <c r="E1333" s="57">
        <v>1.0290699999999999</v>
      </c>
      <c r="F1333" s="57">
        <v>0.91888829381409853</v>
      </c>
      <c r="G1333" s="2">
        <v>73.958935441340017</v>
      </c>
    </row>
    <row r="1334" spans="4:7" customFormat="1" x14ac:dyDescent="0.35">
      <c r="D1334" s="51">
        <v>44493</v>
      </c>
      <c r="E1334" s="57">
        <v>1</v>
      </c>
      <c r="F1334" s="57">
        <v>0.91888829381409853</v>
      </c>
      <c r="G1334" s="2">
        <v>73.958935441340017</v>
      </c>
    </row>
    <row r="1335" spans="4:7" customFormat="1" x14ac:dyDescent="0.35">
      <c r="D1335" s="51">
        <v>44492</v>
      </c>
      <c r="E1335" s="57">
        <v>1</v>
      </c>
      <c r="F1335" s="57">
        <v>0.91888829381409853</v>
      </c>
      <c r="G1335" s="2">
        <v>73.958935441340017</v>
      </c>
    </row>
    <row r="1336" spans="4:7" customFormat="1" x14ac:dyDescent="0.35">
      <c r="D1336" s="51">
        <v>44491</v>
      </c>
      <c r="E1336" s="57">
        <v>0.91241099999999997</v>
      </c>
      <c r="F1336" s="57">
        <v>0.83840378704721541</v>
      </c>
      <c r="G1336" s="2">
        <v>81.058794163310196</v>
      </c>
    </row>
    <row r="1337" spans="4:7" customFormat="1" x14ac:dyDescent="0.35">
      <c r="D1337" s="51">
        <v>44490</v>
      </c>
      <c r="E1337" s="57">
        <v>1.0188539999999999</v>
      </c>
      <c r="F1337" s="57">
        <v>0.85421105204820358</v>
      </c>
      <c r="G1337" s="2">
        <v>79.558792686008204</v>
      </c>
    </row>
    <row r="1338" spans="4:7" customFormat="1" x14ac:dyDescent="0.35">
      <c r="D1338" s="51">
        <v>44489</v>
      </c>
      <c r="E1338" s="57">
        <v>0.97727600000000003</v>
      </c>
      <c r="F1338" s="57">
        <v>0.83479996010146018</v>
      </c>
      <c r="G1338" s="2">
        <v>81.40872454251226</v>
      </c>
    </row>
    <row r="1339" spans="4:7" customFormat="1" x14ac:dyDescent="0.35">
      <c r="D1339" s="51">
        <v>44488</v>
      </c>
      <c r="E1339" s="57">
        <v>1.0073000000000001</v>
      </c>
      <c r="F1339" s="57">
        <v>0.84089399981020096</v>
      </c>
      <c r="G1339" s="2">
        <v>80.81874768441601</v>
      </c>
    </row>
    <row r="1340" spans="4:7" customFormat="1" x14ac:dyDescent="0.35">
      <c r="D1340" s="51">
        <v>44487</v>
      </c>
      <c r="E1340" s="57">
        <v>1.030079</v>
      </c>
      <c r="F1340" s="57">
        <v>0.86618725043049194</v>
      </c>
      <c r="G1340" s="2">
        <v>78.45878586440071</v>
      </c>
    </row>
    <row r="1341" spans="4:7" customFormat="1" x14ac:dyDescent="0.35">
      <c r="D1341" s="51">
        <v>44486</v>
      </c>
      <c r="E1341" s="57">
        <v>1</v>
      </c>
      <c r="F1341" s="57">
        <v>0.86618725043049194</v>
      </c>
      <c r="G1341" s="2">
        <v>78.45878586440071</v>
      </c>
    </row>
    <row r="1342" spans="4:7" customFormat="1" x14ac:dyDescent="0.35">
      <c r="D1342" s="51">
        <v>44485</v>
      </c>
      <c r="E1342" s="57">
        <v>1</v>
      </c>
      <c r="F1342" s="57">
        <v>0.86618725043049194</v>
      </c>
      <c r="G1342" s="2">
        <v>78.45878586440071</v>
      </c>
    </row>
    <row r="1343" spans="4:7" customFormat="1" x14ac:dyDescent="0.35">
      <c r="D1343" s="51">
        <v>44484</v>
      </c>
      <c r="E1343" s="57">
        <v>1.017771</v>
      </c>
      <c r="F1343" s="57">
        <v>0.88158026405789225</v>
      </c>
      <c r="G1343" s="2">
        <v>77.088840087210883</v>
      </c>
    </row>
    <row r="1344" spans="4:7" customFormat="1" x14ac:dyDescent="0.35">
      <c r="D1344" s="51">
        <v>44483</v>
      </c>
      <c r="E1344" s="57">
        <v>1.0180929999999999</v>
      </c>
      <c r="F1344" s="57">
        <v>0.8975306957754916</v>
      </c>
      <c r="G1344" s="2">
        <v>75.718858775387787</v>
      </c>
    </row>
    <row r="1345" spans="4:7" customFormat="1" x14ac:dyDescent="0.35">
      <c r="D1345" s="51">
        <v>44482</v>
      </c>
      <c r="E1345" s="57">
        <v>1.0408249999999999</v>
      </c>
      <c r="F1345" s="57">
        <v>0.93417238643052591</v>
      </c>
      <c r="G1345" s="2">
        <v>72.748885523875586</v>
      </c>
    </row>
    <row r="1346" spans="4:7" customFormat="1" x14ac:dyDescent="0.35">
      <c r="D1346" s="51">
        <v>44481</v>
      </c>
      <c r="E1346" s="57">
        <v>1.028705</v>
      </c>
      <c r="F1346" s="57">
        <v>0.96098780478301415</v>
      </c>
      <c r="G1346" s="2">
        <v>70.718899513345008</v>
      </c>
    </row>
    <row r="1347" spans="4:7" customFormat="1" x14ac:dyDescent="0.35">
      <c r="D1347" s="51">
        <v>44480</v>
      </c>
      <c r="E1347" s="57">
        <v>0.99605600000000005</v>
      </c>
      <c r="F1347" s="57">
        <v>0.95719766888095004</v>
      </c>
      <c r="G1347" s="2">
        <v>70.998919250870443</v>
      </c>
    </row>
    <row r="1348" spans="4:7" customFormat="1" x14ac:dyDescent="0.35">
      <c r="D1348" s="51">
        <v>44479</v>
      </c>
      <c r="E1348" s="57">
        <v>1</v>
      </c>
      <c r="F1348" s="57">
        <v>0.95719766888095004</v>
      </c>
      <c r="G1348" s="2">
        <v>70.998919250870443</v>
      </c>
    </row>
    <row r="1349" spans="4:7" customFormat="1" x14ac:dyDescent="0.35">
      <c r="D1349" s="51">
        <v>44478</v>
      </c>
      <c r="E1349" s="57">
        <v>1</v>
      </c>
      <c r="F1349" s="57">
        <v>0.95719766888095004</v>
      </c>
      <c r="G1349" s="2">
        <v>70.998919250870443</v>
      </c>
    </row>
    <row r="1350" spans="4:7" customFormat="1" x14ac:dyDescent="0.35">
      <c r="D1350" s="51">
        <v>44477</v>
      </c>
      <c r="E1350" s="57">
        <v>1.0082359999999999</v>
      </c>
      <c r="F1350" s="57">
        <v>0.96508114888185348</v>
      </c>
      <c r="G1350" s="2">
        <v>70.418948788647143</v>
      </c>
    </row>
    <row r="1351" spans="4:7" customFormat="1" x14ac:dyDescent="0.35">
      <c r="D1351" s="51">
        <v>44476</v>
      </c>
      <c r="E1351" s="57">
        <v>1.031191</v>
      </c>
      <c r="F1351" s="57">
        <v>0.99518299499662732</v>
      </c>
      <c r="G1351" s="2">
        <v>68.288948205179395</v>
      </c>
    </row>
    <row r="1352" spans="4:7" customFormat="1" x14ac:dyDescent="0.35">
      <c r="D1352" s="51">
        <v>44475</v>
      </c>
      <c r="E1352" s="57">
        <v>1.0102070000000001</v>
      </c>
      <c r="F1352" s="57">
        <v>1.0053408278265579</v>
      </c>
      <c r="G1352" s="2">
        <v>67.598965563671015</v>
      </c>
    </row>
    <row r="1353" spans="4:7" customFormat="1" x14ac:dyDescent="0.35">
      <c r="D1353" s="51">
        <v>44474</v>
      </c>
      <c r="E1353" s="57">
        <v>1.0237769999999999</v>
      </c>
      <c r="F1353" s="57">
        <v>1.0292448166897898</v>
      </c>
      <c r="G1353" s="2">
        <v>66.028994169307396</v>
      </c>
    </row>
    <row r="1354" spans="4:7" customFormat="1" x14ac:dyDescent="0.35">
      <c r="D1354" s="51">
        <v>44473</v>
      </c>
      <c r="E1354" s="57">
        <v>0.93766000000000005</v>
      </c>
      <c r="F1354" s="57">
        <v>0.9650816948173484</v>
      </c>
      <c r="G1354" s="2">
        <v>70.418908953466499</v>
      </c>
    </row>
    <row r="1355" spans="4:7" customFormat="1" x14ac:dyDescent="0.35">
      <c r="D1355" s="51">
        <v>44472</v>
      </c>
      <c r="E1355" s="57">
        <v>1</v>
      </c>
      <c r="F1355" s="57">
        <v>0.9650816948173484</v>
      </c>
      <c r="G1355" s="2">
        <v>70.418908953466499</v>
      </c>
    </row>
    <row r="1356" spans="4:7" customFormat="1" x14ac:dyDescent="0.35">
      <c r="D1356" s="51">
        <v>44471</v>
      </c>
      <c r="E1356" s="57">
        <v>1</v>
      </c>
      <c r="F1356" s="57">
        <v>0.9650816948173484</v>
      </c>
      <c r="G1356" s="2">
        <v>70.418908953466499</v>
      </c>
    </row>
    <row r="1357" spans="4:7" customFormat="1" x14ac:dyDescent="0.35">
      <c r="D1357" s="51">
        <v>44470</v>
      </c>
      <c r="E1357" s="57">
        <v>1.0017069999999999</v>
      </c>
      <c r="F1357" s="57">
        <v>0.96672908927040158</v>
      </c>
      <c r="G1357" s="2">
        <v>70.298908716287798</v>
      </c>
    </row>
    <row r="1358" spans="4:7" customFormat="1" x14ac:dyDescent="0.35">
      <c r="D1358" s="51">
        <v>44469</v>
      </c>
      <c r="E1358" s="57">
        <v>1.0367200000000001</v>
      </c>
      <c r="F1358" s="57">
        <v>1.0022273814284108</v>
      </c>
      <c r="G1358" s="2">
        <v>67.808963573855806</v>
      </c>
    </row>
    <row r="1359" spans="4:7" customFormat="1" x14ac:dyDescent="0.35">
      <c r="D1359" s="51">
        <v>44468</v>
      </c>
      <c r="E1359" s="57">
        <v>0.97892299999999999</v>
      </c>
      <c r="F1359" s="57">
        <v>0.98110343491004426</v>
      </c>
      <c r="G1359" s="2">
        <v>69.268945130368579</v>
      </c>
    </row>
    <row r="1360" spans="4:7" customFormat="1" x14ac:dyDescent="0.35">
      <c r="D1360" s="51">
        <v>44467</v>
      </c>
      <c r="E1360" s="57">
        <v>0.91397300000000004</v>
      </c>
      <c r="F1360" s="57">
        <v>0.89670204971503786</v>
      </c>
      <c r="G1360" s="2">
        <v>75.788830884904229</v>
      </c>
    </row>
    <row r="1361" spans="4:7" customFormat="1" x14ac:dyDescent="0.35">
      <c r="D1361" s="51">
        <v>44466</v>
      </c>
      <c r="E1361" s="57">
        <v>0.99123700000000003</v>
      </c>
      <c r="F1361" s="57">
        <v>0.88884424965338504</v>
      </c>
      <c r="G1361" s="2">
        <v>76.458839697170532</v>
      </c>
    </row>
    <row r="1362" spans="4:7" customFormat="1" x14ac:dyDescent="0.35">
      <c r="D1362" s="51">
        <v>44465</v>
      </c>
      <c r="E1362" s="57">
        <v>1</v>
      </c>
      <c r="F1362" s="57">
        <v>0.88884424965338504</v>
      </c>
      <c r="G1362" s="2">
        <v>76.458839697170532</v>
      </c>
    </row>
    <row r="1363" spans="4:7" customFormat="1" x14ac:dyDescent="0.35">
      <c r="D1363" s="51">
        <v>44464</v>
      </c>
      <c r="E1363" s="57">
        <v>1</v>
      </c>
      <c r="F1363" s="57">
        <v>0.88884424965338504</v>
      </c>
      <c r="G1363" s="2">
        <v>76.458839697170532</v>
      </c>
    </row>
    <row r="1364" spans="4:7" customFormat="1" x14ac:dyDescent="0.35">
      <c r="D1364" s="51">
        <v>44463</v>
      </c>
      <c r="E1364" s="57">
        <v>1.000785</v>
      </c>
      <c r="F1364" s="57">
        <v>0.88954199238936293</v>
      </c>
      <c r="G1364" s="2">
        <v>76.398866586899814</v>
      </c>
    </row>
    <row r="1365" spans="4:7" customFormat="1" x14ac:dyDescent="0.35">
      <c r="D1365" s="51">
        <v>44462</v>
      </c>
      <c r="E1365" s="57">
        <v>1.0108490000000001</v>
      </c>
      <c r="F1365" s="57">
        <v>0.89919263346479528</v>
      </c>
      <c r="G1365" s="2">
        <v>75.578910981659774</v>
      </c>
    </row>
    <row r="1366" spans="4:7" customFormat="1" x14ac:dyDescent="0.35">
      <c r="D1366" s="51">
        <v>44461</v>
      </c>
      <c r="E1366" s="57">
        <v>1.047685</v>
      </c>
      <c r="F1366" s="57">
        <v>0.942070634191564</v>
      </c>
      <c r="G1366" s="2">
        <v>72.138964461321663</v>
      </c>
    </row>
    <row r="1367" spans="4:7" customFormat="1" x14ac:dyDescent="0.35">
      <c r="D1367" s="51">
        <v>44460</v>
      </c>
      <c r="E1367" s="57">
        <v>1.034859</v>
      </c>
      <c r="F1367" s="57">
        <v>0.9749102744288477</v>
      </c>
      <c r="G1367" s="2">
        <v>69.708979156891573</v>
      </c>
    </row>
    <row r="1368" spans="4:7" customFormat="1" x14ac:dyDescent="0.35">
      <c r="D1368" s="51">
        <v>44459</v>
      </c>
      <c r="E1368" s="57">
        <v>0.96045700000000001</v>
      </c>
      <c r="F1368" s="57">
        <v>0.93635939744710783</v>
      </c>
      <c r="G1368" s="2">
        <v>72.578969341565085</v>
      </c>
    </row>
    <row r="1369" spans="4:7" customFormat="1" x14ac:dyDescent="0.35">
      <c r="D1369" s="51">
        <v>44458</v>
      </c>
      <c r="E1369" s="57">
        <v>1</v>
      </c>
      <c r="F1369" s="57">
        <v>0.93635939744710783</v>
      </c>
      <c r="G1369" s="2">
        <v>72.578969341565085</v>
      </c>
    </row>
    <row r="1370" spans="4:7" customFormat="1" x14ac:dyDescent="0.35">
      <c r="D1370" s="51">
        <v>44457</v>
      </c>
      <c r="E1370" s="57">
        <v>1</v>
      </c>
      <c r="F1370" s="57">
        <v>0.93635939744710783</v>
      </c>
      <c r="G1370" s="2">
        <v>72.578969341565085</v>
      </c>
    </row>
    <row r="1371" spans="4:7" customFormat="1" x14ac:dyDescent="0.35">
      <c r="D1371" s="51">
        <v>44456</v>
      </c>
      <c r="E1371" s="57">
        <v>0.99153000000000002</v>
      </c>
      <c r="F1371" s="57">
        <v>0.92842843335073089</v>
      </c>
      <c r="G1371" s="2">
        <v>73.198964571485561</v>
      </c>
    </row>
    <row r="1372" spans="4:7" customFormat="1" x14ac:dyDescent="0.35">
      <c r="D1372" s="51">
        <v>44455</v>
      </c>
      <c r="E1372" s="57">
        <v>1.033606</v>
      </c>
      <c r="F1372" s="57">
        <v>0.95962919928191559</v>
      </c>
      <c r="G1372" s="2">
        <v>70.819020566333364</v>
      </c>
    </row>
    <row r="1373" spans="4:7" customFormat="1" x14ac:dyDescent="0.35">
      <c r="D1373" s="51">
        <v>44454</v>
      </c>
      <c r="E1373" s="57">
        <v>0.99985900000000005</v>
      </c>
      <c r="F1373" s="57">
        <v>0.9594938915648169</v>
      </c>
      <c r="G1373" s="2">
        <v>70.829007456384701</v>
      </c>
    </row>
    <row r="1374" spans="4:7" customFormat="1" x14ac:dyDescent="0.35">
      <c r="D1374" s="51">
        <v>44453</v>
      </c>
      <c r="E1374" s="57">
        <v>0.99480299999999999</v>
      </c>
      <c r="F1374" s="57">
        <v>0.95450740181035454</v>
      </c>
      <c r="G1374" s="2">
        <v>71.199028809105627</v>
      </c>
    </row>
    <row r="1375" spans="4:7" customFormat="1" x14ac:dyDescent="0.35">
      <c r="D1375" s="51">
        <v>44452</v>
      </c>
      <c r="E1375" s="57">
        <v>0.97829100000000002</v>
      </c>
      <c r="F1375" s="57">
        <v>0.9337860006244536</v>
      </c>
      <c r="G1375" s="2">
        <v>72.77898785648199</v>
      </c>
    </row>
    <row r="1376" spans="4:7" customFormat="1" x14ac:dyDescent="0.35">
      <c r="D1376" s="51">
        <v>44451</v>
      </c>
      <c r="E1376" s="57">
        <v>1</v>
      </c>
      <c r="F1376" s="57">
        <v>0.9337860006244536</v>
      </c>
      <c r="G1376" s="2">
        <v>72.77898785648199</v>
      </c>
    </row>
    <row r="1377" spans="4:7" customFormat="1" x14ac:dyDescent="0.35">
      <c r="D1377" s="51">
        <v>44450</v>
      </c>
      <c r="E1377" s="57">
        <v>1</v>
      </c>
      <c r="F1377" s="57">
        <v>0.9337860006244536</v>
      </c>
      <c r="G1377" s="2">
        <v>72.77898785648199</v>
      </c>
    </row>
    <row r="1378" spans="4:7" customFormat="1" x14ac:dyDescent="0.35">
      <c r="D1378" s="51">
        <v>44449</v>
      </c>
      <c r="E1378" s="57">
        <v>0.99945099999999998</v>
      </c>
      <c r="F1378" s="57">
        <v>0.93327335211011075</v>
      </c>
      <c r="G1378" s="2">
        <v>72.818965468524212</v>
      </c>
    </row>
    <row r="1379" spans="4:7" customFormat="1" x14ac:dyDescent="0.35">
      <c r="D1379" s="51">
        <v>44448</v>
      </c>
      <c r="E1379" s="57">
        <v>1.0071920000000001</v>
      </c>
      <c r="F1379" s="57">
        <v>0.93998545405848677</v>
      </c>
      <c r="G1379" s="2">
        <v>72.298991124357826</v>
      </c>
    </row>
    <row r="1380" spans="4:7" customFormat="1" x14ac:dyDescent="0.35">
      <c r="D1380" s="51">
        <v>44447</v>
      </c>
      <c r="E1380" s="57">
        <v>0.96041399999999999</v>
      </c>
      <c r="F1380" s="57">
        <v>0.90277518987412753</v>
      </c>
      <c r="G1380" s="2">
        <v>75.278985025580454</v>
      </c>
    </row>
    <row r="1381" spans="4:7" customFormat="1" x14ac:dyDescent="0.35">
      <c r="D1381" s="51">
        <v>44446</v>
      </c>
      <c r="E1381" s="57">
        <v>0.96265999999999996</v>
      </c>
      <c r="F1381" s="57">
        <v>0.86906556428422754</v>
      </c>
      <c r="G1381" s="2">
        <v>78.198933190929779</v>
      </c>
    </row>
    <row r="1382" spans="4:7" customFormat="1" x14ac:dyDescent="0.35">
      <c r="D1382" s="51">
        <v>44445</v>
      </c>
      <c r="E1382" s="57">
        <v>1</v>
      </c>
      <c r="F1382" s="57">
        <v>0.86906556428422754</v>
      </c>
      <c r="G1382" s="2">
        <v>78.198933190929779</v>
      </c>
    </row>
    <row r="1383" spans="4:7" customFormat="1" x14ac:dyDescent="0.35">
      <c r="D1383" s="51">
        <v>44444</v>
      </c>
      <c r="E1383" s="57">
        <v>1</v>
      </c>
      <c r="F1383" s="57">
        <v>0.86906556428422754</v>
      </c>
      <c r="G1383" s="2">
        <v>78.198933190929779</v>
      </c>
    </row>
    <row r="1384" spans="4:7" customFormat="1" x14ac:dyDescent="0.35">
      <c r="D1384" s="51">
        <v>44443</v>
      </c>
      <c r="E1384" s="57">
        <v>1</v>
      </c>
      <c r="F1384" s="57">
        <v>0.86906556428422754</v>
      </c>
      <c r="G1384" s="2">
        <v>78.198933190929779</v>
      </c>
    </row>
    <row r="1385" spans="4:7" customFormat="1" x14ac:dyDescent="0.35">
      <c r="D1385" s="51">
        <v>44442</v>
      </c>
      <c r="E1385" s="57">
        <v>1.0023070000000001</v>
      </c>
      <c r="F1385" s="57">
        <v>0.87107049854103136</v>
      </c>
      <c r="G1385" s="2">
        <v>78.018943488302256</v>
      </c>
    </row>
    <row r="1386" spans="4:7" customFormat="1" x14ac:dyDescent="0.35">
      <c r="D1386" s="51">
        <v>44441</v>
      </c>
      <c r="E1386" s="57">
        <v>0.98126000000000002</v>
      </c>
      <c r="F1386" s="57">
        <v>0.85474663739837242</v>
      </c>
      <c r="G1386" s="2">
        <v>79.50894104345663</v>
      </c>
    </row>
    <row r="1387" spans="4:7" customFormat="1" x14ac:dyDescent="0.35">
      <c r="D1387" s="51">
        <v>44440</v>
      </c>
      <c r="E1387" s="57">
        <v>0.99325399999999997</v>
      </c>
      <c r="F1387" s="57">
        <v>0.84898051658248297</v>
      </c>
      <c r="G1387" s="2">
        <v>80.048951268715385</v>
      </c>
    </row>
    <row r="1388" spans="4:7" customFormat="1" x14ac:dyDescent="0.35">
      <c r="D1388" s="51">
        <v>44439</v>
      </c>
      <c r="E1388" s="57">
        <v>0.99182300000000001</v>
      </c>
      <c r="F1388" s="57">
        <v>0.84203840289838805</v>
      </c>
      <c r="G1388" s="2">
        <v>80.708908009509145</v>
      </c>
    </row>
    <row r="1389" spans="4:7" customFormat="1" x14ac:dyDescent="0.35">
      <c r="D1389" s="51">
        <v>44438</v>
      </c>
      <c r="E1389" s="57">
        <v>1.0016130000000001</v>
      </c>
      <c r="F1389" s="57">
        <v>0.84339661084226325</v>
      </c>
      <c r="G1389" s="2">
        <v>80.578934188662814</v>
      </c>
    </row>
    <row r="1390" spans="4:7" customFormat="1" x14ac:dyDescent="0.35">
      <c r="D1390" s="51">
        <v>44437</v>
      </c>
      <c r="E1390" s="57">
        <v>1</v>
      </c>
      <c r="F1390" s="57">
        <v>0.84339661084226325</v>
      </c>
      <c r="G1390" s="2">
        <v>80.578934188662814</v>
      </c>
    </row>
    <row r="1391" spans="4:7" customFormat="1" x14ac:dyDescent="0.35">
      <c r="D1391" s="51">
        <v>44436</v>
      </c>
      <c r="E1391" s="57">
        <v>1</v>
      </c>
      <c r="F1391" s="57">
        <v>0.84339661084226325</v>
      </c>
      <c r="G1391" s="2">
        <v>80.578934188662814</v>
      </c>
    </row>
    <row r="1392" spans="4:7" customFormat="1" x14ac:dyDescent="0.35">
      <c r="D1392" s="51">
        <v>44435</v>
      </c>
      <c r="E1392" s="57">
        <v>1.027544</v>
      </c>
      <c r="F1392" s="57">
        <v>0.86662712709130252</v>
      </c>
      <c r="G1392" s="2">
        <v>78.418962291310947</v>
      </c>
    </row>
    <row r="1393" spans="4:7" customFormat="1" x14ac:dyDescent="0.35">
      <c r="D1393" s="51">
        <v>44434</v>
      </c>
      <c r="E1393" s="57">
        <v>0.97951500000000002</v>
      </c>
      <c r="F1393" s="57">
        <v>0.84887427039283725</v>
      </c>
      <c r="G1393" s="2">
        <v>80.058970297862658</v>
      </c>
    </row>
    <row r="1394" spans="4:7" customFormat="1" x14ac:dyDescent="0.35">
      <c r="D1394" s="51">
        <v>44433</v>
      </c>
      <c r="E1394" s="57">
        <v>0.99305399999999999</v>
      </c>
      <c r="F1394" s="57">
        <v>0.8429779897106886</v>
      </c>
      <c r="G1394" s="2">
        <v>80.61894952123717</v>
      </c>
    </row>
    <row r="1395" spans="4:7" customFormat="1" x14ac:dyDescent="0.35">
      <c r="D1395" s="51">
        <v>44432</v>
      </c>
      <c r="E1395" s="57">
        <v>1.015493</v>
      </c>
      <c r="F1395" s="57">
        <v>0.85603824770527626</v>
      </c>
      <c r="G1395" s="2">
        <v>79.388976114298359</v>
      </c>
    </row>
    <row r="1396" spans="4:7" customFormat="1" x14ac:dyDescent="0.35">
      <c r="D1396" s="51">
        <v>44431</v>
      </c>
      <c r="E1396" s="57">
        <v>1.028634</v>
      </c>
      <c r="F1396" s="57">
        <v>0.88055004689006922</v>
      </c>
      <c r="G1396" s="2">
        <v>77.179031720027083</v>
      </c>
    </row>
    <row r="1397" spans="4:7" customFormat="1" x14ac:dyDescent="0.35">
      <c r="D1397" s="51">
        <v>44430</v>
      </c>
      <c r="E1397" s="57">
        <v>1</v>
      </c>
      <c r="F1397" s="57">
        <v>0.88055004689006922</v>
      </c>
      <c r="G1397" s="2">
        <v>77.179031720027083</v>
      </c>
    </row>
    <row r="1398" spans="4:7" customFormat="1" x14ac:dyDescent="0.35">
      <c r="D1398" s="51">
        <v>44429</v>
      </c>
      <c r="E1398" s="57">
        <v>1</v>
      </c>
      <c r="F1398" s="57">
        <v>0.88055004689006922</v>
      </c>
      <c r="G1398" s="2">
        <v>77.179031720027083</v>
      </c>
    </row>
    <row r="1399" spans="4:7" customFormat="1" x14ac:dyDescent="0.35">
      <c r="D1399" s="51">
        <v>44428</v>
      </c>
      <c r="E1399" s="57">
        <v>1.01834</v>
      </c>
      <c r="F1399" s="57">
        <v>0.89669933475003305</v>
      </c>
      <c r="G1399" s="2">
        <v>75.789060353150319</v>
      </c>
    </row>
    <row r="1400" spans="4:7" customFormat="1" x14ac:dyDescent="0.35">
      <c r="D1400" s="51">
        <v>44427</v>
      </c>
      <c r="E1400" s="57">
        <v>0.98556600000000005</v>
      </c>
      <c r="F1400" s="57">
        <v>0.88375637655225114</v>
      </c>
      <c r="G1400" s="2">
        <v>76.899020819661303</v>
      </c>
    </row>
    <row r="1401" spans="4:7" customFormat="1" x14ac:dyDescent="0.35">
      <c r="D1401" s="51">
        <v>44426</v>
      </c>
      <c r="E1401" s="57">
        <v>0.970225</v>
      </c>
      <c r="F1401" s="57">
        <v>0.85744253044040786</v>
      </c>
      <c r="G1401" s="2">
        <v>79.258956241759691</v>
      </c>
    </row>
    <row r="1402" spans="4:7" customFormat="1" x14ac:dyDescent="0.35">
      <c r="D1402" s="51">
        <v>44425</v>
      </c>
      <c r="E1402" s="57">
        <v>1.0037990000000001</v>
      </c>
      <c r="F1402" s="57">
        <v>0.86069995461355109</v>
      </c>
      <c r="G1402" s="2">
        <v>78.958991034818411</v>
      </c>
    </row>
    <row r="1403" spans="4:7" customFormat="1" x14ac:dyDescent="0.35">
      <c r="D1403" s="51">
        <v>44424</v>
      </c>
      <c r="E1403" s="57">
        <v>0.97589899999999996</v>
      </c>
      <c r="F1403" s="57">
        <v>0.83995622500740985</v>
      </c>
      <c r="G1403" s="2">
        <v>80.908978321341053</v>
      </c>
    </row>
    <row r="1404" spans="4:7" customFormat="1" x14ac:dyDescent="0.35">
      <c r="D1404" s="51">
        <v>44423</v>
      </c>
      <c r="E1404" s="57">
        <v>1</v>
      </c>
      <c r="F1404" s="57">
        <v>0.83995622500740985</v>
      </c>
      <c r="G1404" s="2">
        <v>80.908978321341053</v>
      </c>
    </row>
    <row r="1405" spans="4:7" customFormat="1" x14ac:dyDescent="0.35">
      <c r="D1405" s="51">
        <v>44422</v>
      </c>
      <c r="E1405" s="57">
        <v>1</v>
      </c>
      <c r="F1405" s="57">
        <v>0.83995622500740985</v>
      </c>
      <c r="G1405" s="2">
        <v>80.908978321341053</v>
      </c>
    </row>
    <row r="1406" spans="4:7" customFormat="1" x14ac:dyDescent="0.35">
      <c r="D1406" s="51">
        <v>44421</v>
      </c>
      <c r="E1406" s="57">
        <v>0.94510000000000005</v>
      </c>
      <c r="F1406" s="57">
        <v>0.79384262825450314</v>
      </c>
      <c r="G1406" s="2">
        <v>85.608907333976347</v>
      </c>
    </row>
    <row r="1407" spans="4:7" customFormat="1" x14ac:dyDescent="0.35">
      <c r="D1407" s="51">
        <v>44420</v>
      </c>
      <c r="E1407" s="57">
        <v>1.038956</v>
      </c>
      <c r="F1407" s="57">
        <v>0.82476756168078558</v>
      </c>
      <c r="G1407" s="2">
        <v>82.398972943971017</v>
      </c>
    </row>
    <row r="1408" spans="4:7" customFormat="1" x14ac:dyDescent="0.35">
      <c r="D1408" s="51">
        <v>44419</v>
      </c>
      <c r="E1408" s="57">
        <v>0.94139200000000001</v>
      </c>
      <c r="F1408" s="57">
        <v>0.77642958442579812</v>
      </c>
      <c r="G1408" s="2">
        <v>87.528864642965956</v>
      </c>
    </row>
    <row r="1409" spans="4:7" customFormat="1" x14ac:dyDescent="0.35">
      <c r="D1409" s="51">
        <v>44418</v>
      </c>
      <c r="E1409" s="57">
        <v>1.076365</v>
      </c>
      <c r="F1409" s="57">
        <v>0.83572162964047425</v>
      </c>
      <c r="G1409" s="2">
        <v>81.318943520985869</v>
      </c>
    </row>
    <row r="1410" spans="4:7" customFormat="1" x14ac:dyDescent="0.35">
      <c r="D1410" s="51">
        <v>44417</v>
      </c>
      <c r="E1410" s="57">
        <v>0.96763399999999999</v>
      </c>
      <c r="F1410" s="57">
        <v>0.80867266337553068</v>
      </c>
      <c r="G1410" s="2">
        <v>84.03894811569856</v>
      </c>
    </row>
    <row r="1411" spans="4:7" customFormat="1" x14ac:dyDescent="0.35">
      <c r="D1411" s="51">
        <v>44416</v>
      </c>
      <c r="E1411" s="57">
        <v>1</v>
      </c>
      <c r="F1411" s="57">
        <v>0.80867266337553068</v>
      </c>
      <c r="G1411" s="2">
        <v>84.03894811569856</v>
      </c>
    </row>
    <row r="1412" spans="4:7" customFormat="1" x14ac:dyDescent="0.35">
      <c r="D1412" s="51">
        <v>44415</v>
      </c>
      <c r="E1412" s="57">
        <v>1</v>
      </c>
      <c r="F1412" s="57">
        <v>0.80867266337553068</v>
      </c>
      <c r="G1412" s="2">
        <v>84.03894811569856</v>
      </c>
    </row>
    <row r="1413" spans="4:7" customFormat="1" x14ac:dyDescent="0.35">
      <c r="D1413" s="51">
        <v>44414</v>
      </c>
      <c r="E1413" s="57">
        <v>1.007916</v>
      </c>
      <c r="F1413" s="57">
        <v>0.81507411617881143</v>
      </c>
      <c r="G1413" s="2">
        <v>83.378920580384232</v>
      </c>
    </row>
    <row r="1414" spans="4:7" customFormat="1" x14ac:dyDescent="0.35">
      <c r="D1414" s="51">
        <v>44413</v>
      </c>
      <c r="E1414" s="57">
        <v>0.96460000000000001</v>
      </c>
      <c r="F1414" s="57">
        <v>0.7862204924660815</v>
      </c>
      <c r="G1414" s="2">
        <v>86.438856085822351</v>
      </c>
    </row>
    <row r="1415" spans="4:7" customFormat="1" x14ac:dyDescent="0.35">
      <c r="D1415" s="51">
        <v>44412</v>
      </c>
      <c r="E1415" s="57">
        <v>1.039442</v>
      </c>
      <c r="F1415" s="57">
        <v>0.81723060112992862</v>
      </c>
      <c r="G1415" s="2">
        <v>83.15890264759588</v>
      </c>
    </row>
    <row r="1416" spans="4:7" customFormat="1" x14ac:dyDescent="0.35">
      <c r="D1416" s="51">
        <v>44411</v>
      </c>
      <c r="E1416" s="57">
        <v>0.99963900000000006</v>
      </c>
      <c r="F1416" s="57">
        <v>0.81693558088292073</v>
      </c>
      <c r="G1416" s="2">
        <v>83.188933852716715</v>
      </c>
    </row>
    <row r="1417" spans="4:7" customFormat="1" x14ac:dyDescent="0.35">
      <c r="D1417" s="51">
        <v>44410</v>
      </c>
      <c r="E1417" s="57">
        <v>1.0156270000000001</v>
      </c>
      <c r="F1417" s="57">
        <v>0.82970183320537816</v>
      </c>
      <c r="G1417" s="2">
        <v>81.908942803526003</v>
      </c>
    </row>
    <row r="1418" spans="4:7" customFormat="1" x14ac:dyDescent="0.35">
      <c r="D1418" s="51">
        <v>44409</v>
      </c>
      <c r="E1418" s="57">
        <v>1</v>
      </c>
      <c r="F1418" s="57">
        <v>0.82970183320537816</v>
      </c>
      <c r="G1418" s="2">
        <v>81.908942803526003</v>
      </c>
    </row>
    <row r="1419" spans="4:7" customFormat="1" x14ac:dyDescent="0.35">
      <c r="D1419" s="51">
        <v>44408</v>
      </c>
      <c r="E1419" s="57">
        <v>1</v>
      </c>
      <c r="F1419" s="57">
        <v>0.82970183320537816</v>
      </c>
      <c r="G1419" s="2">
        <v>81.908942803526003</v>
      </c>
    </row>
    <row r="1420" spans="4:7" customFormat="1" x14ac:dyDescent="0.35">
      <c r="D1420" s="51">
        <v>44407</v>
      </c>
      <c r="E1420" s="57">
        <v>0.97396000000000005</v>
      </c>
      <c r="F1420" s="57">
        <v>0.8080963974687102</v>
      </c>
      <c r="G1420" s="2">
        <v>84.098877575594472</v>
      </c>
    </row>
    <row r="1421" spans="4:7" customFormat="1" x14ac:dyDescent="0.35">
      <c r="D1421" s="51">
        <v>44406</v>
      </c>
      <c r="E1421" s="57">
        <v>0.98293600000000003</v>
      </c>
      <c r="F1421" s="57">
        <v>0.79430704054230417</v>
      </c>
      <c r="G1421" s="2">
        <v>85.558853857824388</v>
      </c>
    </row>
    <row r="1422" spans="4:7" customFormat="1" x14ac:dyDescent="0.35">
      <c r="D1422" s="51">
        <v>44405</v>
      </c>
      <c r="E1422" s="57">
        <v>1.0348329999999999</v>
      </c>
      <c r="F1422" s="57">
        <v>0.82197513768551411</v>
      </c>
      <c r="G1422" s="2">
        <v>82.678899743073913</v>
      </c>
    </row>
    <row r="1423" spans="4:7" customFormat="1" x14ac:dyDescent="0.35">
      <c r="D1423" s="51">
        <v>44404</v>
      </c>
      <c r="E1423" s="57">
        <v>1.015101</v>
      </c>
      <c r="F1423" s="57">
        <v>0.83438778423970306</v>
      </c>
      <c r="G1423" s="2">
        <v>81.44893931054537</v>
      </c>
    </row>
    <row r="1424" spans="4:7" customFormat="1" x14ac:dyDescent="0.35">
      <c r="D1424" s="51">
        <v>44403</v>
      </c>
      <c r="E1424" s="57">
        <v>1.0036970000000001</v>
      </c>
      <c r="F1424" s="57">
        <v>0.83747251587803728</v>
      </c>
      <c r="G1424" s="2">
        <v>81.148931710013443</v>
      </c>
    </row>
    <row r="1425" spans="4:7" customFormat="1" x14ac:dyDescent="0.35">
      <c r="D1425" s="51">
        <v>44402</v>
      </c>
      <c r="E1425" s="57">
        <v>1</v>
      </c>
      <c r="F1425" s="57">
        <v>0.83747251587803728</v>
      </c>
      <c r="G1425" s="2">
        <v>81.148931710013443</v>
      </c>
    </row>
    <row r="1426" spans="4:7" customFormat="1" x14ac:dyDescent="0.35">
      <c r="D1426" s="51">
        <v>44401</v>
      </c>
      <c r="E1426" s="57">
        <v>1</v>
      </c>
      <c r="F1426" s="57">
        <v>0.83747251587803728</v>
      </c>
      <c r="G1426" s="2">
        <v>81.148931710013443</v>
      </c>
    </row>
    <row r="1427" spans="4:7" customFormat="1" x14ac:dyDescent="0.35">
      <c r="D1427" s="51">
        <v>44400</v>
      </c>
      <c r="E1427" s="57">
        <v>1.094994</v>
      </c>
      <c r="F1427" s="57">
        <v>0.91702738005135553</v>
      </c>
      <c r="G1427" s="2">
        <v>74.109019510621465</v>
      </c>
    </row>
    <row r="1428" spans="4:7" customFormat="1" x14ac:dyDescent="0.35">
      <c r="D1428" s="51">
        <v>44399</v>
      </c>
      <c r="E1428" s="57">
        <v>0.99946100000000004</v>
      </c>
      <c r="F1428" s="57">
        <v>0.91653310229350793</v>
      </c>
      <c r="G1428" s="2">
        <v>74.148985813975187</v>
      </c>
    </row>
    <row r="1429" spans="4:7" customFormat="1" x14ac:dyDescent="0.35">
      <c r="D1429" s="51">
        <v>44398</v>
      </c>
      <c r="E1429" s="57">
        <v>1.0157529999999999</v>
      </c>
      <c r="F1429" s="57">
        <v>0.93097124825393751</v>
      </c>
      <c r="G1429" s="2">
        <v>72.999032061904018</v>
      </c>
    </row>
    <row r="1430" spans="4:7" customFormat="1" x14ac:dyDescent="0.35">
      <c r="D1430" s="51">
        <v>44397</v>
      </c>
      <c r="E1430" s="57">
        <v>1.029039</v>
      </c>
      <c r="F1430" s="57">
        <v>0.95800572233198367</v>
      </c>
      <c r="G1430" s="2">
        <v>70.939033468997792</v>
      </c>
    </row>
    <row r="1431" spans="4:7" customFormat="1" x14ac:dyDescent="0.35">
      <c r="D1431" s="51">
        <v>44396</v>
      </c>
      <c r="E1431" s="57">
        <v>1.0045310000000001</v>
      </c>
      <c r="F1431" s="57">
        <v>0.96234644625986998</v>
      </c>
      <c r="G1431" s="2">
        <v>70.619058514866921</v>
      </c>
    </row>
    <row r="1432" spans="4:7" customFormat="1" x14ac:dyDescent="0.35">
      <c r="D1432" s="51">
        <v>44395</v>
      </c>
      <c r="E1432" s="57">
        <v>1</v>
      </c>
      <c r="F1432" s="57">
        <v>0.96234644625986998</v>
      </c>
      <c r="G1432" s="2">
        <v>70.619058514866921</v>
      </c>
    </row>
    <row r="1433" spans="4:7" customFormat="1" x14ac:dyDescent="0.35">
      <c r="D1433" s="51">
        <v>44394</v>
      </c>
      <c r="E1433" s="57">
        <v>1</v>
      </c>
      <c r="F1433" s="57">
        <v>0.96234644625986998</v>
      </c>
      <c r="G1433" s="2">
        <v>70.619058514866921</v>
      </c>
    </row>
    <row r="1434" spans="4:7" customFormat="1" x14ac:dyDescent="0.35">
      <c r="D1434" s="51">
        <v>44393</v>
      </c>
      <c r="E1434" s="57">
        <v>0.98097000000000001</v>
      </c>
      <c r="F1434" s="57">
        <v>0.94403299338754465</v>
      </c>
      <c r="G1434" s="2">
        <v>71.989009363045682</v>
      </c>
    </row>
    <row r="1435" spans="4:7" customFormat="1" x14ac:dyDescent="0.35">
      <c r="D1435" s="51">
        <v>44392</v>
      </c>
      <c r="E1435" s="57">
        <v>0.97772599999999998</v>
      </c>
      <c r="F1435" s="57">
        <v>0.92300560249283048</v>
      </c>
      <c r="G1435" s="2">
        <v>73.629022203608869</v>
      </c>
    </row>
    <row r="1436" spans="4:7" customFormat="1" x14ac:dyDescent="0.35">
      <c r="D1436" s="51">
        <v>44391</v>
      </c>
      <c r="E1436" s="57">
        <v>0.96248400000000001</v>
      </c>
      <c r="F1436" s="57">
        <v>0.88837812430970942</v>
      </c>
      <c r="G1436" s="2">
        <v>76.498957077321663</v>
      </c>
    </row>
    <row r="1437" spans="4:7" customFormat="1" x14ac:dyDescent="0.35">
      <c r="D1437" s="51">
        <v>44390</v>
      </c>
      <c r="E1437" s="57">
        <v>0.98265899999999995</v>
      </c>
      <c r="F1437" s="57">
        <v>0.87297275925605466</v>
      </c>
      <c r="G1437" s="2">
        <v>77.848935467259423</v>
      </c>
    </row>
    <row r="1438" spans="4:7" customFormat="1" x14ac:dyDescent="0.35">
      <c r="D1438" s="51">
        <v>44389</v>
      </c>
      <c r="E1438" s="57">
        <v>0.99871699999999997</v>
      </c>
      <c r="F1438" s="57">
        <v>0.8718527352059291</v>
      </c>
      <c r="G1438" s="2">
        <v>77.948943962363131</v>
      </c>
    </row>
    <row r="1439" spans="4:7" customFormat="1" x14ac:dyDescent="0.35">
      <c r="D1439" s="51">
        <v>44388</v>
      </c>
      <c r="E1439" s="57">
        <v>1</v>
      </c>
      <c r="F1439" s="57">
        <v>0.8718527352059291</v>
      </c>
      <c r="G1439" s="2">
        <v>77.948943962363131</v>
      </c>
    </row>
    <row r="1440" spans="4:7" customFormat="1" x14ac:dyDescent="0.35">
      <c r="D1440" s="51">
        <v>44387</v>
      </c>
      <c r="E1440" s="57">
        <v>1</v>
      </c>
      <c r="F1440" s="57">
        <v>0.8718527352059291</v>
      </c>
      <c r="G1440" s="2">
        <v>77.948943962363131</v>
      </c>
    </row>
    <row r="1441" spans="4:7" customFormat="1" x14ac:dyDescent="0.35">
      <c r="D1441" s="51">
        <v>44386</v>
      </c>
      <c r="E1441" s="57">
        <v>1.024176</v>
      </c>
      <c r="F1441" s="57">
        <v>0.89293064693226765</v>
      </c>
      <c r="G1441" s="2">
        <v>76.108934365151242</v>
      </c>
    </row>
    <row r="1442" spans="4:7" customFormat="1" x14ac:dyDescent="0.35">
      <c r="D1442" s="51">
        <v>44385</v>
      </c>
      <c r="E1442" s="57">
        <v>0.980294</v>
      </c>
      <c r="F1442" s="57">
        <v>0.87533455560382034</v>
      </c>
      <c r="G1442" s="2">
        <v>77.638886257746393</v>
      </c>
    </row>
    <row r="1443" spans="4:7" customFormat="1" x14ac:dyDescent="0.35">
      <c r="D1443" s="51">
        <v>44384</v>
      </c>
      <c r="E1443" s="57">
        <v>1.0141070000000001</v>
      </c>
      <c r="F1443" s="57">
        <v>0.88768290017972351</v>
      </c>
      <c r="G1443" s="2">
        <v>76.558870274780062</v>
      </c>
    </row>
    <row r="1444" spans="4:7" customFormat="1" x14ac:dyDescent="0.35">
      <c r="D1444" s="51">
        <v>44383</v>
      </c>
      <c r="E1444" s="57">
        <v>0.99921700000000002</v>
      </c>
      <c r="F1444" s="57">
        <v>0.88698784446888279</v>
      </c>
      <c r="G1444" s="2">
        <v>76.618862844387223</v>
      </c>
    </row>
    <row r="1445" spans="4:7" customFormat="1" x14ac:dyDescent="0.35">
      <c r="D1445" s="51">
        <v>44382</v>
      </c>
      <c r="E1445" s="57">
        <v>1</v>
      </c>
      <c r="F1445" s="57">
        <v>0.88698784446888279</v>
      </c>
      <c r="G1445" s="2">
        <v>76.618862844387223</v>
      </c>
    </row>
    <row r="1446" spans="4:7" customFormat="1" x14ac:dyDescent="0.35">
      <c r="D1446" s="51">
        <v>44381</v>
      </c>
      <c r="E1446" s="57">
        <v>1</v>
      </c>
      <c r="F1446" s="57">
        <v>0.88698784446888279</v>
      </c>
      <c r="G1446" s="2">
        <v>76.618862844387223</v>
      </c>
    </row>
    <row r="1447" spans="4:7" customFormat="1" x14ac:dyDescent="0.35">
      <c r="D1447" s="51">
        <v>44380</v>
      </c>
      <c r="E1447" s="57">
        <v>1</v>
      </c>
      <c r="F1447" s="57">
        <v>0.88698784446888279</v>
      </c>
      <c r="G1447" s="2">
        <v>76.618862844387223</v>
      </c>
    </row>
    <row r="1448" spans="4:7" customFormat="1" x14ac:dyDescent="0.35">
      <c r="D1448" s="51">
        <v>44379</v>
      </c>
      <c r="E1448" s="57">
        <v>0.99921800000000005</v>
      </c>
      <c r="F1448" s="57">
        <v>0.88629421997450819</v>
      </c>
      <c r="G1448" s="2">
        <v>76.678825686073722</v>
      </c>
    </row>
    <row r="1449" spans="4:7" customFormat="1" x14ac:dyDescent="0.35">
      <c r="D1449" s="51">
        <v>44378</v>
      </c>
      <c r="E1449" s="57">
        <v>0.99121000000000004</v>
      </c>
      <c r="F1449" s="57">
        <v>0.87850369378093229</v>
      </c>
      <c r="G1449" s="2">
        <v>77.358809622656878</v>
      </c>
    </row>
    <row r="1450" spans="4:7" customFormat="1" x14ac:dyDescent="0.35">
      <c r="D1450" s="51">
        <v>44377</v>
      </c>
      <c r="E1450" s="57">
        <v>0.96736299999999997</v>
      </c>
      <c r="F1450" s="57">
        <v>0.84983196872700395</v>
      </c>
      <c r="G1450" s="2">
        <v>79.968749706838977</v>
      </c>
    </row>
    <row r="1451" spans="4:7" customFormat="1" x14ac:dyDescent="0.35">
      <c r="D1451" s="51">
        <v>44376</v>
      </c>
      <c r="E1451" s="57">
        <v>1.001001</v>
      </c>
      <c r="F1451" s="57">
        <v>0.85068265052769976</v>
      </c>
      <c r="G1451" s="2">
        <v>79.888781037020919</v>
      </c>
    </row>
    <row r="1452" spans="4:7" customFormat="1" x14ac:dyDescent="0.35">
      <c r="D1452" s="51">
        <v>44375</v>
      </c>
      <c r="E1452" s="57">
        <v>1.050908</v>
      </c>
      <c r="F1452" s="57">
        <v>0.89398920290076389</v>
      </c>
      <c r="G1452" s="2">
        <v>76.018815193167171</v>
      </c>
    </row>
    <row r="1453" spans="4:7" customFormat="1" x14ac:dyDescent="0.35">
      <c r="D1453" s="51">
        <v>44374</v>
      </c>
      <c r="E1453" s="57">
        <v>1</v>
      </c>
      <c r="F1453" s="57">
        <v>0.89398920290076389</v>
      </c>
      <c r="G1453" s="2">
        <v>76.018815193167171</v>
      </c>
    </row>
    <row r="1454" spans="4:7" customFormat="1" x14ac:dyDescent="0.35">
      <c r="D1454" s="51">
        <v>44373</v>
      </c>
      <c r="E1454" s="57">
        <v>1</v>
      </c>
      <c r="F1454" s="57">
        <v>0.89398920290076389</v>
      </c>
      <c r="G1454" s="2">
        <v>76.018815193167171</v>
      </c>
    </row>
    <row r="1455" spans="4:7" customFormat="1" x14ac:dyDescent="0.35">
      <c r="D1455" s="51">
        <v>44372</v>
      </c>
      <c r="E1455" s="57">
        <v>1.0018450000000001</v>
      </c>
      <c r="F1455" s="57">
        <v>0.89563861298011593</v>
      </c>
      <c r="G1455" s="2">
        <v>75.878818772531829</v>
      </c>
    </row>
    <row r="1456" spans="4:7" customFormat="1" x14ac:dyDescent="0.35">
      <c r="D1456" s="51">
        <v>44371</v>
      </c>
      <c r="E1456" s="57">
        <v>1.1604220000000001</v>
      </c>
      <c r="F1456" s="57">
        <v>1.0393187505516122</v>
      </c>
      <c r="G1456" s="2">
        <v>65.388986741488722</v>
      </c>
    </row>
    <row r="1457" spans="4:7" customFormat="1" x14ac:dyDescent="0.35">
      <c r="D1457" s="51">
        <v>44370</v>
      </c>
      <c r="E1457" s="57">
        <v>1.013798</v>
      </c>
      <c r="F1457" s="57">
        <v>1.0536592706717234</v>
      </c>
      <c r="G1457" s="2">
        <v>64.499029137450179</v>
      </c>
    </row>
    <row r="1458" spans="4:7" customFormat="1" x14ac:dyDescent="0.35">
      <c r="D1458" s="51">
        <v>44369</v>
      </c>
      <c r="E1458" s="57">
        <v>1.052889</v>
      </c>
      <c r="F1458" s="57">
        <v>1.1093862558382801</v>
      </c>
      <c r="G1458" s="2">
        <v>61.259096768462946</v>
      </c>
    </row>
    <row r="1459" spans="4:7" customFormat="1" x14ac:dyDescent="0.35">
      <c r="D1459" s="51">
        <v>44368</v>
      </c>
      <c r="E1459" s="57">
        <v>1.0062420000000001</v>
      </c>
      <c r="F1459" s="57">
        <v>1.1163110448472227</v>
      </c>
      <c r="G1459" s="2">
        <v>60.879089491854792</v>
      </c>
    </row>
    <row r="1460" spans="4:7" customFormat="1" x14ac:dyDescent="0.35">
      <c r="D1460" s="51">
        <v>44367</v>
      </c>
      <c r="E1460" s="57">
        <v>1</v>
      </c>
      <c r="F1460" s="57">
        <v>1.1163110448472227</v>
      </c>
      <c r="G1460" s="2">
        <v>60.879089491854792</v>
      </c>
    </row>
    <row r="1461" spans="4:7" customFormat="1" x14ac:dyDescent="0.35">
      <c r="D1461" s="51">
        <v>44366</v>
      </c>
      <c r="E1461" s="57">
        <v>1</v>
      </c>
      <c r="F1461" s="57">
        <v>1.1163110448472227</v>
      </c>
      <c r="G1461" s="2">
        <v>60.879089491854792</v>
      </c>
    </row>
    <row r="1462" spans="4:7" customFormat="1" x14ac:dyDescent="0.35">
      <c r="D1462" s="51">
        <v>44365</v>
      </c>
      <c r="E1462" s="57">
        <v>0.97972300000000001</v>
      </c>
      <c r="F1462" s="57">
        <v>1.0936756057908554</v>
      </c>
      <c r="G1462" s="2">
        <v>62.139083691874944</v>
      </c>
    </row>
    <row r="1463" spans="4:7" customFormat="1" x14ac:dyDescent="0.35">
      <c r="D1463" s="51">
        <v>44364</v>
      </c>
      <c r="E1463" s="57">
        <v>1.0528630000000001</v>
      </c>
      <c r="F1463" s="57">
        <v>1.1514905793397776</v>
      </c>
      <c r="G1463" s="2">
        <v>59.019154146242137</v>
      </c>
    </row>
    <row r="1464" spans="4:7" customFormat="1" x14ac:dyDescent="0.35">
      <c r="D1464" s="51">
        <v>44363</v>
      </c>
      <c r="E1464" s="57">
        <v>1.0075799999999999</v>
      </c>
      <c r="F1464" s="57">
        <v>1.1602188779311731</v>
      </c>
      <c r="G1464" s="2">
        <v>58.575154475319216</v>
      </c>
    </row>
    <row r="1465" spans="4:7" customFormat="1" x14ac:dyDescent="0.35">
      <c r="D1465" s="51">
        <v>44362</v>
      </c>
      <c r="E1465" s="57">
        <v>0.97373500000000002</v>
      </c>
      <c r="F1465" s="57">
        <v>1.1297457291023107</v>
      </c>
      <c r="G1465" s="2">
        <v>60.155128936845465</v>
      </c>
    </row>
    <row r="1466" spans="4:7" customFormat="1" x14ac:dyDescent="0.35">
      <c r="D1466" s="51">
        <v>44361</v>
      </c>
      <c r="E1466" s="57">
        <v>1.002918</v>
      </c>
      <c r="F1466" s="57">
        <v>1.1330423271398313</v>
      </c>
      <c r="G1466" s="2">
        <v>59.980106984664218</v>
      </c>
    </row>
    <row r="1467" spans="4:7" customFormat="1" x14ac:dyDescent="0.35">
      <c r="D1467" s="51">
        <v>44360</v>
      </c>
      <c r="E1467" s="57">
        <v>1</v>
      </c>
      <c r="F1467" s="57">
        <v>1.1330423271398313</v>
      </c>
      <c r="G1467" s="2">
        <v>59.980106984664218</v>
      </c>
    </row>
    <row r="1468" spans="4:7" customFormat="1" x14ac:dyDescent="0.35">
      <c r="D1468" s="51">
        <v>44359</v>
      </c>
      <c r="E1468" s="57">
        <v>1</v>
      </c>
      <c r="F1468" s="57">
        <v>1.1330423271398313</v>
      </c>
      <c r="G1468" s="2">
        <v>59.980106984664218</v>
      </c>
    </row>
    <row r="1469" spans="4:7" customFormat="1" x14ac:dyDescent="0.35">
      <c r="D1469" s="51">
        <v>44358</v>
      </c>
      <c r="E1469" s="57">
        <v>1.016162</v>
      </c>
      <c r="F1469" s="57">
        <v>1.1513545572310653</v>
      </c>
      <c r="G1469" s="2">
        <v>59.026126724542166</v>
      </c>
    </row>
    <row r="1470" spans="4:7" customFormat="1" x14ac:dyDescent="0.35">
      <c r="D1470" s="51">
        <v>44357</v>
      </c>
      <c r="E1470" s="57">
        <v>1.008491</v>
      </c>
      <c r="F1470" s="57">
        <v>1.1611307087765144</v>
      </c>
      <c r="G1470" s="2">
        <v>58.529155663800829</v>
      </c>
    </row>
    <row r="1471" spans="4:7" customFormat="1" x14ac:dyDescent="0.35">
      <c r="D1471" s="51">
        <v>44356</v>
      </c>
      <c r="E1471" s="57">
        <v>0.96764600000000001</v>
      </c>
      <c r="F1471" s="57">
        <v>1.123563485824759</v>
      </c>
      <c r="G1471" s="2">
        <v>60.486123710324676</v>
      </c>
    </row>
    <row r="1472" spans="4:7" customFormat="1" x14ac:dyDescent="0.35">
      <c r="D1472" s="51">
        <v>44355</v>
      </c>
      <c r="E1472" s="57">
        <v>1.0083690000000001</v>
      </c>
      <c r="F1472" s="57">
        <v>1.1329665886376263</v>
      </c>
      <c r="G1472" s="2">
        <v>59.984116638179749</v>
      </c>
    </row>
    <row r="1473" spans="4:7" customFormat="1" x14ac:dyDescent="0.35">
      <c r="D1473" s="51">
        <v>44354</v>
      </c>
      <c r="E1473" s="57">
        <v>1.043671</v>
      </c>
      <c r="F1473" s="57">
        <v>1.1824443725300202</v>
      </c>
      <c r="G1473" s="2">
        <v>57.474162488159337</v>
      </c>
    </row>
    <row r="1474" spans="4:7" customFormat="1" x14ac:dyDescent="0.35">
      <c r="D1474" s="51">
        <v>44353</v>
      </c>
      <c r="E1474" s="57">
        <v>1</v>
      </c>
      <c r="F1474" s="57">
        <v>1.1824443725300202</v>
      </c>
      <c r="G1474" s="2">
        <v>57.474162488159337</v>
      </c>
    </row>
    <row r="1475" spans="4:7" customFormat="1" x14ac:dyDescent="0.35">
      <c r="D1475" s="51">
        <v>44352</v>
      </c>
      <c r="E1475" s="57">
        <v>1</v>
      </c>
      <c r="F1475" s="57">
        <v>1.1824443725300202</v>
      </c>
      <c r="G1475" s="2">
        <v>57.474162488159337</v>
      </c>
    </row>
    <row r="1476" spans="4:7" customFormat="1" x14ac:dyDescent="0.35">
      <c r="D1476" s="51">
        <v>44351</v>
      </c>
      <c r="E1476" s="57">
        <v>1.0119549999999999</v>
      </c>
      <c r="F1476" s="57">
        <v>1.1965804950036165</v>
      </c>
      <c r="G1476" s="2">
        <v>56.795176157200018</v>
      </c>
    </row>
    <row r="1477" spans="4:7" customFormat="1" x14ac:dyDescent="0.35">
      <c r="D1477" s="51">
        <v>44350</v>
      </c>
      <c r="E1477" s="57">
        <v>0.97606099999999996</v>
      </c>
      <c r="F1477" s="57">
        <v>1.1679355545337249</v>
      </c>
      <c r="G1477" s="2">
        <v>58.188142090709512</v>
      </c>
    </row>
    <row r="1478" spans="4:7" customFormat="1" x14ac:dyDescent="0.35">
      <c r="D1478" s="51">
        <v>44349</v>
      </c>
      <c r="E1478" s="57">
        <v>0.99792499999999995</v>
      </c>
      <c r="F1478" s="57">
        <v>1.1655120882580674</v>
      </c>
      <c r="G1478" s="2">
        <v>58.309133542810848</v>
      </c>
    </row>
    <row r="1479" spans="4:7" customFormat="1" x14ac:dyDescent="0.35">
      <c r="D1479" s="51">
        <v>44348</v>
      </c>
      <c r="E1479" s="57">
        <v>0.99143099999999995</v>
      </c>
      <c r="F1479" s="57">
        <v>1.155524815173784</v>
      </c>
      <c r="G1479" s="2">
        <v>58.813103022611607</v>
      </c>
    </row>
    <row r="1480" spans="4:7" customFormat="1" x14ac:dyDescent="0.35">
      <c r="D1480" s="51">
        <v>44347</v>
      </c>
      <c r="E1480" s="57">
        <v>1</v>
      </c>
      <c r="F1480" s="57">
        <v>1.155524815173784</v>
      </c>
      <c r="G1480" s="2">
        <v>58.813103022611607</v>
      </c>
    </row>
    <row r="1481" spans="4:7" customFormat="1" x14ac:dyDescent="0.35">
      <c r="D1481" s="51">
        <v>44346</v>
      </c>
      <c r="E1481" s="57">
        <v>1</v>
      </c>
      <c r="F1481" s="57">
        <v>1.155524815173784</v>
      </c>
      <c r="G1481" s="2">
        <v>58.813103022611607</v>
      </c>
    </row>
    <row r="1482" spans="4:7" customFormat="1" x14ac:dyDescent="0.35">
      <c r="D1482" s="51">
        <v>44345</v>
      </c>
      <c r="E1482" s="57">
        <v>1</v>
      </c>
      <c r="F1482" s="57">
        <v>1.155524815173784</v>
      </c>
      <c r="G1482" s="2">
        <v>58.813103022611607</v>
      </c>
    </row>
    <row r="1483" spans="4:7" customFormat="1" x14ac:dyDescent="0.35">
      <c r="D1483" s="51">
        <v>44344</v>
      </c>
      <c r="E1483" s="57">
        <v>1.0060899999999999</v>
      </c>
      <c r="F1483" s="57">
        <v>1.1625619612981923</v>
      </c>
      <c r="G1483" s="2">
        <v>58.457099287948004</v>
      </c>
    </row>
    <row r="1484" spans="4:7" customFormat="1" x14ac:dyDescent="0.35">
      <c r="D1484" s="51">
        <v>44343</v>
      </c>
      <c r="E1484" s="57">
        <v>1.005349</v>
      </c>
      <c r="F1484" s="57">
        <v>1.1687805052291764</v>
      </c>
      <c r="G1484" s="2">
        <v>58.146075927810145</v>
      </c>
    </row>
    <row r="1485" spans="4:7" customFormat="1" x14ac:dyDescent="0.35">
      <c r="D1485" s="51">
        <v>44342</v>
      </c>
      <c r="E1485" s="57">
        <v>1.0359529999999999</v>
      </c>
      <c r="F1485" s="57">
        <v>1.2108016707336808</v>
      </c>
      <c r="G1485" s="2">
        <v>56.128102267004536</v>
      </c>
    </row>
    <row r="1486" spans="4:7" customFormat="1" x14ac:dyDescent="0.35">
      <c r="D1486" s="51">
        <v>44341</v>
      </c>
      <c r="E1486" s="57">
        <v>1.0102960000000001</v>
      </c>
      <c r="F1486" s="57">
        <v>1.2232680847355548</v>
      </c>
      <c r="G1486" s="2">
        <v>55.556096695428408</v>
      </c>
    </row>
    <row r="1487" spans="4:7" customFormat="1" x14ac:dyDescent="0.35">
      <c r="D1487" s="51">
        <v>44340</v>
      </c>
      <c r="E1487" s="57">
        <v>1.0293669999999999</v>
      </c>
      <c r="F1487" s="57">
        <v>1.2591917985799839</v>
      </c>
      <c r="G1487" s="2">
        <v>53.971126619979472</v>
      </c>
    </row>
    <row r="1488" spans="4:7" customFormat="1" x14ac:dyDescent="0.35">
      <c r="D1488" s="51">
        <v>44339</v>
      </c>
      <c r="E1488" s="57">
        <v>1</v>
      </c>
      <c r="F1488" s="57">
        <v>1.2591917985799839</v>
      </c>
      <c r="G1488" s="2">
        <v>53.971126619979472</v>
      </c>
    </row>
    <row r="1489" spans="4:7" customFormat="1" x14ac:dyDescent="0.35">
      <c r="D1489" s="51">
        <v>44338</v>
      </c>
      <c r="E1489" s="57">
        <v>1</v>
      </c>
      <c r="F1489" s="57">
        <v>1.2591917985799839</v>
      </c>
      <c r="G1489" s="2">
        <v>53.971126619979472</v>
      </c>
    </row>
    <row r="1490" spans="4:7" customFormat="1" x14ac:dyDescent="0.35">
      <c r="D1490" s="51">
        <v>44337</v>
      </c>
      <c r="E1490" s="57">
        <v>0.99341100000000004</v>
      </c>
      <c r="F1490" s="57">
        <v>1.2508949838191403</v>
      </c>
      <c r="G1490" s="2">
        <v>54.329101066909338</v>
      </c>
    </row>
    <row r="1491" spans="4:7" customFormat="1" x14ac:dyDescent="0.35">
      <c r="D1491" s="51">
        <v>44336</v>
      </c>
      <c r="E1491" s="57">
        <v>1.067177</v>
      </c>
      <c r="F1491" s="57">
        <v>1.3349263561471587</v>
      </c>
      <c r="G1491" s="2">
        <v>50.909175391626071</v>
      </c>
    </row>
    <row r="1492" spans="4:7" customFormat="1" x14ac:dyDescent="0.35">
      <c r="D1492" s="51">
        <v>44335</v>
      </c>
      <c r="E1492" s="57">
        <v>1.00118</v>
      </c>
      <c r="F1492" s="57">
        <v>1.3365015692474123</v>
      </c>
      <c r="G1492" s="2">
        <v>50.849173367052956</v>
      </c>
    </row>
    <row r="1493" spans="4:7" customFormat="1" x14ac:dyDescent="0.35">
      <c r="D1493" s="51">
        <v>44334</v>
      </c>
      <c r="E1493" s="57">
        <v>1.0016940000000001</v>
      </c>
      <c r="F1493" s="57">
        <v>1.3387656029057176</v>
      </c>
      <c r="G1493" s="2">
        <v>50.763180539219512</v>
      </c>
    </row>
    <row r="1494" spans="4:7" customFormat="1" x14ac:dyDescent="0.35">
      <c r="D1494" s="51">
        <v>44333</v>
      </c>
      <c r="E1494" s="57">
        <v>0.980966</v>
      </c>
      <c r="F1494" s="57">
        <v>1.3132835384200101</v>
      </c>
      <c r="G1494" s="2">
        <v>51.748154919966147</v>
      </c>
    </row>
    <row r="1495" spans="4:7" customFormat="1" x14ac:dyDescent="0.35">
      <c r="D1495" s="51">
        <v>44332</v>
      </c>
      <c r="E1495" s="57">
        <v>1</v>
      </c>
      <c r="F1495" s="57">
        <v>1.3132835384200101</v>
      </c>
      <c r="G1495" s="2">
        <v>51.748154919966147</v>
      </c>
    </row>
    <row r="1496" spans="4:7" customFormat="1" x14ac:dyDescent="0.35">
      <c r="D1496" s="51">
        <v>44331</v>
      </c>
      <c r="E1496" s="57">
        <v>1</v>
      </c>
      <c r="F1496" s="57">
        <v>1.3132835384200101</v>
      </c>
      <c r="G1496" s="2">
        <v>51.748154919966147</v>
      </c>
    </row>
    <row r="1497" spans="4:7" customFormat="1" x14ac:dyDescent="0.35">
      <c r="D1497" s="51">
        <v>44330</v>
      </c>
      <c r="E1497" s="57">
        <v>1.0486120000000001</v>
      </c>
      <c r="F1497" s="57">
        <v>1.3771248777896838</v>
      </c>
      <c r="G1497" s="2">
        <v>49.349191998533428</v>
      </c>
    </row>
    <row r="1498" spans="4:7" customFormat="1" x14ac:dyDescent="0.35">
      <c r="D1498" s="51">
        <v>44329</v>
      </c>
      <c r="E1498" s="57">
        <v>0.97769200000000001</v>
      </c>
      <c r="F1498" s="57">
        <v>1.3464039760159516</v>
      </c>
      <c r="G1498" s="2">
        <v>50.475192594941383</v>
      </c>
    </row>
    <row r="1499" spans="4:7" customFormat="1" x14ac:dyDescent="0.35">
      <c r="D1499" s="51">
        <v>44328</v>
      </c>
      <c r="E1499" s="57">
        <v>0.98135499999999998</v>
      </c>
      <c r="F1499" s="57">
        <v>1.3213002738831341</v>
      </c>
      <c r="G1499" s="2">
        <v>51.434182935778985</v>
      </c>
    </row>
    <row r="1500" spans="4:7" customFormat="1" x14ac:dyDescent="0.35">
      <c r="D1500" s="51">
        <v>44327</v>
      </c>
      <c r="E1500" s="57">
        <v>1.050551</v>
      </c>
      <c r="F1500" s="57">
        <v>1.3880933240282005</v>
      </c>
      <c r="G1500" s="2">
        <v>48.959244183080095</v>
      </c>
    </row>
    <row r="1501" spans="4:7" customFormat="1" x14ac:dyDescent="0.35">
      <c r="D1501" s="51">
        <v>44326</v>
      </c>
      <c r="E1501" s="57">
        <v>0.74021399999999993</v>
      </c>
      <c r="F1501" s="57">
        <v>1.0274861117522103</v>
      </c>
      <c r="G1501" s="2">
        <v>66.142013232767965</v>
      </c>
    </row>
    <row r="1502" spans="4:7" customFormat="1" x14ac:dyDescent="0.35">
      <c r="D1502" s="51">
        <v>44325</v>
      </c>
      <c r="E1502" s="57">
        <v>1</v>
      </c>
      <c r="F1502" s="57">
        <v>1.0274861117522103</v>
      </c>
      <c r="G1502" s="2">
        <v>66.142013232767965</v>
      </c>
    </row>
    <row r="1503" spans="4:7" customFormat="1" x14ac:dyDescent="0.35">
      <c r="D1503" s="51">
        <v>44324</v>
      </c>
      <c r="E1503" s="57">
        <v>1</v>
      </c>
      <c r="F1503" s="57">
        <v>1.0274861117522103</v>
      </c>
      <c r="G1503" s="2">
        <v>66.142013232767965</v>
      </c>
    </row>
    <row r="1504" spans="4:7" customFormat="1" x14ac:dyDescent="0.35">
      <c r="D1504" s="51">
        <v>44323</v>
      </c>
      <c r="E1504" s="57">
        <v>1.080238</v>
      </c>
      <c r="F1504" s="57">
        <v>1.1099295423869842</v>
      </c>
      <c r="G1504" s="2">
        <v>61.22911176311883</v>
      </c>
    </row>
    <row r="1505" spans="4:7" customFormat="1" x14ac:dyDescent="0.35">
      <c r="D1505" s="51">
        <v>44322</v>
      </c>
      <c r="E1505" s="57">
        <v>0.95800600000000002</v>
      </c>
      <c r="F1505" s="57">
        <v>1.0633191611839852</v>
      </c>
      <c r="G1505" s="2">
        <v>63.913077541392049</v>
      </c>
    </row>
    <row r="1506" spans="4:7" customFormat="1" x14ac:dyDescent="0.35">
      <c r="D1506" s="51">
        <v>44321</v>
      </c>
      <c r="E1506" s="57">
        <v>0.95887800000000001</v>
      </c>
      <c r="F1506" s="57">
        <v>1.0195933506377775</v>
      </c>
      <c r="G1506" s="2">
        <v>66.654024329885601</v>
      </c>
    </row>
    <row r="1507" spans="4:7" customFormat="1" x14ac:dyDescent="0.35">
      <c r="D1507" s="51">
        <v>44320</v>
      </c>
      <c r="E1507" s="57">
        <v>0.95009699999999997</v>
      </c>
      <c r="F1507" s="57">
        <v>0.96871258366090041</v>
      </c>
      <c r="G1507" s="2">
        <v>70.154967682126767</v>
      </c>
    </row>
    <row r="1508" spans="4:7" customFormat="1" x14ac:dyDescent="0.35">
      <c r="D1508" s="51">
        <v>44319</v>
      </c>
      <c r="E1508" s="57">
        <v>0.96194999999999997</v>
      </c>
      <c r="F1508" s="57">
        <v>0.93185306985260308</v>
      </c>
      <c r="G1508" s="2">
        <v>72.929952369797576</v>
      </c>
    </row>
    <row r="1509" spans="4:7" customFormat="1" x14ac:dyDescent="0.35">
      <c r="D1509" s="51">
        <v>44318</v>
      </c>
      <c r="E1509" s="57">
        <v>1</v>
      </c>
      <c r="F1509" s="57">
        <v>0.93185306985260308</v>
      </c>
      <c r="G1509" s="2">
        <v>72.929952369797576</v>
      </c>
    </row>
    <row r="1510" spans="4:7" customFormat="1" x14ac:dyDescent="0.35">
      <c r="D1510" s="51">
        <v>44317</v>
      </c>
      <c r="E1510" s="57">
        <v>1</v>
      </c>
      <c r="F1510" s="57">
        <v>0.93185306985260308</v>
      </c>
      <c r="G1510" s="2">
        <v>72.929952369797576</v>
      </c>
    </row>
    <row r="1511" spans="4:7" customFormat="1" x14ac:dyDescent="0.35">
      <c r="D1511" s="51">
        <v>44316</v>
      </c>
      <c r="E1511" s="57">
        <v>0.97373799999999999</v>
      </c>
      <c r="F1511" s="57">
        <v>0.90738074453213402</v>
      </c>
      <c r="G1511" s="2">
        <v>74.896894616208442</v>
      </c>
    </row>
    <row r="1512" spans="4:7" customFormat="1" x14ac:dyDescent="0.35">
      <c r="D1512" s="51">
        <v>44315</v>
      </c>
      <c r="E1512" s="57">
        <v>1.0034970000000001</v>
      </c>
      <c r="F1512" s="57">
        <v>0.91055385499576302</v>
      </c>
      <c r="G1512" s="2">
        <v>74.635892898741531</v>
      </c>
    </row>
    <row r="1513" spans="4:7" customFormat="1" x14ac:dyDescent="0.35">
      <c r="D1513" s="51">
        <v>44314</v>
      </c>
      <c r="E1513" s="57">
        <v>0.99699400000000005</v>
      </c>
      <c r="F1513" s="57">
        <v>0.90781673010764585</v>
      </c>
      <c r="G1513" s="2">
        <v>74.86092483880698</v>
      </c>
    </row>
    <row r="1514" spans="4:7" customFormat="1" x14ac:dyDescent="0.35">
      <c r="D1514" s="51">
        <v>44313</v>
      </c>
      <c r="E1514" s="57">
        <v>1.0013110000000001</v>
      </c>
      <c r="F1514" s="57">
        <v>0.90900687784081702</v>
      </c>
      <c r="G1514" s="2">
        <v>74.762910662927879</v>
      </c>
    </row>
    <row r="1515" spans="4:7" customFormat="1" x14ac:dyDescent="0.35">
      <c r="D1515" s="51">
        <v>44312</v>
      </c>
      <c r="E1515" s="57">
        <v>1.0291129999999999</v>
      </c>
      <c r="F1515" s="57">
        <v>0.93547079507539665</v>
      </c>
      <c r="G1515" s="2">
        <v>72.647912000847214</v>
      </c>
    </row>
    <row r="1516" spans="4:7" customFormat="1" x14ac:dyDescent="0.35">
      <c r="D1516" s="51">
        <v>44311</v>
      </c>
      <c r="E1516" s="57">
        <v>1</v>
      </c>
      <c r="F1516" s="57">
        <v>0.93547079507539665</v>
      </c>
      <c r="G1516" s="2">
        <v>72.647912000847214</v>
      </c>
    </row>
    <row r="1517" spans="4:7" customFormat="1" x14ac:dyDescent="0.35">
      <c r="D1517" s="51">
        <v>44310</v>
      </c>
      <c r="E1517" s="57">
        <v>1</v>
      </c>
      <c r="F1517" s="57">
        <v>0.93547079507539665</v>
      </c>
      <c r="G1517" s="2">
        <v>72.647912000847214</v>
      </c>
    </row>
    <row r="1518" spans="4:7" customFormat="1" x14ac:dyDescent="0.35">
      <c r="D1518" s="51">
        <v>44309</v>
      </c>
      <c r="E1518" s="57">
        <v>1.0375019999999999</v>
      </c>
      <c r="F1518" s="57">
        <v>0.97055282083231409</v>
      </c>
      <c r="G1518" s="2">
        <v>70.02194887416816</v>
      </c>
    </row>
    <row r="1519" spans="4:7" customFormat="1" x14ac:dyDescent="0.35">
      <c r="D1519" s="51">
        <v>44308</v>
      </c>
      <c r="E1519" s="57">
        <v>0.99004599999999998</v>
      </c>
      <c r="F1519" s="57">
        <v>0.96089193805374917</v>
      </c>
      <c r="G1519" s="2">
        <v>70.725955030542181</v>
      </c>
    </row>
    <row r="1520" spans="4:7" customFormat="1" x14ac:dyDescent="0.35">
      <c r="D1520" s="51">
        <v>44307</v>
      </c>
      <c r="E1520" s="57">
        <v>1.0309010000000001</v>
      </c>
      <c r="F1520" s="57">
        <v>0.99058445983154819</v>
      </c>
      <c r="G1520" s="2">
        <v>68.605962192821792</v>
      </c>
    </row>
    <row r="1521" spans="4:7" customFormat="1" x14ac:dyDescent="0.35">
      <c r="D1521" s="51">
        <v>44306</v>
      </c>
      <c r="E1521" s="57">
        <v>0.98646999999999996</v>
      </c>
      <c r="F1521" s="57">
        <v>0.97718185209002728</v>
      </c>
      <c r="G1521" s="2">
        <v>69.546932185288753</v>
      </c>
    </row>
    <row r="1522" spans="4:7" customFormat="1" x14ac:dyDescent="0.35">
      <c r="D1522" s="51">
        <v>44305</v>
      </c>
      <c r="E1522" s="57">
        <v>0.967476</v>
      </c>
      <c r="F1522" s="57">
        <v>0.94539998953265125</v>
      </c>
      <c r="G1522" s="2">
        <v>71.884917233387441</v>
      </c>
    </row>
    <row r="1523" spans="4:7" customFormat="1" x14ac:dyDescent="0.35">
      <c r="D1523" s="51">
        <v>44304</v>
      </c>
      <c r="E1523" s="57">
        <v>1</v>
      </c>
      <c r="F1523" s="57">
        <v>0.94539998953265125</v>
      </c>
      <c r="G1523" s="2">
        <v>71.884917233387441</v>
      </c>
    </row>
    <row r="1524" spans="4:7" customFormat="1" x14ac:dyDescent="0.35">
      <c r="D1524" s="51">
        <v>44303</v>
      </c>
      <c r="E1524" s="57">
        <v>1</v>
      </c>
      <c r="F1524" s="57">
        <v>0.94539998953265125</v>
      </c>
      <c r="G1524" s="2">
        <v>71.884917233387441</v>
      </c>
    </row>
    <row r="1525" spans="4:7" customFormat="1" x14ac:dyDescent="0.35">
      <c r="D1525" s="51">
        <v>44302</v>
      </c>
      <c r="E1525" s="57">
        <v>0.97804100000000005</v>
      </c>
      <c r="F1525" s="57">
        <v>0.92463995116250386</v>
      </c>
      <c r="G1525" s="2">
        <v>73.498879119983144</v>
      </c>
    </row>
    <row r="1526" spans="4:7" customFormat="1" x14ac:dyDescent="0.35">
      <c r="D1526" s="51">
        <v>44301</v>
      </c>
      <c r="E1526" s="57">
        <v>1.0263930000000001</v>
      </c>
      <c r="F1526" s="57">
        <v>0.94904397339353597</v>
      </c>
      <c r="G1526" s="2">
        <v>71.608905282852803</v>
      </c>
    </row>
    <row r="1527" spans="4:7" customFormat="1" x14ac:dyDescent="0.35">
      <c r="D1527" s="51">
        <v>44300</v>
      </c>
      <c r="E1527" s="57">
        <v>0.99049799999999999</v>
      </c>
      <c r="F1527" s="57">
        <v>0.94002615755835062</v>
      </c>
      <c r="G1527" s="2">
        <v>72.29586054979697</v>
      </c>
    </row>
    <row r="1528" spans="4:7" customFormat="1" x14ac:dyDescent="0.35">
      <c r="D1528" s="51">
        <v>44299</v>
      </c>
      <c r="E1528" s="57">
        <v>1.02424</v>
      </c>
      <c r="F1528" s="57">
        <v>0.96281239161756504</v>
      </c>
      <c r="G1528" s="2">
        <v>70.584882986211213</v>
      </c>
    </row>
    <row r="1529" spans="4:7" customFormat="1" x14ac:dyDescent="0.35">
      <c r="D1529" s="51">
        <v>44298</v>
      </c>
      <c r="E1529" s="57">
        <v>1.019204</v>
      </c>
      <c r="F1529" s="57">
        <v>0.98130224078618877</v>
      </c>
      <c r="G1529" s="2">
        <v>69.254911662641831</v>
      </c>
    </row>
    <row r="1530" spans="4:7" customFormat="1" x14ac:dyDescent="0.35">
      <c r="D1530" s="51">
        <v>44297</v>
      </c>
      <c r="E1530" s="57">
        <v>1</v>
      </c>
      <c r="F1530" s="57">
        <v>0.98130224078618877</v>
      </c>
      <c r="G1530" s="2">
        <v>69.254911662641831</v>
      </c>
    </row>
    <row r="1531" spans="4:7" customFormat="1" x14ac:dyDescent="0.35">
      <c r="D1531" s="51">
        <v>44296</v>
      </c>
      <c r="E1531" s="57">
        <v>1</v>
      </c>
      <c r="F1531" s="57">
        <v>0.98130224078618877</v>
      </c>
      <c r="G1531" s="2">
        <v>69.254911662641831</v>
      </c>
    </row>
    <row r="1532" spans="4:7" customFormat="1" x14ac:dyDescent="0.35">
      <c r="D1532" s="51">
        <v>44295</v>
      </c>
      <c r="E1532" s="57">
        <v>1.0031289999999999</v>
      </c>
      <c r="F1532" s="57">
        <v>0.98437273549760873</v>
      </c>
      <c r="G1532" s="2">
        <v>69.038888979026467</v>
      </c>
    </row>
    <row r="1533" spans="4:7" customFormat="1" x14ac:dyDescent="0.35">
      <c r="D1533" s="51">
        <v>44294</v>
      </c>
      <c r="E1533" s="57">
        <v>1.0184839999999999</v>
      </c>
      <c r="F1533" s="57">
        <v>1.0025678811405465</v>
      </c>
      <c r="G1533" s="2">
        <v>67.785933779054432</v>
      </c>
    </row>
    <row r="1534" spans="4:7" customFormat="1" x14ac:dyDescent="0.35">
      <c r="D1534" s="51">
        <v>44293</v>
      </c>
      <c r="E1534" s="57">
        <v>1.012305</v>
      </c>
      <c r="F1534" s="57">
        <v>1.0149044789179809</v>
      </c>
      <c r="G1534" s="2">
        <v>66.96196677785295</v>
      </c>
    </row>
    <row r="1535" spans="4:7" customFormat="1" x14ac:dyDescent="0.35">
      <c r="D1535" s="51">
        <v>44292</v>
      </c>
      <c r="E1535" s="57">
        <v>1.0251840000000001</v>
      </c>
      <c r="F1535" s="57">
        <v>1.0404638333150513</v>
      </c>
      <c r="G1535" s="2">
        <v>65.317022873799189</v>
      </c>
    </row>
    <row r="1536" spans="4:7" customFormat="1" x14ac:dyDescent="0.35">
      <c r="D1536" s="51">
        <v>44291</v>
      </c>
      <c r="E1536" s="57">
        <v>0.99140899999999998</v>
      </c>
      <c r="F1536" s="57">
        <v>1.0315252085230417</v>
      </c>
      <c r="G1536" s="2">
        <v>65.883023932402452</v>
      </c>
    </row>
    <row r="1537" spans="4:7" customFormat="1" x14ac:dyDescent="0.35">
      <c r="D1537" s="51">
        <v>44290</v>
      </c>
      <c r="E1537" s="57">
        <v>1</v>
      </c>
      <c r="F1537" s="57">
        <v>1.0315252085230417</v>
      </c>
      <c r="G1537" s="2">
        <v>65.883023932402452</v>
      </c>
    </row>
    <row r="1538" spans="4:7" customFormat="1" x14ac:dyDescent="0.35">
      <c r="D1538" s="51">
        <v>44289</v>
      </c>
      <c r="E1538" s="57">
        <v>1</v>
      </c>
      <c r="F1538" s="57">
        <v>1.0315252085230417</v>
      </c>
      <c r="G1538" s="2">
        <v>65.883023932402452</v>
      </c>
    </row>
    <row r="1539" spans="4:7" customFormat="1" x14ac:dyDescent="0.35">
      <c r="D1539" s="51">
        <v>44288</v>
      </c>
      <c r="E1539" s="57">
        <v>1</v>
      </c>
      <c r="F1539" s="57">
        <v>1.0315252085230417</v>
      </c>
      <c r="G1539" s="2">
        <v>65.883023932402452</v>
      </c>
    </row>
    <row r="1540" spans="4:7" customFormat="1" x14ac:dyDescent="0.35">
      <c r="D1540" s="51">
        <v>44287</v>
      </c>
      <c r="E1540" s="57">
        <v>1.011018</v>
      </c>
      <c r="F1540" s="57">
        <v>1.0428905532705486</v>
      </c>
      <c r="G1540" s="2">
        <v>65.165035570486836</v>
      </c>
    </row>
    <row r="1541" spans="4:7" customFormat="1" x14ac:dyDescent="0.35">
      <c r="D1541" s="51">
        <v>44286</v>
      </c>
      <c r="E1541" s="57">
        <v>1.0411900000000001</v>
      </c>
      <c r="F1541" s="57">
        <v>1.0858472151597625</v>
      </c>
      <c r="G1541" s="2">
        <v>62.587073992726431</v>
      </c>
    </row>
    <row r="1542" spans="4:7" customFormat="1" x14ac:dyDescent="0.35">
      <c r="D1542" s="51">
        <v>44285</v>
      </c>
      <c r="E1542" s="57">
        <v>1.021711</v>
      </c>
      <c r="F1542" s="57">
        <v>1.1094220440480962</v>
      </c>
      <c r="G1542" s="2">
        <v>61.257120646373025</v>
      </c>
    </row>
    <row r="1543" spans="4:7" customFormat="1" x14ac:dyDescent="0.35">
      <c r="D1543" s="51">
        <v>44284</v>
      </c>
      <c r="E1543" s="57">
        <v>0.91264999999999996</v>
      </c>
      <c r="F1543" s="57">
        <v>1.012514028500495</v>
      </c>
      <c r="G1543" s="2">
        <v>67.120057685172867</v>
      </c>
    </row>
    <row r="1544" spans="4:7" customFormat="1" x14ac:dyDescent="0.35">
      <c r="D1544" s="51">
        <v>44283</v>
      </c>
      <c r="E1544" s="57">
        <v>1</v>
      </c>
      <c r="F1544" s="57">
        <v>1.012514028500495</v>
      </c>
      <c r="G1544" s="2">
        <v>67.120057685172867</v>
      </c>
    </row>
    <row r="1545" spans="4:7" customFormat="1" x14ac:dyDescent="0.35">
      <c r="D1545" s="51">
        <v>44282</v>
      </c>
      <c r="E1545" s="57">
        <v>1</v>
      </c>
      <c r="F1545" s="57">
        <v>1.012514028500495</v>
      </c>
      <c r="G1545" s="2">
        <v>67.120057685172867</v>
      </c>
    </row>
    <row r="1546" spans="4:7" customFormat="1" x14ac:dyDescent="0.35">
      <c r="D1546" s="51">
        <v>44281</v>
      </c>
      <c r="E1546" s="57">
        <v>1.0272889999999999</v>
      </c>
      <c r="F1546" s="57">
        <v>1.0401445238242448</v>
      </c>
      <c r="G1546" s="2">
        <v>65.337074265540551</v>
      </c>
    </row>
    <row r="1547" spans="4:7" customFormat="1" x14ac:dyDescent="0.35">
      <c r="D1547" s="51">
        <v>44280</v>
      </c>
      <c r="E1547" s="57">
        <v>0.97802599999999995</v>
      </c>
      <c r="F1547" s="57">
        <v>1.0172883880577308</v>
      </c>
      <c r="G1547" s="2">
        <v>66.805048399061533</v>
      </c>
    </row>
    <row r="1548" spans="4:7" customFormat="1" x14ac:dyDescent="0.35">
      <c r="D1548" s="51">
        <v>44279</v>
      </c>
      <c r="E1548" s="57">
        <v>0.92233999999999994</v>
      </c>
      <c r="F1548" s="57">
        <v>0.93828577184116735</v>
      </c>
      <c r="G1548" s="2">
        <v>72.429959016264647</v>
      </c>
    </row>
    <row r="1549" spans="4:7" customFormat="1" x14ac:dyDescent="0.35">
      <c r="D1549" s="51">
        <v>44278</v>
      </c>
      <c r="E1549" s="57">
        <v>0.97767400000000004</v>
      </c>
      <c r="F1549" s="57">
        <v>0.91733760369904149</v>
      </c>
      <c r="G1549" s="2">
        <v>74.083957450300048</v>
      </c>
    </row>
    <row r="1550" spans="4:7" customFormat="1" x14ac:dyDescent="0.35">
      <c r="D1550" s="51">
        <v>44277</v>
      </c>
      <c r="E1550" s="57">
        <v>1.0104200000000001</v>
      </c>
      <c r="F1550" s="57">
        <v>0.9268962615295856</v>
      </c>
      <c r="G1550" s="2">
        <v>73.319963431345414</v>
      </c>
    </row>
    <row r="1551" spans="4:7" customFormat="1" x14ac:dyDescent="0.35">
      <c r="D1551" s="51">
        <v>44276</v>
      </c>
      <c r="E1551" s="57">
        <v>1</v>
      </c>
      <c r="F1551" s="57">
        <v>0.9268962615295856</v>
      </c>
      <c r="G1551" s="2">
        <v>73.319963431345414</v>
      </c>
    </row>
    <row r="1552" spans="4:7" customFormat="1" x14ac:dyDescent="0.35">
      <c r="D1552" s="51">
        <v>44275</v>
      </c>
      <c r="E1552" s="57">
        <v>1</v>
      </c>
      <c r="F1552" s="57">
        <v>0.9268962615295856</v>
      </c>
      <c r="G1552" s="2">
        <v>73.319963431345414</v>
      </c>
    </row>
    <row r="1553" spans="4:7" customFormat="1" x14ac:dyDescent="0.35">
      <c r="D1553" s="51">
        <v>44274</v>
      </c>
      <c r="E1553" s="57">
        <v>1.047293</v>
      </c>
      <c r="F1553" s="57">
        <v>0.97073196642610426</v>
      </c>
      <c r="G1553" s="2">
        <v>70.009026539225815</v>
      </c>
    </row>
    <row r="1554" spans="4:7" customFormat="1" x14ac:dyDescent="0.35">
      <c r="D1554" s="51">
        <v>44273</v>
      </c>
      <c r="E1554" s="57">
        <v>0.90744099999999994</v>
      </c>
      <c r="F1554" s="57">
        <v>0.88088198634567039</v>
      </c>
      <c r="G1554" s="2">
        <v>77.149948634925934</v>
      </c>
    </row>
    <row r="1555" spans="4:7" customFormat="1" x14ac:dyDescent="0.35">
      <c r="D1555" s="51">
        <v>44272</v>
      </c>
      <c r="E1555" s="57">
        <v>1.003368</v>
      </c>
      <c r="F1555" s="57">
        <v>0.88384879687568263</v>
      </c>
      <c r="G1555" s="2">
        <v>76.890979814909315</v>
      </c>
    </row>
    <row r="1556" spans="4:7" customFormat="1" x14ac:dyDescent="0.35">
      <c r="D1556" s="51">
        <v>44271</v>
      </c>
      <c r="E1556" s="57">
        <v>1.014059</v>
      </c>
      <c r="F1556" s="57">
        <v>0.89627482711095785</v>
      </c>
      <c r="G1556" s="2">
        <v>75.824956747989333</v>
      </c>
    </row>
    <row r="1557" spans="4:7" customFormat="1" x14ac:dyDescent="0.35">
      <c r="D1557" s="51">
        <v>44270</v>
      </c>
      <c r="E1557" s="57">
        <v>1.009371</v>
      </c>
      <c r="F1557" s="57">
        <v>0.90467381851581463</v>
      </c>
      <c r="G1557" s="2">
        <v>75.120997876885042</v>
      </c>
    </row>
    <row r="1558" spans="4:7" customFormat="1" x14ac:dyDescent="0.35">
      <c r="D1558" s="51">
        <v>44269</v>
      </c>
      <c r="E1558" s="57">
        <v>1</v>
      </c>
      <c r="F1558" s="57">
        <v>0.90467381851581463</v>
      </c>
      <c r="G1558" s="2">
        <v>75.120997876885042</v>
      </c>
    </row>
    <row r="1559" spans="4:7" customFormat="1" x14ac:dyDescent="0.35">
      <c r="D1559" s="51">
        <v>44268</v>
      </c>
      <c r="E1559" s="57">
        <v>1</v>
      </c>
      <c r="F1559" s="57">
        <v>0.90467381851581463</v>
      </c>
      <c r="G1559" s="2">
        <v>75.120997876885042</v>
      </c>
    </row>
    <row r="1560" spans="4:7" customFormat="1" x14ac:dyDescent="0.35">
      <c r="D1560" s="51">
        <v>44267</v>
      </c>
      <c r="E1560" s="57">
        <v>0.99302000000000001</v>
      </c>
      <c r="F1560" s="57">
        <v>0.89835919526257424</v>
      </c>
      <c r="G1560" s="2">
        <v>75.649028092974007</v>
      </c>
    </row>
    <row r="1561" spans="4:7" customFormat="1" x14ac:dyDescent="0.35">
      <c r="D1561" s="51">
        <v>44266</v>
      </c>
      <c r="E1561" s="57">
        <v>1.046899</v>
      </c>
      <c r="F1561" s="57">
        <v>0.94049134316119376</v>
      </c>
      <c r="G1561" s="2">
        <v>72.260101588571573</v>
      </c>
    </row>
    <row r="1562" spans="4:7" customFormat="1" x14ac:dyDescent="0.35">
      <c r="D1562" s="51">
        <v>44265</v>
      </c>
      <c r="E1562" s="57">
        <v>1.0045740000000001</v>
      </c>
      <c r="F1562" s="57">
        <v>0.94479315056481317</v>
      </c>
      <c r="G1562" s="2">
        <v>71.931088788453181</v>
      </c>
    </row>
    <row r="1563" spans="4:7" customFormat="1" x14ac:dyDescent="0.35">
      <c r="D1563" s="51">
        <v>44264</v>
      </c>
      <c r="E1563" s="57">
        <v>1.0594749999999999</v>
      </c>
      <c r="F1563" s="57">
        <v>1.0009847231946554</v>
      </c>
      <c r="G1563" s="2">
        <v>67.893144046299525</v>
      </c>
    </row>
    <row r="1564" spans="4:7" customFormat="1" x14ac:dyDescent="0.35">
      <c r="D1564" s="51">
        <v>44263</v>
      </c>
      <c r="E1564" s="57">
        <v>1.037865</v>
      </c>
      <c r="F1564" s="57">
        <v>1.0388870097384211</v>
      </c>
      <c r="G1564" s="2">
        <v>65.41616110602007</v>
      </c>
    </row>
    <row r="1565" spans="4:7" customFormat="1" x14ac:dyDescent="0.35">
      <c r="D1565" s="51">
        <v>44262</v>
      </c>
      <c r="E1565" s="57">
        <v>1</v>
      </c>
      <c r="F1565" s="57">
        <v>1.0388870097384211</v>
      </c>
      <c r="G1565" s="2">
        <v>65.41616110602007</v>
      </c>
    </row>
    <row r="1566" spans="4:7" customFormat="1" x14ac:dyDescent="0.35">
      <c r="D1566" s="51">
        <v>44261</v>
      </c>
      <c r="E1566" s="57">
        <v>1</v>
      </c>
      <c r="F1566" s="57">
        <v>1.0388870097384211</v>
      </c>
      <c r="G1566" s="2">
        <v>65.41616110602007</v>
      </c>
    </row>
    <row r="1567" spans="4:7" customFormat="1" x14ac:dyDescent="0.35">
      <c r="D1567" s="51">
        <v>44260</v>
      </c>
      <c r="E1567" s="57">
        <v>1.0218849999999999</v>
      </c>
      <c r="F1567" s="57">
        <v>1.0616230519465464</v>
      </c>
      <c r="G1567" s="2">
        <v>64.015188701292288</v>
      </c>
    </row>
    <row r="1568" spans="4:7" customFormat="1" x14ac:dyDescent="0.35">
      <c r="D1568" s="51">
        <v>44259</v>
      </c>
      <c r="E1568" s="57">
        <v>0.91986299999999999</v>
      </c>
      <c r="F1568" s="57">
        <v>0.97654776543270594</v>
      </c>
      <c r="G1568" s="2">
        <v>69.592090019157524</v>
      </c>
    </row>
    <row r="1569" spans="4:7" customFormat="1" x14ac:dyDescent="0.35">
      <c r="D1569" s="51">
        <v>44258</v>
      </c>
      <c r="E1569" s="57">
        <v>0.87219099999999994</v>
      </c>
      <c r="F1569" s="57">
        <v>0.85173617208051722</v>
      </c>
      <c r="G1569" s="2">
        <v>79.789965751948273</v>
      </c>
    </row>
    <row r="1570" spans="4:7" customFormat="1" x14ac:dyDescent="0.35">
      <c r="D1570" s="51">
        <v>44257</v>
      </c>
      <c r="E1570" s="57">
        <v>0.95863500000000001</v>
      </c>
      <c r="F1570" s="57">
        <v>0.81650410532240658</v>
      </c>
      <c r="G1570" s="2">
        <v>83.232894430047182</v>
      </c>
    </row>
    <row r="1571" spans="4:7" customFormat="1" x14ac:dyDescent="0.35">
      <c r="D1571" s="51">
        <v>44256</v>
      </c>
      <c r="E1571" s="57">
        <v>1.0334620000000001</v>
      </c>
      <c r="F1571" s="57">
        <v>0.84382596569470503</v>
      </c>
      <c r="G1571" s="2">
        <v>80.537934079866673</v>
      </c>
    </row>
    <row r="1572" spans="4:7" customFormat="1" x14ac:dyDescent="0.35">
      <c r="D1572" s="51">
        <v>44255</v>
      </c>
      <c r="E1572" s="57">
        <v>1</v>
      </c>
      <c r="F1572" s="57">
        <v>0.84382596569470503</v>
      </c>
      <c r="G1572" s="2">
        <v>80.537934079866673</v>
      </c>
    </row>
    <row r="1573" spans="4:7" customFormat="1" x14ac:dyDescent="0.35">
      <c r="D1573" s="51">
        <v>44254</v>
      </c>
      <c r="E1573" s="57">
        <v>1</v>
      </c>
      <c r="F1573" s="57">
        <v>0.84382596569470503</v>
      </c>
      <c r="G1573" s="2">
        <v>80.537934079866673</v>
      </c>
    </row>
    <row r="1574" spans="4:7" customFormat="1" x14ac:dyDescent="0.35">
      <c r="D1574" s="51">
        <v>44253</v>
      </c>
      <c r="E1574" s="57">
        <v>1.067321</v>
      </c>
      <c r="F1574" s="57">
        <v>0.90063317353123828</v>
      </c>
      <c r="G1574" s="2">
        <v>75.458024418021083</v>
      </c>
    </row>
    <row r="1575" spans="4:7" customFormat="1" x14ac:dyDescent="0.35">
      <c r="D1575" s="51">
        <v>44252</v>
      </c>
      <c r="E1575" s="57">
        <v>0.96613499999999997</v>
      </c>
      <c r="F1575" s="57">
        <v>0.87013323110960283</v>
      </c>
      <c r="G1575" s="2">
        <v>78.102981900066851</v>
      </c>
    </row>
    <row r="1576" spans="4:7" customFormat="1" x14ac:dyDescent="0.35">
      <c r="D1576" s="51">
        <v>44251</v>
      </c>
      <c r="E1576" s="57">
        <v>0.98729599999999995</v>
      </c>
      <c r="F1576" s="57">
        <v>0.85907905854158639</v>
      </c>
      <c r="G1576" s="2">
        <v>79.107969545168672</v>
      </c>
    </row>
    <row r="1577" spans="4:7" customFormat="1" x14ac:dyDescent="0.35">
      <c r="D1577" s="51">
        <v>44250</v>
      </c>
      <c r="E1577" s="57">
        <v>0.93595799999999996</v>
      </c>
      <c r="F1577" s="57">
        <v>0.80406191747446609</v>
      </c>
      <c r="G1577" s="2">
        <v>84.520854082307835</v>
      </c>
    </row>
    <row r="1578" spans="4:7" customFormat="1" x14ac:dyDescent="0.35">
      <c r="D1578" s="51">
        <v>44249</v>
      </c>
      <c r="E1578" s="57">
        <v>0.93565100000000001</v>
      </c>
      <c r="F1578" s="57">
        <v>0.75232133714690164</v>
      </c>
      <c r="G1578" s="2">
        <v>90.333739911898604</v>
      </c>
    </row>
    <row r="1579" spans="4:7" customFormat="1" x14ac:dyDescent="0.35">
      <c r="D1579" s="51">
        <v>44248</v>
      </c>
      <c r="E1579" s="57">
        <v>1</v>
      </c>
      <c r="F1579" s="57">
        <v>0.75232133714690164</v>
      </c>
      <c r="G1579" s="2">
        <v>90.333739911898604</v>
      </c>
    </row>
    <row r="1580" spans="4:7" customFormat="1" x14ac:dyDescent="0.35">
      <c r="D1580" s="51">
        <v>44247</v>
      </c>
      <c r="E1580" s="57">
        <v>1</v>
      </c>
      <c r="F1580" s="57">
        <v>0.75232133714690164</v>
      </c>
      <c r="G1580" s="2">
        <v>90.333739911898604</v>
      </c>
    </row>
    <row r="1581" spans="4:7" customFormat="1" x14ac:dyDescent="0.35">
      <c r="D1581" s="51">
        <v>44246</v>
      </c>
      <c r="E1581" s="57">
        <v>1.067159</v>
      </c>
      <c r="F1581" s="57">
        <v>0.80284648582835039</v>
      </c>
      <c r="G1581" s="2">
        <v>84.648810450831235</v>
      </c>
    </row>
    <row r="1582" spans="4:7" customFormat="1" x14ac:dyDescent="0.35">
      <c r="D1582" s="51">
        <v>44245</v>
      </c>
      <c r="E1582" s="57">
        <v>1.0024630000000001</v>
      </c>
      <c r="F1582" s="57">
        <v>0.80482389672294574</v>
      </c>
      <c r="G1582" s="2">
        <v>84.440832679940527</v>
      </c>
    </row>
    <row r="1583" spans="4:7" customFormat="1" x14ac:dyDescent="0.35">
      <c r="D1583" s="51">
        <v>44244</v>
      </c>
      <c r="E1583" s="57">
        <v>0.97173699999999996</v>
      </c>
      <c r="F1583" s="57">
        <v>0.78207715892986507</v>
      </c>
      <c r="G1583" s="2">
        <v>86.896796849292073</v>
      </c>
    </row>
    <row r="1584" spans="4:7" customFormat="1" x14ac:dyDescent="0.35">
      <c r="D1584" s="51">
        <v>44243</v>
      </c>
      <c r="E1584" s="57">
        <v>1.0057640000000001</v>
      </c>
      <c r="F1584" s="57">
        <v>0.78658505167393689</v>
      </c>
      <c r="G1584" s="2">
        <v>86.398794199525994</v>
      </c>
    </row>
    <row r="1585" spans="4:7" customFormat="1" x14ac:dyDescent="0.35">
      <c r="D1585" s="51">
        <v>44242</v>
      </c>
      <c r="E1585" s="57">
        <v>1</v>
      </c>
      <c r="F1585" s="57">
        <v>0.78658505167393689</v>
      </c>
      <c r="G1585" s="2">
        <v>86.398794199525994</v>
      </c>
    </row>
    <row r="1586" spans="4:7" customFormat="1" x14ac:dyDescent="0.35">
      <c r="D1586" s="51">
        <v>44241</v>
      </c>
      <c r="E1586" s="57">
        <v>1</v>
      </c>
      <c r="F1586" s="57">
        <v>0.78658505167393689</v>
      </c>
      <c r="G1586" s="2">
        <v>86.398794199525994</v>
      </c>
    </row>
    <row r="1587" spans="4:7" customFormat="1" x14ac:dyDescent="0.35">
      <c r="D1587" s="51">
        <v>44240</v>
      </c>
      <c r="E1587" s="57">
        <v>1</v>
      </c>
      <c r="F1587" s="57">
        <v>0.78658505167393689</v>
      </c>
      <c r="G1587" s="2">
        <v>86.398794199525994</v>
      </c>
    </row>
    <row r="1588" spans="4:7" customFormat="1" x14ac:dyDescent="0.35">
      <c r="D1588" s="51">
        <v>44239</v>
      </c>
      <c r="E1588" s="57">
        <v>0.99672400000000005</v>
      </c>
      <c r="F1588" s="57">
        <v>0.78400819904465313</v>
      </c>
      <c r="G1588" s="2">
        <v>86.68276694403464</v>
      </c>
    </row>
    <row r="1589" spans="4:7" customFormat="1" x14ac:dyDescent="0.35">
      <c r="D1589" s="51">
        <v>44238</v>
      </c>
      <c r="E1589" s="57">
        <v>1.005708</v>
      </c>
      <c r="F1589" s="57">
        <v>0.78848331784480008</v>
      </c>
      <c r="G1589" s="2">
        <v>86.190789915198678</v>
      </c>
    </row>
    <row r="1590" spans="4:7" customFormat="1" x14ac:dyDescent="0.35">
      <c r="D1590" s="51">
        <v>44237</v>
      </c>
      <c r="E1590" s="57">
        <v>0.99688900000000003</v>
      </c>
      <c r="F1590" s="57">
        <v>0.78603034624298496</v>
      </c>
      <c r="G1590" s="2">
        <v>86.4597662479962</v>
      </c>
    </row>
    <row r="1591" spans="4:7" customFormat="1" x14ac:dyDescent="0.35">
      <c r="D1591" s="51">
        <v>44236</v>
      </c>
      <c r="E1591" s="57">
        <v>1.0144310000000001</v>
      </c>
      <c r="F1591" s="57">
        <v>0.79737355016961753</v>
      </c>
      <c r="G1591" s="2">
        <v>85.229814790750865</v>
      </c>
    </row>
    <row r="1592" spans="4:7" customFormat="1" x14ac:dyDescent="0.35">
      <c r="D1592" s="51">
        <v>44235</v>
      </c>
      <c r="E1592" s="57">
        <v>0.996784</v>
      </c>
      <c r="F1592" s="57">
        <v>0.79480919683227202</v>
      </c>
      <c r="G1592" s="2">
        <v>85.504798221832274</v>
      </c>
    </row>
    <row r="1593" spans="4:7" customFormat="1" x14ac:dyDescent="0.35">
      <c r="D1593" s="51">
        <v>44234</v>
      </c>
      <c r="E1593" s="57">
        <v>1</v>
      </c>
      <c r="F1593" s="57">
        <v>0.79480919683227202</v>
      </c>
      <c r="G1593" s="2">
        <v>85.504798221832274</v>
      </c>
    </row>
    <row r="1594" spans="4:7" customFormat="1" x14ac:dyDescent="0.35">
      <c r="D1594" s="51">
        <v>44233</v>
      </c>
      <c r="E1594" s="57">
        <v>1</v>
      </c>
      <c r="F1594" s="57">
        <v>0.79480919683227202</v>
      </c>
      <c r="G1594" s="2">
        <v>85.504798221832274</v>
      </c>
    </row>
    <row r="1595" spans="4:7" customFormat="1" x14ac:dyDescent="0.35">
      <c r="D1595" s="51">
        <v>44232</v>
      </c>
      <c r="E1595" s="57">
        <v>1.0012179999999999</v>
      </c>
      <c r="F1595" s="57">
        <v>0.79577727443401369</v>
      </c>
      <c r="G1595" s="2">
        <v>85.400780071704943</v>
      </c>
    </row>
    <row r="1596" spans="4:7" customFormat="1" x14ac:dyDescent="0.35">
      <c r="D1596" s="51">
        <v>44231</v>
      </c>
      <c r="E1596" s="57">
        <v>1.01772</v>
      </c>
      <c r="F1596" s="57">
        <v>0.80987844773698436</v>
      </c>
      <c r="G1596" s="2">
        <v>83.913827056267877</v>
      </c>
    </row>
    <row r="1597" spans="4:7" customFormat="1" x14ac:dyDescent="0.35">
      <c r="D1597" s="51">
        <v>44230</v>
      </c>
      <c r="E1597" s="57">
        <v>1.009261</v>
      </c>
      <c r="F1597" s="57">
        <v>0.8173787320414766</v>
      </c>
      <c r="G1597" s="2">
        <v>83.143832027857883</v>
      </c>
    </row>
    <row r="1598" spans="4:7" customFormat="1" x14ac:dyDescent="0.35">
      <c r="D1598" s="51">
        <v>44229</v>
      </c>
      <c r="E1598" s="57">
        <v>1.0482089999999999</v>
      </c>
      <c r="F1598" s="57">
        <v>0.85678374333446405</v>
      </c>
      <c r="G1598" s="2">
        <v>79.319899016186554</v>
      </c>
    </row>
    <row r="1599" spans="4:7" customFormat="1" x14ac:dyDescent="0.35">
      <c r="D1599" s="51">
        <v>44228</v>
      </c>
      <c r="E1599" s="57">
        <v>1.035536</v>
      </c>
      <c r="F1599" s="57">
        <v>0.88723041043759754</v>
      </c>
      <c r="G1599" s="2">
        <v>76.597915491288148</v>
      </c>
    </row>
    <row r="1600" spans="4:7" customFormat="1" x14ac:dyDescent="0.35">
      <c r="D1600" s="51">
        <v>44227</v>
      </c>
      <c r="E1600" s="57">
        <v>1</v>
      </c>
      <c r="F1600" s="57">
        <v>0.88723041043759754</v>
      </c>
      <c r="G1600" s="2">
        <v>76.597915491288148</v>
      </c>
    </row>
    <row r="1601" spans="4:7" customFormat="1" x14ac:dyDescent="0.35">
      <c r="D1601" s="51">
        <v>44226</v>
      </c>
      <c r="E1601" s="57">
        <v>1</v>
      </c>
      <c r="F1601" s="57">
        <v>0.88723041043759754</v>
      </c>
      <c r="G1601" s="2">
        <v>76.597915491288148</v>
      </c>
    </row>
    <row r="1602" spans="4:7" customFormat="1" x14ac:dyDescent="0.35">
      <c r="D1602" s="51">
        <v>44225</v>
      </c>
      <c r="E1602" s="57">
        <v>0.96409100000000003</v>
      </c>
      <c r="F1602" s="57">
        <v>0.85537085362919385</v>
      </c>
      <c r="G1602" s="2">
        <v>79.450918524587564</v>
      </c>
    </row>
    <row r="1603" spans="4:7" customFormat="1" x14ac:dyDescent="0.35">
      <c r="D1603" s="51">
        <v>44224</v>
      </c>
      <c r="E1603" s="57">
        <v>1.0505359999999999</v>
      </c>
      <c r="F1603" s="57">
        <v>0.89859787508819877</v>
      </c>
      <c r="G1603" s="2">
        <v>75.628934681522153</v>
      </c>
    </row>
    <row r="1604" spans="4:7" customFormat="1" x14ac:dyDescent="0.35">
      <c r="D1604" s="51">
        <v>44223</v>
      </c>
      <c r="E1604" s="57">
        <v>0.97424900000000003</v>
      </c>
      <c r="F1604" s="57">
        <v>0.87545808120680257</v>
      </c>
      <c r="G1604" s="2">
        <v>77.627931546783373</v>
      </c>
    </row>
    <row r="1605" spans="4:7" customFormat="1" x14ac:dyDescent="0.35">
      <c r="D1605" s="51">
        <v>44222</v>
      </c>
      <c r="E1605" s="57">
        <v>0.98816199999999998</v>
      </c>
      <c r="F1605" s="57">
        <v>0.86509440844147645</v>
      </c>
      <c r="G1605" s="2">
        <v>78.55789996658784</v>
      </c>
    </row>
    <row r="1606" spans="4:7" customFormat="1" x14ac:dyDescent="0.35">
      <c r="D1606" s="51">
        <v>44221</v>
      </c>
      <c r="E1606" s="57">
        <v>0.966333</v>
      </c>
      <c r="F1606" s="57">
        <v>0.83596927499247731</v>
      </c>
      <c r="G1606" s="2">
        <v>81.294853809802461</v>
      </c>
    </row>
    <row r="1607" spans="4:7" customFormat="1" x14ac:dyDescent="0.35">
      <c r="D1607" s="51">
        <v>44220</v>
      </c>
      <c r="E1607" s="57">
        <v>1</v>
      </c>
      <c r="F1607" s="57">
        <v>0.83596927499247731</v>
      </c>
      <c r="G1607" s="2">
        <v>81.294853809802461</v>
      </c>
    </row>
    <row r="1608" spans="4:7" customFormat="1" x14ac:dyDescent="0.35">
      <c r="D1608" s="51">
        <v>44219</v>
      </c>
      <c r="E1608" s="57">
        <v>1</v>
      </c>
      <c r="F1608" s="57">
        <v>0.83596927499247731</v>
      </c>
      <c r="G1608" s="2">
        <v>81.294853809802461</v>
      </c>
    </row>
    <row r="1609" spans="4:7" customFormat="1" x14ac:dyDescent="0.35">
      <c r="D1609" s="51">
        <v>44218</v>
      </c>
      <c r="E1609" s="57">
        <v>0.99991399999999997</v>
      </c>
      <c r="F1609" s="57">
        <v>0.83589738163482796</v>
      </c>
      <c r="G1609" s="2">
        <v>81.301845768538556</v>
      </c>
    </row>
    <row r="1610" spans="4:7" customFormat="1" x14ac:dyDescent="0.35">
      <c r="D1610" s="51">
        <v>44217</v>
      </c>
      <c r="E1610" s="57">
        <v>1.002515</v>
      </c>
      <c r="F1610" s="57">
        <v>0.83799966354963962</v>
      </c>
      <c r="G1610" s="2">
        <v>81.097884588797726</v>
      </c>
    </row>
    <row r="1611" spans="4:7" customFormat="1" x14ac:dyDescent="0.35">
      <c r="D1611" s="51">
        <v>44216</v>
      </c>
      <c r="E1611" s="57">
        <v>1.038905</v>
      </c>
      <c r="F1611" s="57">
        <v>0.87060204046003831</v>
      </c>
      <c r="G1611" s="2">
        <v>78.060924327823741</v>
      </c>
    </row>
    <row r="1612" spans="4:7" customFormat="1" x14ac:dyDescent="0.35">
      <c r="D1612" s="51">
        <v>44215</v>
      </c>
      <c r="E1612" s="57">
        <v>0.99396499999999999</v>
      </c>
      <c r="F1612" s="57">
        <v>0.86534795714586199</v>
      </c>
      <c r="G1612" s="2">
        <v>78.534882342762316</v>
      </c>
    </row>
    <row r="1613" spans="4:7" customFormat="1" x14ac:dyDescent="0.35">
      <c r="D1613" s="51">
        <v>44214</v>
      </c>
      <c r="E1613" s="57">
        <v>1</v>
      </c>
      <c r="F1613" s="57">
        <v>0.86534795714586199</v>
      </c>
      <c r="G1613" s="2">
        <v>78.534882342762316</v>
      </c>
    </row>
    <row r="1614" spans="4:7" customFormat="1" x14ac:dyDescent="0.35">
      <c r="D1614" s="51">
        <v>44213</v>
      </c>
      <c r="E1614" s="57">
        <v>1</v>
      </c>
      <c r="F1614" s="57">
        <v>0.86534795714586199</v>
      </c>
      <c r="G1614" s="2">
        <v>78.534882342762316</v>
      </c>
    </row>
    <row r="1615" spans="4:7" customFormat="1" x14ac:dyDescent="0.35">
      <c r="D1615" s="51">
        <v>44212</v>
      </c>
      <c r="E1615" s="57">
        <v>1</v>
      </c>
      <c r="F1615" s="57">
        <v>0.86534795714586199</v>
      </c>
      <c r="G1615" s="2">
        <v>78.534882342762316</v>
      </c>
    </row>
    <row r="1616" spans="4:7" customFormat="1" x14ac:dyDescent="0.35">
      <c r="D1616" s="51">
        <v>44211</v>
      </c>
      <c r="E1616" s="57">
        <v>1.0129760000000001</v>
      </c>
      <c r="F1616" s="57">
        <v>0.87657671223778677</v>
      </c>
      <c r="G1616" s="2">
        <v>77.528867754776329</v>
      </c>
    </row>
    <row r="1617" spans="4:7" customFormat="1" x14ac:dyDescent="0.35">
      <c r="D1617" s="51">
        <v>44210</v>
      </c>
      <c r="E1617" s="57">
        <v>0.98707699999999998</v>
      </c>
      <c r="F1617" s="57">
        <v>0.86524871138553783</v>
      </c>
      <c r="G1617" s="2">
        <v>78.543890451075583</v>
      </c>
    </row>
    <row r="1618" spans="4:7" customFormat="1" x14ac:dyDescent="0.35">
      <c r="D1618" s="51">
        <v>44209</v>
      </c>
      <c r="E1618" s="57">
        <v>0.97498799999999997</v>
      </c>
      <c r="F1618" s="57">
        <v>0.84360711061636273</v>
      </c>
      <c r="G1618" s="2">
        <v>80.558827853343402</v>
      </c>
    </row>
    <row r="1619" spans="4:7" customFormat="1" x14ac:dyDescent="0.35">
      <c r="D1619" s="51">
        <v>44208</v>
      </c>
      <c r="E1619" s="57">
        <v>1.0337609999999999</v>
      </c>
      <c r="F1619" s="57">
        <v>0.87208813027788168</v>
      </c>
      <c r="G1619" s="2">
        <v>77.927903890109434</v>
      </c>
    </row>
    <row r="1620" spans="4:7" customFormat="1" x14ac:dyDescent="0.35">
      <c r="D1620" s="51">
        <v>44207</v>
      </c>
      <c r="E1620" s="57">
        <v>0.97924100000000003</v>
      </c>
      <c r="F1620" s="57">
        <v>0.85398445278144319</v>
      </c>
      <c r="G1620" s="2">
        <v>79.579903098531844</v>
      </c>
    </row>
    <row r="1621" spans="4:7" customFormat="1" x14ac:dyDescent="0.35">
      <c r="D1621" s="51">
        <v>44206</v>
      </c>
      <c r="E1621" s="57">
        <v>1</v>
      </c>
      <c r="F1621" s="57">
        <v>0.85398445278144319</v>
      </c>
      <c r="G1621" s="2">
        <v>79.579903098531844</v>
      </c>
    </row>
    <row r="1622" spans="4:7" customFormat="1" x14ac:dyDescent="0.35">
      <c r="D1622" s="51">
        <v>44205</v>
      </c>
      <c r="E1622" s="57">
        <v>1</v>
      </c>
      <c r="F1622" s="57">
        <v>0.85398445278144319</v>
      </c>
      <c r="G1622" s="2">
        <v>79.579903098531844</v>
      </c>
    </row>
    <row r="1623" spans="4:7" customFormat="1" x14ac:dyDescent="0.35">
      <c r="D1623" s="51">
        <v>44204</v>
      </c>
      <c r="E1623" s="57">
        <v>1.0429600000000001</v>
      </c>
      <c r="F1623" s="57">
        <v>0.89067162487293405</v>
      </c>
      <c r="G1623" s="2">
        <v>76.30197044808223</v>
      </c>
    </row>
    <row r="1624" spans="4:7" customFormat="1" x14ac:dyDescent="0.35">
      <c r="D1624" s="51">
        <v>44203</v>
      </c>
      <c r="E1624" s="57">
        <v>1.0302720000000001</v>
      </c>
      <c r="F1624" s="57">
        <v>0.91763403630108753</v>
      </c>
      <c r="G1624" s="2">
        <v>74.060025360373018</v>
      </c>
    </row>
    <row r="1625" spans="4:7" customFormat="1" x14ac:dyDescent="0.35">
      <c r="D1625" s="51">
        <v>44202</v>
      </c>
      <c r="E1625" s="57">
        <v>0.93921699999999997</v>
      </c>
      <c r="F1625" s="57">
        <v>0.86185748667259854</v>
      </c>
      <c r="G1625" s="2">
        <v>78.852943846175066</v>
      </c>
    </row>
    <row r="1626" spans="4:7" customFormat="1" x14ac:dyDescent="0.35">
      <c r="D1626" s="51">
        <v>44201</v>
      </c>
      <c r="E1626" s="57">
        <v>1.019536</v>
      </c>
      <c r="F1626" s="57">
        <v>0.87869473453223446</v>
      </c>
      <c r="G1626" s="2">
        <v>77.341990715555966</v>
      </c>
    </row>
    <row r="1627" spans="4:7" customFormat="1" x14ac:dyDescent="0.35">
      <c r="D1627" s="51">
        <v>44200</v>
      </c>
      <c r="E1627" s="57">
        <v>0.96558100000000002</v>
      </c>
      <c r="F1627" s="57">
        <v>0.84845094046436953</v>
      </c>
      <c r="G1627" s="2">
        <v>80.098915280598902</v>
      </c>
    </row>
    <row r="1628" spans="4:7" customFormat="1" x14ac:dyDescent="0.35">
      <c r="D1628" s="51">
        <v>44199</v>
      </c>
      <c r="E1628" s="57">
        <v>1</v>
      </c>
      <c r="F1628" s="57">
        <v>0.84845094046436953</v>
      </c>
      <c r="G1628" s="2">
        <v>80.098915280598902</v>
      </c>
    </row>
    <row r="1629" spans="4:7" customFormat="1" x14ac:dyDescent="0.35">
      <c r="D1629" s="51">
        <v>44198</v>
      </c>
      <c r="E1629" s="57">
        <v>1</v>
      </c>
      <c r="F1629" s="57">
        <v>0.84845094046436953</v>
      </c>
      <c r="G1629" s="2">
        <v>80.098915280598902</v>
      </c>
    </row>
    <row r="1630" spans="4:7" customFormat="1" x14ac:dyDescent="0.35">
      <c r="D1630" s="51">
        <v>44197</v>
      </c>
      <c r="E1630" s="57">
        <v>1</v>
      </c>
      <c r="F1630" s="57">
        <v>0.84845094046436953</v>
      </c>
      <c r="G1630" s="2">
        <v>80.098915280598902</v>
      </c>
    </row>
    <row r="1631" spans="4:7" customFormat="1" x14ac:dyDescent="0.35">
      <c r="D1631" s="51">
        <v>44196</v>
      </c>
      <c r="E1631" s="57">
        <v>0.97921800000000003</v>
      </c>
      <c r="F1631" s="57">
        <v>0.83081843301963898</v>
      </c>
      <c r="G1631" s="2">
        <v>81.798859171909527</v>
      </c>
    </row>
    <row r="1632" spans="4:7" customFormat="1" x14ac:dyDescent="0.35">
      <c r="D1632" s="51">
        <v>44195</v>
      </c>
      <c r="E1632" s="57">
        <v>0.99720799999999998</v>
      </c>
      <c r="F1632" s="57">
        <v>0.82849878795464815</v>
      </c>
      <c r="G1632" s="2">
        <v>82.027881015705375</v>
      </c>
    </row>
    <row r="1633" spans="4:7" customFormat="1" x14ac:dyDescent="0.35">
      <c r="D1633" s="51">
        <v>44194</v>
      </c>
      <c r="E1633" s="57">
        <v>0.98519100000000004</v>
      </c>
      <c r="F1633" s="57">
        <v>0.81622954940382775</v>
      </c>
      <c r="G1633" s="2">
        <v>83.260891558799642</v>
      </c>
    </row>
    <row r="1634" spans="4:7" customFormat="1" x14ac:dyDescent="0.35">
      <c r="D1634" s="51">
        <v>44193</v>
      </c>
      <c r="E1634" s="57">
        <v>0.89359</v>
      </c>
      <c r="F1634" s="57">
        <v>0.7293745630517664</v>
      </c>
      <c r="G1634" s="2">
        <v>93.175719914949411</v>
      </c>
    </row>
    <row r="1635" spans="4:7" customFormat="1" x14ac:dyDescent="0.35">
      <c r="D1635" s="51">
        <v>44192</v>
      </c>
      <c r="E1635" s="57">
        <v>1</v>
      </c>
      <c r="F1635" s="57">
        <v>0.7293745630517664</v>
      </c>
      <c r="G1635" s="2">
        <v>93.175719914949411</v>
      </c>
    </row>
    <row r="1636" spans="4:7" customFormat="1" x14ac:dyDescent="0.35">
      <c r="D1636" s="51">
        <v>44191</v>
      </c>
      <c r="E1636" s="57">
        <v>1</v>
      </c>
      <c r="F1636" s="57">
        <v>0.7293745630517664</v>
      </c>
      <c r="G1636" s="2">
        <v>93.175719914949411</v>
      </c>
    </row>
    <row r="1637" spans="4:7" customFormat="1" x14ac:dyDescent="0.35">
      <c r="D1637" s="51">
        <v>44190</v>
      </c>
      <c r="E1637" s="57">
        <v>1</v>
      </c>
      <c r="F1637" s="57">
        <v>0.7293745630517664</v>
      </c>
      <c r="G1637" s="2">
        <v>93.175719914949411</v>
      </c>
    </row>
    <row r="1638" spans="4:7" customFormat="1" x14ac:dyDescent="0.35">
      <c r="D1638" s="51">
        <v>44189</v>
      </c>
      <c r="E1638" s="57">
        <v>1.0084200000000001</v>
      </c>
      <c r="F1638" s="57">
        <v>0.73551589687266239</v>
      </c>
      <c r="G1638" s="2">
        <v>92.397731019762986</v>
      </c>
    </row>
    <row r="1639" spans="4:7" customFormat="1" x14ac:dyDescent="0.35">
      <c r="D1639" s="51">
        <v>44188</v>
      </c>
      <c r="E1639" s="57">
        <v>0.95146799999999998</v>
      </c>
      <c r="F1639" s="57">
        <v>0.6998198393656383</v>
      </c>
      <c r="G1639" s="2">
        <v>97.110707895339615</v>
      </c>
    </row>
    <row r="1640" spans="4:7" customFormat="1" x14ac:dyDescent="0.35">
      <c r="D1640" s="51">
        <v>44187</v>
      </c>
      <c r="E1640" s="57">
        <v>1.038043</v>
      </c>
      <c r="F1640" s="57">
        <v>0.72644308551462533</v>
      </c>
      <c r="G1640" s="2">
        <v>93.551719818292312</v>
      </c>
    </row>
    <row r="1641" spans="4:7" customFormat="1" x14ac:dyDescent="0.35">
      <c r="D1641" s="51">
        <v>44186</v>
      </c>
      <c r="E1641" s="57">
        <v>0.98321599999999998</v>
      </c>
      <c r="F1641" s="57">
        <v>0.71425046476734788</v>
      </c>
      <c r="G1641" s="2">
        <v>95.148695523966566</v>
      </c>
    </row>
    <row r="1642" spans="4:7" customFormat="1" x14ac:dyDescent="0.35">
      <c r="D1642" s="51">
        <v>44185</v>
      </c>
      <c r="E1642" s="57">
        <v>1</v>
      </c>
      <c r="F1642" s="57">
        <v>0.71425046476734788</v>
      </c>
      <c r="G1642" s="2">
        <v>95.148695523966566</v>
      </c>
    </row>
    <row r="1643" spans="4:7" customFormat="1" x14ac:dyDescent="0.35">
      <c r="D1643" s="51">
        <v>44184</v>
      </c>
      <c r="E1643" s="57">
        <v>1</v>
      </c>
      <c r="F1643" s="57">
        <v>0.71425046476734788</v>
      </c>
      <c r="G1643" s="2">
        <v>95.148695523966566</v>
      </c>
    </row>
    <row r="1644" spans="4:7" customFormat="1" x14ac:dyDescent="0.35">
      <c r="D1644" s="51">
        <v>44183</v>
      </c>
      <c r="E1644" s="57">
        <v>1.0096560000000001</v>
      </c>
      <c r="F1644" s="57">
        <v>0.72114726725514144</v>
      </c>
      <c r="G1644" s="2">
        <v>94.238726382021753</v>
      </c>
    </row>
    <row r="1645" spans="4:7" customFormat="1" x14ac:dyDescent="0.35">
      <c r="D1645" s="51">
        <v>44182</v>
      </c>
      <c r="E1645" s="57">
        <v>1.0028520000000001</v>
      </c>
      <c r="F1645" s="57">
        <v>0.72320397926135316</v>
      </c>
      <c r="G1645" s="2">
        <v>93.970721883210828</v>
      </c>
    </row>
    <row r="1646" spans="4:7" customFormat="1" x14ac:dyDescent="0.35">
      <c r="D1646" s="51">
        <v>44181</v>
      </c>
      <c r="E1646" s="57">
        <v>1.0070619999999999</v>
      </c>
      <c r="F1646" s="57">
        <v>0.72831124576289674</v>
      </c>
      <c r="G1646" s="2">
        <v>93.311754274524162</v>
      </c>
    </row>
    <row r="1647" spans="4:7" customFormat="1" x14ac:dyDescent="0.35">
      <c r="D1647" s="51">
        <v>44180</v>
      </c>
      <c r="E1647" s="57">
        <v>1.011611</v>
      </c>
      <c r="F1647" s="57">
        <v>0.73676766763744972</v>
      </c>
      <c r="G1647" s="2">
        <v>92.240746961553555</v>
      </c>
    </row>
    <row r="1648" spans="4:7" customFormat="1" x14ac:dyDescent="0.35">
      <c r="D1648" s="51">
        <v>44179</v>
      </c>
      <c r="E1648" s="57">
        <v>0.99598299999999995</v>
      </c>
      <c r="F1648" s="57">
        <v>0.73380807191655006</v>
      </c>
      <c r="G1648" s="2">
        <v>92.612772468559768</v>
      </c>
    </row>
    <row r="1649" spans="4:7" customFormat="1" x14ac:dyDescent="0.35">
      <c r="D1649" s="51">
        <v>44178</v>
      </c>
      <c r="E1649" s="57">
        <v>1</v>
      </c>
      <c r="F1649" s="57">
        <v>0.73380807191655006</v>
      </c>
      <c r="G1649" s="2">
        <v>92.612772468559768</v>
      </c>
    </row>
    <row r="1650" spans="4:7" customFormat="1" x14ac:dyDescent="0.35">
      <c r="D1650" s="51">
        <v>44177</v>
      </c>
      <c r="E1650" s="57">
        <v>1</v>
      </c>
      <c r="F1650" s="57">
        <v>0.73380807191655006</v>
      </c>
      <c r="G1650" s="2">
        <v>92.612772468559768</v>
      </c>
    </row>
    <row r="1651" spans="4:7" customFormat="1" x14ac:dyDescent="0.35">
      <c r="D1651" s="51">
        <v>44176</v>
      </c>
      <c r="E1651" s="57">
        <v>1.0093289999999999</v>
      </c>
      <c r="F1651" s="57">
        <v>0.74065376741945954</v>
      </c>
      <c r="G1651" s="2">
        <v>91.756773528314127</v>
      </c>
    </row>
    <row r="1652" spans="4:7" customFormat="1" x14ac:dyDescent="0.35">
      <c r="D1652" s="51">
        <v>44175</v>
      </c>
      <c r="E1652" s="57">
        <v>1.0365089999999999</v>
      </c>
      <c r="F1652" s="57">
        <v>0.76769429581417648</v>
      </c>
      <c r="G1652" s="2">
        <v>88.524820844116306</v>
      </c>
    </row>
    <row r="1653" spans="4:7" customFormat="1" x14ac:dyDescent="0.35">
      <c r="D1653" s="51">
        <v>44174</v>
      </c>
      <c r="E1653" s="57">
        <v>0.96749700000000005</v>
      </c>
      <c r="F1653" s="57">
        <v>0.74274192811732831</v>
      </c>
      <c r="G1653" s="2">
        <v>91.49880655352554</v>
      </c>
    </row>
    <row r="1654" spans="4:7" customFormat="1" x14ac:dyDescent="0.35">
      <c r="D1654" s="51">
        <v>44173</v>
      </c>
      <c r="E1654" s="57">
        <v>1.002597</v>
      </c>
      <c r="F1654" s="57">
        <v>0.74467082890464897</v>
      </c>
      <c r="G1654" s="2">
        <v>91.261799659809014</v>
      </c>
    </row>
    <row r="1655" spans="4:7" customFormat="1" x14ac:dyDescent="0.35">
      <c r="D1655" s="51">
        <v>44172</v>
      </c>
      <c r="E1655" s="57">
        <v>1.009792</v>
      </c>
      <c r="F1655" s="57">
        <v>0.75196264566128335</v>
      </c>
      <c r="G1655" s="2">
        <v>90.376829742965896</v>
      </c>
    </row>
    <row r="1656" spans="4:7" customFormat="1" x14ac:dyDescent="0.35">
      <c r="D1656" s="51">
        <v>44171</v>
      </c>
      <c r="E1656" s="57">
        <v>1</v>
      </c>
      <c r="F1656" s="57">
        <v>0.75196264566128335</v>
      </c>
      <c r="G1656" s="2">
        <v>90.376829742965896</v>
      </c>
    </row>
    <row r="1657" spans="4:7" customFormat="1" x14ac:dyDescent="0.35">
      <c r="D1657" s="51">
        <v>44170</v>
      </c>
      <c r="E1657" s="57">
        <v>1</v>
      </c>
      <c r="F1657" s="57">
        <v>0.75196264566128335</v>
      </c>
      <c r="G1657" s="2">
        <v>90.376829742965896</v>
      </c>
    </row>
    <row r="1658" spans="4:7" customFormat="1" x14ac:dyDescent="0.35">
      <c r="D1658" s="51">
        <v>44169</v>
      </c>
      <c r="E1658" s="57">
        <v>1.0187109999999999</v>
      </c>
      <c r="F1658" s="57">
        <v>0.76603261872425155</v>
      </c>
      <c r="G1658" s="2">
        <v>88.716848785343345</v>
      </c>
    </row>
    <row r="1659" spans="4:7" customFormat="1" x14ac:dyDescent="0.35">
      <c r="D1659" s="51">
        <v>44168</v>
      </c>
      <c r="E1659" s="57">
        <v>1.0233699999999999</v>
      </c>
      <c r="F1659" s="57">
        <v>0.78393480102383717</v>
      </c>
      <c r="G1659" s="2">
        <v>86.69088285306718</v>
      </c>
    </row>
    <row r="1660" spans="4:7" customFormat="1" x14ac:dyDescent="0.35">
      <c r="D1660" s="51">
        <v>44167</v>
      </c>
      <c r="E1660" s="57">
        <v>0.97392500000000004</v>
      </c>
      <c r="F1660" s="57">
        <v>0.76349370108714065</v>
      </c>
      <c r="G1660" s="2">
        <v>89.011867292724972</v>
      </c>
    </row>
    <row r="1661" spans="4:7" customFormat="1" x14ac:dyDescent="0.35">
      <c r="D1661" s="51">
        <v>44166</v>
      </c>
      <c r="E1661" s="57">
        <v>0.98785900000000004</v>
      </c>
      <c r="F1661" s="57">
        <v>0.75422412406224171</v>
      </c>
      <c r="G1661" s="2">
        <v>90.105842324385335</v>
      </c>
    </row>
    <row r="1662" spans="4:7" customFormat="1" x14ac:dyDescent="0.35">
      <c r="D1662" s="51">
        <v>44165</v>
      </c>
      <c r="E1662" s="57">
        <v>1.032035</v>
      </c>
      <c r="F1662" s="57">
        <v>0.77838569387657564</v>
      </c>
      <c r="G1662" s="2">
        <v>87.308901659716327</v>
      </c>
    </row>
    <row r="1663" spans="4:7" customFormat="1" x14ac:dyDescent="0.35">
      <c r="D1663" s="51">
        <v>44164</v>
      </c>
      <c r="E1663" s="57">
        <v>1</v>
      </c>
      <c r="F1663" s="57">
        <v>0.77838569387657564</v>
      </c>
      <c r="G1663" s="2">
        <v>87.308901659716327</v>
      </c>
    </row>
    <row r="1664" spans="4:7" customFormat="1" x14ac:dyDescent="0.35">
      <c r="D1664" s="51">
        <v>44163</v>
      </c>
      <c r="E1664" s="57">
        <v>1</v>
      </c>
      <c r="F1664" s="57">
        <v>0.77838569387657564</v>
      </c>
      <c r="G1664" s="2">
        <v>87.308901659716327</v>
      </c>
    </row>
    <row r="1665" spans="4:7" customFormat="1" x14ac:dyDescent="0.35">
      <c r="D1665" s="51">
        <v>44162</v>
      </c>
      <c r="E1665" s="57">
        <v>1.0125599999999999</v>
      </c>
      <c r="F1665" s="57">
        <v>0.78816221819166532</v>
      </c>
      <c r="G1665" s="2">
        <v>86.225904301687137</v>
      </c>
    </row>
    <row r="1666" spans="4:7" customFormat="1" x14ac:dyDescent="0.35">
      <c r="D1666" s="51">
        <v>44161</v>
      </c>
      <c r="E1666" s="57">
        <v>1</v>
      </c>
      <c r="F1666" s="57">
        <v>0.78816221819166532</v>
      </c>
      <c r="G1666" s="2">
        <v>86.225904301687137</v>
      </c>
    </row>
    <row r="1667" spans="4:7" customFormat="1" x14ac:dyDescent="0.35">
      <c r="D1667" s="51">
        <v>44160</v>
      </c>
      <c r="E1667" s="57">
        <v>1.0215259999999999</v>
      </c>
      <c r="F1667" s="57">
        <v>0.8051281981004591</v>
      </c>
      <c r="G1667" s="2">
        <v>84.408917934234807</v>
      </c>
    </row>
    <row r="1668" spans="4:7" customFormat="1" x14ac:dyDescent="0.35">
      <c r="D1668" s="51">
        <v>44159</v>
      </c>
      <c r="E1668" s="57">
        <v>1.0053000000000001</v>
      </c>
      <c r="F1668" s="57">
        <v>0.80939537755039159</v>
      </c>
      <c r="G1668" s="2">
        <v>83.963909215393215</v>
      </c>
    </row>
    <row r="1669" spans="4:7" customFormat="1" x14ac:dyDescent="0.35">
      <c r="D1669" s="51">
        <v>44158</v>
      </c>
      <c r="E1669" s="57">
        <v>1.015296</v>
      </c>
      <c r="F1669" s="57">
        <v>0.82177588924540235</v>
      </c>
      <c r="G1669" s="2">
        <v>82.698946135307551</v>
      </c>
    </row>
    <row r="1670" spans="4:7" customFormat="1" x14ac:dyDescent="0.35">
      <c r="D1670" s="51">
        <v>44157</v>
      </c>
      <c r="E1670" s="57">
        <v>1</v>
      </c>
      <c r="F1670" s="57">
        <v>0.82177588924540235</v>
      </c>
      <c r="G1670" s="2">
        <v>82.698946135307551</v>
      </c>
    </row>
    <row r="1671" spans="4:7" customFormat="1" x14ac:dyDescent="0.35">
      <c r="D1671" s="51">
        <v>44156</v>
      </c>
      <c r="E1671" s="57">
        <v>1</v>
      </c>
      <c r="F1671" s="57">
        <v>0.82177588924540235</v>
      </c>
      <c r="G1671" s="2">
        <v>82.698946135307551</v>
      </c>
    </row>
    <row r="1672" spans="4:7" customFormat="1" x14ac:dyDescent="0.35">
      <c r="D1672" s="51">
        <v>44155</v>
      </c>
      <c r="E1672" s="57">
        <v>1.0261560000000001</v>
      </c>
      <c r="F1672" s="57">
        <v>0.84327025940450517</v>
      </c>
      <c r="G1672" s="2">
        <v>80.591007736940142</v>
      </c>
    </row>
    <row r="1673" spans="4:7" customFormat="1" x14ac:dyDescent="0.35">
      <c r="D1673" s="51">
        <v>44154</v>
      </c>
      <c r="E1673" s="57">
        <v>1.0433699999999999</v>
      </c>
      <c r="F1673" s="57">
        <v>0.87984289055487852</v>
      </c>
      <c r="G1673" s="2">
        <v>77.241062841504103</v>
      </c>
    </row>
    <row r="1674" spans="4:7" customFormat="1" x14ac:dyDescent="0.35">
      <c r="D1674" s="51">
        <v>44153</v>
      </c>
      <c r="E1674" s="57">
        <v>0.97152400000000005</v>
      </c>
      <c r="F1674" s="57">
        <v>0.8547884844034378</v>
      </c>
      <c r="G1674" s="2">
        <v>79.505048605597096</v>
      </c>
    </row>
    <row r="1675" spans="4:7" customFormat="1" x14ac:dyDescent="0.35">
      <c r="D1675" s="51">
        <v>44152</v>
      </c>
      <c r="E1675" s="57">
        <v>1.0655779999999999</v>
      </c>
      <c r="F1675" s="57">
        <v>0.91084380363364637</v>
      </c>
      <c r="G1675" s="2">
        <v>74.612134077089706</v>
      </c>
    </row>
    <row r="1676" spans="4:7" customFormat="1" x14ac:dyDescent="0.35">
      <c r="D1676" s="51">
        <v>44151</v>
      </c>
      <c r="E1676" s="57">
        <v>1.0154609999999999</v>
      </c>
      <c r="F1676" s="57">
        <v>0.92492635968162618</v>
      </c>
      <c r="G1676" s="2">
        <v>73.4761197890315</v>
      </c>
    </row>
    <row r="1677" spans="4:7" customFormat="1" x14ac:dyDescent="0.35">
      <c r="D1677" s="51">
        <v>44150</v>
      </c>
      <c r="E1677" s="57">
        <v>1</v>
      </c>
      <c r="F1677" s="57">
        <v>0.92492635968162618</v>
      </c>
      <c r="G1677" s="2">
        <v>73.4761197890315</v>
      </c>
    </row>
    <row r="1678" spans="4:7" customFormat="1" x14ac:dyDescent="0.35">
      <c r="D1678" s="51">
        <v>44149</v>
      </c>
      <c r="E1678" s="57">
        <v>1</v>
      </c>
      <c r="F1678" s="57">
        <v>0.92492635968162618</v>
      </c>
      <c r="G1678" s="2">
        <v>73.4761197890315</v>
      </c>
    </row>
    <row r="1679" spans="4:7" customFormat="1" x14ac:dyDescent="0.35">
      <c r="D1679" s="51">
        <v>44148</v>
      </c>
      <c r="E1679" s="57">
        <v>0.99293200000000004</v>
      </c>
      <c r="F1679" s="57">
        <v>0.91838898017139647</v>
      </c>
      <c r="G1679" s="2">
        <v>73.999145751200984</v>
      </c>
    </row>
    <row r="1680" spans="4:7" customFormat="1" x14ac:dyDescent="0.35">
      <c r="D1680" s="51">
        <v>44147</v>
      </c>
      <c r="E1680" s="57">
        <v>0.997251</v>
      </c>
      <c r="F1680" s="57">
        <v>0.91586432886490532</v>
      </c>
      <c r="G1680" s="2">
        <v>74.203130155999816</v>
      </c>
    </row>
    <row r="1681" spans="4:7" customFormat="1" x14ac:dyDescent="0.35">
      <c r="D1681" s="51">
        <v>44146</v>
      </c>
      <c r="E1681" s="57">
        <v>1.0491459999999999</v>
      </c>
      <c r="F1681" s="57">
        <v>0.96087539717129988</v>
      </c>
      <c r="G1681" s="2">
        <v>70.7271725346137</v>
      </c>
    </row>
    <row r="1682" spans="4:7" customFormat="1" x14ac:dyDescent="0.35">
      <c r="D1682" s="51">
        <v>44145</v>
      </c>
      <c r="E1682" s="57">
        <v>0.92895700000000003</v>
      </c>
      <c r="F1682" s="57">
        <v>0.89261192633005926</v>
      </c>
      <c r="G1682" s="2">
        <v>76.136110212435781</v>
      </c>
    </row>
    <row r="1683" spans="4:7" customFormat="1" x14ac:dyDescent="0.35">
      <c r="D1683" s="51">
        <v>44144</v>
      </c>
      <c r="E1683" s="57">
        <v>0.92924799999999996</v>
      </c>
      <c r="F1683" s="57">
        <v>0.82945784731835492</v>
      </c>
      <c r="G1683" s="2">
        <v>81.933036404098559</v>
      </c>
    </row>
    <row r="1684" spans="4:7" customFormat="1" x14ac:dyDescent="0.35">
      <c r="D1684" s="51">
        <v>44143</v>
      </c>
      <c r="E1684" s="57">
        <v>1</v>
      </c>
      <c r="F1684" s="57">
        <v>0.82945784731835492</v>
      </c>
      <c r="G1684" s="2">
        <v>81.933036404098559</v>
      </c>
    </row>
    <row r="1685" spans="4:7" customFormat="1" x14ac:dyDescent="0.35">
      <c r="D1685" s="51">
        <v>44142</v>
      </c>
      <c r="E1685" s="57">
        <v>1</v>
      </c>
      <c r="F1685" s="57">
        <v>0.82945784731835492</v>
      </c>
      <c r="G1685" s="2">
        <v>81.933036404098559</v>
      </c>
    </row>
    <row r="1686" spans="4:7" customFormat="1" x14ac:dyDescent="0.35">
      <c r="D1686" s="51">
        <v>44141</v>
      </c>
      <c r="E1686" s="57">
        <v>1.265781</v>
      </c>
      <c r="F1686" s="57">
        <v>1.0499119834364747</v>
      </c>
      <c r="G1686" s="2">
        <v>64.729235471300754</v>
      </c>
    </row>
    <row r="1687" spans="4:7" customFormat="1" x14ac:dyDescent="0.35">
      <c r="D1687" s="51">
        <v>44140</v>
      </c>
      <c r="E1687" s="57">
        <v>1.0235289999999999</v>
      </c>
      <c r="F1687" s="57">
        <v>1.0746153624947514</v>
      </c>
      <c r="G1687" s="2">
        <v>63.241232511536815</v>
      </c>
    </row>
    <row r="1688" spans="4:7" customFormat="1" x14ac:dyDescent="0.35">
      <c r="D1688" s="51">
        <v>44139</v>
      </c>
      <c r="E1688" s="57">
        <v>1.0790679999999999</v>
      </c>
      <c r="F1688" s="57">
        <v>1.1595830499764863</v>
      </c>
      <c r="G1688" s="2">
        <v>58.607272675620834</v>
      </c>
    </row>
    <row r="1689" spans="4:7" customFormat="1" x14ac:dyDescent="0.35">
      <c r="D1689" s="51">
        <v>44138</v>
      </c>
      <c r="E1689" s="57">
        <v>1.048144</v>
      </c>
      <c r="F1689" s="57">
        <v>1.2154100163345543</v>
      </c>
      <c r="G1689" s="2">
        <v>55.915287093777984</v>
      </c>
    </row>
    <row r="1690" spans="4:7" customFormat="1" x14ac:dyDescent="0.35">
      <c r="D1690" s="51">
        <v>44137</v>
      </c>
      <c r="E1690" s="57">
        <v>0.98712999999999995</v>
      </c>
      <c r="F1690" s="57">
        <v>1.1997676894243285</v>
      </c>
      <c r="G1690" s="2">
        <v>56.644299224801181</v>
      </c>
    </row>
    <row r="1691" spans="4:7" customFormat="1" x14ac:dyDescent="0.35">
      <c r="D1691" s="51">
        <v>44136</v>
      </c>
      <c r="E1691" s="57">
        <v>1</v>
      </c>
      <c r="F1691" s="57">
        <v>1.1997676894243285</v>
      </c>
      <c r="G1691" s="2">
        <v>56.644299224801181</v>
      </c>
    </row>
    <row r="1692" spans="4:7" customFormat="1" x14ac:dyDescent="0.35">
      <c r="D1692" s="51">
        <v>44135</v>
      </c>
      <c r="E1692" s="57">
        <v>1</v>
      </c>
      <c r="F1692" s="57">
        <v>1.1997676894243285</v>
      </c>
      <c r="G1692" s="2">
        <v>56.644299224801181</v>
      </c>
    </row>
    <row r="1693" spans="4:7" customFormat="1" x14ac:dyDescent="0.35">
      <c r="D1693" s="51">
        <v>44134</v>
      </c>
      <c r="E1693" s="57">
        <v>0.91661499999999996</v>
      </c>
      <c r="F1693" s="57">
        <v>1.0997250606416809</v>
      </c>
      <c r="G1693" s="2">
        <v>61.79726409103187</v>
      </c>
    </row>
    <row r="1694" spans="4:7" customFormat="1" x14ac:dyDescent="0.35">
      <c r="D1694" s="51">
        <v>44133</v>
      </c>
      <c r="E1694" s="57">
        <v>1.036027</v>
      </c>
      <c r="F1694" s="57">
        <v>1.1393448554014187</v>
      </c>
      <c r="G1694" s="2">
        <v>59.648314272728292</v>
      </c>
    </row>
    <row r="1695" spans="4:7" customFormat="1" x14ac:dyDescent="0.35">
      <c r="D1695" s="51">
        <v>44132</v>
      </c>
      <c r="E1695" s="57">
        <v>0.97249600000000003</v>
      </c>
      <c r="F1695" s="57">
        <v>1.108008314498458</v>
      </c>
      <c r="G1695" s="2">
        <v>61.335279808583579</v>
      </c>
    </row>
    <row r="1696" spans="4:7" customFormat="1" x14ac:dyDescent="0.35">
      <c r="D1696" s="51">
        <v>44131</v>
      </c>
      <c r="E1696" s="57">
        <v>1.0082850000000001</v>
      </c>
      <c r="F1696" s="57">
        <v>1.1171881633840779</v>
      </c>
      <c r="G1696" s="2">
        <v>60.831292549808403</v>
      </c>
    </row>
    <row r="1697" spans="4:7" customFormat="1" x14ac:dyDescent="0.35">
      <c r="D1697" s="51">
        <v>44130</v>
      </c>
      <c r="E1697" s="57">
        <v>0.98130399999999995</v>
      </c>
      <c r="F1697" s="57">
        <v>1.0963012134814492</v>
      </c>
      <c r="G1697" s="2">
        <v>61.99026249746094</v>
      </c>
    </row>
    <row r="1698" spans="4:7" customFormat="1" x14ac:dyDescent="0.35">
      <c r="D1698" s="51">
        <v>44129</v>
      </c>
      <c r="E1698" s="57">
        <v>1</v>
      </c>
      <c r="F1698" s="57">
        <v>1.0963012134814492</v>
      </c>
      <c r="G1698" s="2">
        <v>61.99026249746094</v>
      </c>
    </row>
    <row r="1699" spans="4:7" customFormat="1" x14ac:dyDescent="0.35">
      <c r="D1699" s="51">
        <v>44128</v>
      </c>
      <c r="E1699" s="57">
        <v>1</v>
      </c>
      <c r="F1699" s="57">
        <v>1.0963012134814492</v>
      </c>
      <c r="G1699" s="2">
        <v>61.99026249746094</v>
      </c>
    </row>
    <row r="1700" spans="4:7" customFormat="1" x14ac:dyDescent="0.35">
      <c r="D1700" s="51">
        <v>44127</v>
      </c>
      <c r="E1700" s="57">
        <v>1.02142</v>
      </c>
      <c r="F1700" s="57">
        <v>1.1197839854742218</v>
      </c>
      <c r="G1700" s="2">
        <v>60.690276769067516</v>
      </c>
    </row>
    <row r="1701" spans="4:7" customFormat="1" x14ac:dyDescent="0.35">
      <c r="D1701" s="51">
        <v>44126</v>
      </c>
      <c r="E1701" s="57">
        <v>0.97156900000000002</v>
      </c>
      <c r="F1701" s="57">
        <v>1.0879474069832042</v>
      </c>
      <c r="G1701" s="2">
        <v>62.466254861021199</v>
      </c>
    </row>
    <row r="1702" spans="4:7" customFormat="1" x14ac:dyDescent="0.35">
      <c r="D1702" s="51">
        <v>44125</v>
      </c>
      <c r="E1702" s="57">
        <v>1.020219</v>
      </c>
      <c r="F1702" s="57">
        <v>1.1099446156049977</v>
      </c>
      <c r="G1702" s="2">
        <v>61.22828026239582</v>
      </c>
    </row>
    <row r="1703" spans="4:7" customFormat="1" x14ac:dyDescent="0.35">
      <c r="D1703" s="51">
        <v>44124</v>
      </c>
      <c r="E1703" s="57">
        <v>0.99029599999999995</v>
      </c>
      <c r="F1703" s="57">
        <v>1.0991737130551666</v>
      </c>
      <c r="G1703" s="2">
        <v>61.828261714069157</v>
      </c>
    </row>
    <row r="1704" spans="4:7" customFormat="1" x14ac:dyDescent="0.35">
      <c r="D1704" s="51">
        <v>44123</v>
      </c>
      <c r="E1704" s="57">
        <v>1.0219670000000001</v>
      </c>
      <c r="F1704" s="57">
        <v>1.1233192620098496</v>
      </c>
      <c r="G1704" s="2">
        <v>60.499274158626598</v>
      </c>
    </row>
    <row r="1705" spans="4:7" customFormat="1" x14ac:dyDescent="0.35">
      <c r="D1705" s="51">
        <v>44122</v>
      </c>
      <c r="E1705" s="57">
        <v>1</v>
      </c>
      <c r="F1705" s="57">
        <v>1.1233192620098496</v>
      </c>
      <c r="G1705" s="2">
        <v>60.499274158626598</v>
      </c>
    </row>
    <row r="1706" spans="4:7" customFormat="1" x14ac:dyDescent="0.35">
      <c r="D1706" s="51">
        <v>44121</v>
      </c>
      <c r="E1706" s="57">
        <v>1</v>
      </c>
      <c r="F1706" s="57">
        <v>1.1233192620098496</v>
      </c>
      <c r="G1706" s="2">
        <v>60.499274158626598</v>
      </c>
    </row>
    <row r="1707" spans="4:7" customFormat="1" x14ac:dyDescent="0.35">
      <c r="D1707" s="51">
        <v>44120</v>
      </c>
      <c r="E1707" s="57">
        <v>1.0083169999999999</v>
      </c>
      <c r="F1707" s="57">
        <v>1.1326619083119853</v>
      </c>
      <c r="G1707" s="2">
        <v>60.00025206222508</v>
      </c>
    </row>
    <row r="1708" spans="4:7" customFormat="1" x14ac:dyDescent="0.35">
      <c r="D1708" s="51">
        <v>44119</v>
      </c>
      <c r="E1708" s="57">
        <v>0.91750299999999996</v>
      </c>
      <c r="F1708" s="57">
        <v>1.0392206988619714</v>
      </c>
      <c r="G1708" s="2">
        <v>65.395156268944177</v>
      </c>
    </row>
    <row r="1709" spans="4:7" customFormat="1" x14ac:dyDescent="0.35">
      <c r="D1709" s="51">
        <v>44118</v>
      </c>
      <c r="E1709" s="57">
        <v>1.0049790000000001</v>
      </c>
      <c r="F1709" s="57">
        <v>1.0443949787216054</v>
      </c>
      <c r="G1709" s="2">
        <v>65.071166928805638</v>
      </c>
    </row>
    <row r="1710" spans="4:7" customFormat="1" x14ac:dyDescent="0.35">
      <c r="D1710" s="51">
        <v>44117</v>
      </c>
      <c r="E1710" s="57">
        <v>1.038394</v>
      </c>
      <c r="F1710" s="57">
        <v>1.0844934795346428</v>
      </c>
      <c r="G1710" s="2">
        <v>62.665199268105965</v>
      </c>
    </row>
    <row r="1711" spans="4:7" customFormat="1" x14ac:dyDescent="0.35">
      <c r="D1711" s="51">
        <v>44116</v>
      </c>
      <c r="E1711" s="57">
        <v>1.0221</v>
      </c>
      <c r="F1711" s="57">
        <v>1.1084607854323585</v>
      </c>
      <c r="G1711" s="2">
        <v>61.310242900015616</v>
      </c>
    </row>
    <row r="1712" spans="4:7" customFormat="1" x14ac:dyDescent="0.35">
      <c r="D1712" s="51">
        <v>44115</v>
      </c>
      <c r="E1712" s="57">
        <v>1</v>
      </c>
      <c r="F1712" s="57">
        <v>1.1084607854323585</v>
      </c>
      <c r="G1712" s="2">
        <v>61.310242900015616</v>
      </c>
    </row>
    <row r="1713" spans="4:7" customFormat="1" x14ac:dyDescent="0.35">
      <c r="D1713" s="51">
        <v>44114</v>
      </c>
      <c r="E1713" s="57">
        <v>1</v>
      </c>
      <c r="F1713" s="57">
        <v>1.1084607854323585</v>
      </c>
      <c r="G1713" s="2">
        <v>61.310242900015616</v>
      </c>
    </row>
    <row r="1714" spans="4:7" customFormat="1" x14ac:dyDescent="0.35">
      <c r="D1714" s="51">
        <v>44113</v>
      </c>
      <c r="E1714" s="57">
        <v>1.0124850000000001</v>
      </c>
      <c r="F1714" s="57">
        <v>1.1222999183384816</v>
      </c>
      <c r="G1714" s="2">
        <v>60.554223420609304</v>
      </c>
    </row>
    <row r="1715" spans="4:7" customFormat="1" x14ac:dyDescent="0.35">
      <c r="D1715" s="51">
        <v>44112</v>
      </c>
      <c r="E1715" s="57">
        <v>1.020424</v>
      </c>
      <c r="F1715" s="57">
        <v>1.1452217718706268</v>
      </c>
      <c r="G1715" s="2">
        <v>59.342217960974367</v>
      </c>
    </row>
    <row r="1716" spans="4:7" customFormat="1" x14ac:dyDescent="0.35">
      <c r="D1716" s="51">
        <v>44111</v>
      </c>
      <c r="E1716" s="57">
        <v>1.0139769999999999</v>
      </c>
      <c r="F1716" s="57">
        <v>1.1612285365760624</v>
      </c>
      <c r="G1716" s="2">
        <v>58.524224869966844</v>
      </c>
    </row>
    <row r="1717" spans="4:7" customFormat="1" x14ac:dyDescent="0.35">
      <c r="D1717" s="51">
        <v>44110</v>
      </c>
      <c r="E1717" s="57">
        <v>1.0197590000000001</v>
      </c>
      <c r="F1717" s="57">
        <v>1.184173251230269</v>
      </c>
      <c r="G1717" s="2">
        <v>57.390250902386583</v>
      </c>
    </row>
    <row r="1718" spans="4:7" customFormat="1" x14ac:dyDescent="0.35">
      <c r="D1718" s="51">
        <v>44109</v>
      </c>
      <c r="E1718" s="57">
        <v>1.0313220000000001</v>
      </c>
      <c r="F1718" s="57">
        <v>1.2212639258053035</v>
      </c>
      <c r="G1718" s="2">
        <v>55.647267199174046</v>
      </c>
    </row>
    <row r="1719" spans="4:7" customFormat="1" x14ac:dyDescent="0.35">
      <c r="D1719" s="51">
        <v>44108</v>
      </c>
      <c r="E1719" s="57">
        <v>1</v>
      </c>
      <c r="F1719" s="57">
        <v>1.2212639258053035</v>
      </c>
      <c r="G1719" s="2">
        <v>55.647267199174046</v>
      </c>
    </row>
    <row r="1720" spans="4:7" customFormat="1" x14ac:dyDescent="0.35">
      <c r="D1720" s="51">
        <v>44107</v>
      </c>
      <c r="E1720" s="57">
        <v>1</v>
      </c>
      <c r="F1720" s="57">
        <v>1.2212639258053035</v>
      </c>
      <c r="G1720" s="2">
        <v>55.647267199174046</v>
      </c>
    </row>
    <row r="1721" spans="4:7" customFormat="1" x14ac:dyDescent="0.35">
      <c r="D1721" s="51">
        <v>44106</v>
      </c>
      <c r="E1721" s="57">
        <v>1.0023599999999999</v>
      </c>
      <c r="F1721" s="57">
        <v>1.2241461086702039</v>
      </c>
      <c r="G1721" s="2">
        <v>55.51624885188361</v>
      </c>
    </row>
    <row r="1722" spans="4:7" customFormat="1" x14ac:dyDescent="0.35">
      <c r="D1722" s="51">
        <v>44105</v>
      </c>
      <c r="E1722" s="57">
        <v>1.0701449999999999</v>
      </c>
      <c r="F1722" s="57">
        <v>1.3100138374628751</v>
      </c>
      <c r="G1722" s="2">
        <v>51.877314618003744</v>
      </c>
    </row>
    <row r="1723" spans="4:7" customFormat="1" x14ac:dyDescent="0.35">
      <c r="D1723" s="51">
        <v>44104</v>
      </c>
      <c r="E1723" s="57">
        <v>1.0410999999999999</v>
      </c>
      <c r="F1723" s="57">
        <v>1.3638554061825992</v>
      </c>
      <c r="G1723" s="2">
        <v>49.829329188362067</v>
      </c>
    </row>
    <row r="1724" spans="4:7" customFormat="1" x14ac:dyDescent="0.35">
      <c r="D1724" s="51">
        <v>44103</v>
      </c>
      <c r="E1724" s="57">
        <v>1.021881</v>
      </c>
      <c r="F1724" s="57">
        <v>1.3936979263252807</v>
      </c>
      <c r="G1724" s="2">
        <v>48.762359989433278</v>
      </c>
    </row>
    <row r="1725" spans="4:7" customFormat="1" x14ac:dyDescent="0.35">
      <c r="D1725" s="51">
        <v>44102</v>
      </c>
      <c r="E1725" s="57">
        <v>1.0305599999999999</v>
      </c>
      <c r="F1725" s="57">
        <v>1.4362893349537811</v>
      </c>
      <c r="G1725" s="2">
        <v>47.316371671162557</v>
      </c>
    </row>
    <row r="1726" spans="4:7" customFormat="1" x14ac:dyDescent="0.35">
      <c r="D1726" s="51">
        <v>44101</v>
      </c>
      <c r="E1726" s="57">
        <v>1</v>
      </c>
      <c r="F1726" s="57">
        <v>1.4362893349537811</v>
      </c>
      <c r="G1726" s="2">
        <v>47.316371671162557</v>
      </c>
    </row>
    <row r="1727" spans="4:7" customFormat="1" x14ac:dyDescent="0.35">
      <c r="D1727" s="51">
        <v>44100</v>
      </c>
      <c r="E1727" s="57">
        <v>1</v>
      </c>
      <c r="F1727" s="57">
        <v>1.4362893349537811</v>
      </c>
      <c r="G1727" s="2">
        <v>47.316371671162557</v>
      </c>
    </row>
    <row r="1728" spans="4:7" customFormat="1" x14ac:dyDescent="0.35">
      <c r="D1728" s="51">
        <v>44099</v>
      </c>
      <c r="E1728" s="57">
        <v>1.0440640000000001</v>
      </c>
      <c r="F1728" s="57">
        <v>1.4995779882091846</v>
      </c>
      <c r="G1728" s="2">
        <v>45.31941688551904</v>
      </c>
    </row>
    <row r="1729" spans="4:7" customFormat="1" x14ac:dyDescent="0.35">
      <c r="D1729" s="51">
        <v>44098</v>
      </c>
      <c r="E1729" s="57">
        <v>0.99109899999999995</v>
      </c>
      <c r="F1729" s="57">
        <v>1.4862302445361346</v>
      </c>
      <c r="G1729" s="2">
        <v>45.726427819540774</v>
      </c>
    </row>
    <row r="1730" spans="4:7" customFormat="1" x14ac:dyDescent="0.35">
      <c r="D1730" s="51">
        <v>44097</v>
      </c>
      <c r="E1730" s="57">
        <v>0.97765800000000003</v>
      </c>
      <c r="F1730" s="57">
        <v>1.4530248884127084</v>
      </c>
      <c r="G1730" s="2">
        <v>46.771394311242553</v>
      </c>
    </row>
    <row r="1731" spans="4:7" customFormat="1" x14ac:dyDescent="0.35">
      <c r="D1731" s="51">
        <v>44096</v>
      </c>
      <c r="E1731" s="57">
        <v>1.013368</v>
      </c>
      <c r="F1731" s="57">
        <v>1.4724489251210096</v>
      </c>
      <c r="G1731" s="2">
        <v>46.154402261806716</v>
      </c>
    </row>
    <row r="1732" spans="4:7" customFormat="1" x14ac:dyDescent="0.35">
      <c r="D1732" s="51">
        <v>44095</v>
      </c>
      <c r="E1732" s="57">
        <v>1.0592079999999999</v>
      </c>
      <c r="F1732" s="57">
        <v>1.5596296810795742</v>
      </c>
      <c r="G1732" s="2">
        <v>43.574446437155608</v>
      </c>
    </row>
    <row r="1733" spans="4:7" customFormat="1" x14ac:dyDescent="0.35">
      <c r="D1733" s="51">
        <v>44094</v>
      </c>
      <c r="E1733" s="57">
        <v>1</v>
      </c>
      <c r="F1733" s="57">
        <v>1.5596296810795742</v>
      </c>
      <c r="G1733" s="2">
        <v>43.574446437155608</v>
      </c>
    </row>
    <row r="1734" spans="4:7" customFormat="1" x14ac:dyDescent="0.35">
      <c r="D1734" s="51">
        <v>44093</v>
      </c>
      <c r="E1734" s="57">
        <v>1</v>
      </c>
      <c r="F1734" s="57">
        <v>1.5596296810795742</v>
      </c>
      <c r="G1734" s="2">
        <v>43.574446437155608</v>
      </c>
    </row>
    <row r="1735" spans="4:7" customFormat="1" x14ac:dyDescent="0.35">
      <c r="D1735" s="51">
        <v>44092</v>
      </c>
      <c r="E1735" s="57">
        <v>1.0162789999999999</v>
      </c>
      <c r="F1735" s="57">
        <v>1.5850188926578685</v>
      </c>
      <c r="G1735" s="2">
        <v>42.876460536088622</v>
      </c>
    </row>
    <row r="1736" spans="4:7" customFormat="1" x14ac:dyDescent="0.35">
      <c r="D1736" s="51">
        <v>44091</v>
      </c>
      <c r="E1736" s="57">
        <v>0.97158500000000003</v>
      </c>
      <c r="F1736" s="57">
        <v>1.5399805808229952</v>
      </c>
      <c r="G1736" s="2">
        <v>44.130426608159482</v>
      </c>
    </row>
    <row r="1737" spans="4:7" customFormat="1" x14ac:dyDescent="0.35">
      <c r="D1737" s="51">
        <v>44090</v>
      </c>
      <c r="E1737" s="57">
        <v>0.99104000000000003</v>
      </c>
      <c r="F1737" s="57">
        <v>1.5261823548188211</v>
      </c>
      <c r="G1737" s="2">
        <v>44.529410122860305</v>
      </c>
    </row>
    <row r="1738" spans="4:7" customFormat="1" x14ac:dyDescent="0.35">
      <c r="D1738" s="51">
        <v>44089</v>
      </c>
      <c r="E1738" s="57">
        <v>1.0416129999999999</v>
      </c>
      <c r="F1738" s="57">
        <v>1.5896913811498965</v>
      </c>
      <c r="G1738" s="2">
        <v>42.750436220419978</v>
      </c>
    </row>
    <row r="1739" spans="4:7" customFormat="1" x14ac:dyDescent="0.35">
      <c r="D1739" s="51">
        <v>44088</v>
      </c>
      <c r="E1739" s="57">
        <v>1.021188</v>
      </c>
      <c r="F1739" s="57">
        <v>1.6233737621337005</v>
      </c>
      <c r="G1739" s="2">
        <v>41.863433785375442</v>
      </c>
    </row>
    <row r="1740" spans="4:7" customFormat="1" x14ac:dyDescent="0.35">
      <c r="D1740" s="51">
        <v>44087</v>
      </c>
      <c r="E1740" s="57">
        <v>1</v>
      </c>
      <c r="F1740" s="57">
        <v>1.6233737621337005</v>
      </c>
      <c r="G1740" s="2">
        <v>41.863433785375442</v>
      </c>
    </row>
    <row r="1741" spans="4:7" customFormat="1" x14ac:dyDescent="0.35">
      <c r="D1741" s="51">
        <v>44086</v>
      </c>
      <c r="E1741" s="57">
        <v>1</v>
      </c>
      <c r="F1741" s="57">
        <v>1.6233737621337005</v>
      </c>
      <c r="G1741" s="2">
        <v>41.863433785375442</v>
      </c>
    </row>
    <row r="1742" spans="4:7" customFormat="1" x14ac:dyDescent="0.35">
      <c r="D1742" s="51">
        <v>44085</v>
      </c>
      <c r="E1742" s="57">
        <v>0.98016899999999996</v>
      </c>
      <c r="F1742" s="57">
        <v>1.5911806370568271</v>
      </c>
      <c r="G1742" s="2">
        <v>42.710424207841136</v>
      </c>
    </row>
    <row r="1743" spans="4:7" customFormat="1" x14ac:dyDescent="0.35">
      <c r="D1743" s="51">
        <v>44084</v>
      </c>
      <c r="E1743" s="57">
        <v>0.98630600000000002</v>
      </c>
      <c r="F1743" s="57">
        <v>1.569391009412971</v>
      </c>
      <c r="G1743" s="2">
        <v>43.303421258555801</v>
      </c>
    </row>
    <row r="1744" spans="4:7" customFormat="1" x14ac:dyDescent="0.35">
      <c r="D1744" s="51">
        <v>44083</v>
      </c>
      <c r="E1744" s="57">
        <v>1.0308269999999999</v>
      </c>
      <c r="F1744" s="57">
        <v>1.6177706260601445</v>
      </c>
      <c r="G1744" s="2">
        <v>42.00842746508949</v>
      </c>
    </row>
    <row r="1745" spans="4:7" customFormat="1" x14ac:dyDescent="0.35">
      <c r="D1745" s="51">
        <v>44082</v>
      </c>
      <c r="E1745" s="57">
        <v>0.95202399999999998</v>
      </c>
      <c r="F1745" s="57">
        <v>1.540156462504283</v>
      </c>
      <c r="G1745" s="2">
        <v>44.125387033404088</v>
      </c>
    </row>
    <row r="1746" spans="4:7" customFormat="1" x14ac:dyDescent="0.35">
      <c r="D1746" s="51">
        <v>44081</v>
      </c>
      <c r="E1746" s="57">
        <v>1</v>
      </c>
      <c r="F1746" s="57">
        <v>1.540156462504283</v>
      </c>
      <c r="G1746" s="2">
        <v>44.125387033404088</v>
      </c>
    </row>
    <row r="1747" spans="4:7" customFormat="1" x14ac:dyDescent="0.35">
      <c r="D1747" s="51">
        <v>44080</v>
      </c>
      <c r="E1747" s="57">
        <v>1</v>
      </c>
      <c r="F1747" s="57">
        <v>1.540156462504283</v>
      </c>
      <c r="G1747" s="2">
        <v>44.125387033404088</v>
      </c>
    </row>
    <row r="1748" spans="4:7" customFormat="1" x14ac:dyDescent="0.35">
      <c r="D1748" s="51">
        <v>44079</v>
      </c>
      <c r="E1748" s="57">
        <v>1</v>
      </c>
      <c r="F1748" s="57">
        <v>1.540156462504283</v>
      </c>
      <c r="G1748" s="2">
        <v>44.125387033404088</v>
      </c>
    </row>
    <row r="1749" spans="4:7" customFormat="1" x14ac:dyDescent="0.35">
      <c r="D1749" s="51">
        <v>44078</v>
      </c>
      <c r="E1749" s="57">
        <v>0.94966099999999998</v>
      </c>
      <c r="F1749" s="57">
        <v>1.4626265263382798</v>
      </c>
      <c r="G1749" s="2">
        <v>46.464356263344591</v>
      </c>
    </row>
    <row r="1750" spans="4:7" customFormat="1" x14ac:dyDescent="0.35">
      <c r="D1750" s="51">
        <v>44077</v>
      </c>
      <c r="E1750" s="57">
        <v>0.90222400000000003</v>
      </c>
      <c r="F1750" s="57">
        <v>1.3196167550990283</v>
      </c>
      <c r="G1750" s="2">
        <v>51.499800784887775</v>
      </c>
    </row>
    <row r="1751" spans="4:7" customFormat="1" x14ac:dyDescent="0.35">
      <c r="D1751" s="51">
        <v>44076</v>
      </c>
      <c r="E1751" s="57">
        <v>1.0271539999999999</v>
      </c>
      <c r="F1751" s="57">
        <v>1.3554496284669872</v>
      </c>
      <c r="G1751" s="2">
        <v>50.138344186838367</v>
      </c>
    </row>
    <row r="1752" spans="4:7" customFormat="1" x14ac:dyDescent="0.35">
      <c r="D1752" s="51">
        <v>44075</v>
      </c>
      <c r="E1752" s="57">
        <v>1.041741</v>
      </c>
      <c r="F1752" s="57">
        <v>1.4120274514088278</v>
      </c>
      <c r="G1752" s="2">
        <v>48.129375907100098</v>
      </c>
    </row>
    <row r="1753" spans="4:7" customFormat="1" x14ac:dyDescent="0.35">
      <c r="D1753" s="51">
        <v>44074</v>
      </c>
      <c r="E1753" s="57">
        <v>0.99094099999999996</v>
      </c>
      <c r="F1753" s="57">
        <v>1.3992358947265151</v>
      </c>
      <c r="G1753" s="2">
        <v>48.569365791808096</v>
      </c>
    </row>
    <row r="1754" spans="4:7" customFormat="1" x14ac:dyDescent="0.35">
      <c r="D1754" s="51">
        <v>44073</v>
      </c>
      <c r="E1754" s="57">
        <v>1</v>
      </c>
      <c r="F1754" s="57">
        <v>1.3992358947265151</v>
      </c>
      <c r="G1754" s="2">
        <v>48.569365791808096</v>
      </c>
    </row>
    <row r="1755" spans="4:7" customFormat="1" x14ac:dyDescent="0.35">
      <c r="D1755" s="51">
        <v>44072</v>
      </c>
      <c r="E1755" s="57">
        <v>1</v>
      </c>
      <c r="F1755" s="57">
        <v>1.3992358947265151</v>
      </c>
      <c r="G1755" s="2">
        <v>48.569365791808096</v>
      </c>
    </row>
    <row r="1756" spans="4:7" customFormat="1" x14ac:dyDescent="0.35">
      <c r="D1756" s="51">
        <v>44071</v>
      </c>
      <c r="E1756" s="57">
        <v>1.024467</v>
      </c>
      <c r="F1756" s="57">
        <v>1.4334709993627888</v>
      </c>
      <c r="G1756" s="2">
        <v>47.409400001960137</v>
      </c>
    </row>
    <row r="1757" spans="4:7" customFormat="1" x14ac:dyDescent="0.35">
      <c r="D1757" s="51">
        <v>44070</v>
      </c>
      <c r="E1757" s="57">
        <v>0.98557300000000003</v>
      </c>
      <c r="F1757" s="57">
        <v>1.4127903132549819</v>
      </c>
      <c r="G1757" s="2">
        <v>48.103387574497404</v>
      </c>
    </row>
    <row r="1758" spans="4:7" customFormat="1" x14ac:dyDescent="0.35">
      <c r="D1758" s="51">
        <v>44069</v>
      </c>
      <c r="E1758" s="57">
        <v>1.0237069999999999</v>
      </c>
      <c r="F1758" s="57">
        <v>1.4462833332113176</v>
      </c>
      <c r="G1758" s="2">
        <v>46.989409640158179</v>
      </c>
    </row>
    <row r="1759" spans="4:7" customFormat="1" x14ac:dyDescent="0.35">
      <c r="D1759" s="51">
        <v>44068</v>
      </c>
      <c r="E1759" s="57">
        <v>1.0069429999999999</v>
      </c>
      <c r="F1759" s="57">
        <v>1.4563248783938036</v>
      </c>
      <c r="G1759" s="2">
        <v>46.665411686816618</v>
      </c>
    </row>
    <row r="1760" spans="4:7" customFormat="1" x14ac:dyDescent="0.35">
      <c r="D1760" s="51">
        <v>44067</v>
      </c>
      <c r="E1760" s="57">
        <v>1.0105679999999999</v>
      </c>
      <c r="F1760" s="57">
        <v>1.4717153197086692</v>
      </c>
      <c r="G1760" s="2">
        <v>46.177408830298035</v>
      </c>
    </row>
    <row r="1761" spans="4:7" customFormat="1" x14ac:dyDescent="0.35">
      <c r="D1761" s="51">
        <v>44066</v>
      </c>
      <c r="E1761" s="57">
        <v>1</v>
      </c>
      <c r="F1761" s="57">
        <v>1.4717153197086692</v>
      </c>
      <c r="G1761" s="2">
        <v>46.177408830298035</v>
      </c>
    </row>
    <row r="1762" spans="4:7" customFormat="1" x14ac:dyDescent="0.35">
      <c r="D1762" s="51">
        <v>44065</v>
      </c>
      <c r="E1762" s="57">
        <v>1</v>
      </c>
      <c r="F1762" s="57">
        <v>1.4717153197086692</v>
      </c>
      <c r="G1762" s="2">
        <v>46.177408830298035</v>
      </c>
    </row>
    <row r="1763" spans="4:7" customFormat="1" x14ac:dyDescent="0.35">
      <c r="D1763" s="51">
        <v>44064</v>
      </c>
      <c r="E1763" s="57">
        <v>0.98196700000000003</v>
      </c>
      <c r="F1763" s="57">
        <v>1.4451758773483627</v>
      </c>
      <c r="G1763" s="2">
        <v>47.025418196638007</v>
      </c>
    </row>
    <row r="1764" spans="4:7" customFormat="1" x14ac:dyDescent="0.35">
      <c r="D1764" s="51">
        <v>44063</v>
      </c>
      <c r="E1764" s="57">
        <v>1.0134700000000001</v>
      </c>
      <c r="F1764" s="57">
        <v>1.4646423964162454</v>
      </c>
      <c r="G1764" s="2">
        <v>46.400404744726536</v>
      </c>
    </row>
    <row r="1765" spans="4:7" customFormat="1" x14ac:dyDescent="0.35">
      <c r="D1765" s="51">
        <v>44062</v>
      </c>
      <c r="E1765" s="57">
        <v>0.98919199999999996</v>
      </c>
      <c r="F1765" s="57">
        <v>1.4488125413957786</v>
      </c>
      <c r="G1765" s="2">
        <v>46.907379704573565</v>
      </c>
    </row>
    <row r="1766" spans="4:7" customFormat="1" x14ac:dyDescent="0.35">
      <c r="D1766" s="51">
        <v>44061</v>
      </c>
      <c r="E1766" s="57">
        <v>0.98784899999999998</v>
      </c>
      <c r="F1766" s="57">
        <v>1.4312080202052786</v>
      </c>
      <c r="G1766" s="2">
        <v>47.484362189538643</v>
      </c>
    </row>
    <row r="1767" spans="4:7" customFormat="1" x14ac:dyDescent="0.35">
      <c r="D1767" s="51">
        <v>44060</v>
      </c>
      <c r="E1767" s="57">
        <v>1.0198670000000001</v>
      </c>
      <c r="F1767" s="57">
        <v>1.459641829942697</v>
      </c>
      <c r="G1767" s="2">
        <v>46.559367240570232</v>
      </c>
    </row>
    <row r="1768" spans="4:7" customFormat="1" x14ac:dyDescent="0.35">
      <c r="D1768" s="51">
        <v>44059</v>
      </c>
      <c r="E1768" s="57">
        <v>1</v>
      </c>
      <c r="F1768" s="57">
        <v>1.459641829942697</v>
      </c>
      <c r="G1768" s="2">
        <v>46.559367240570232</v>
      </c>
    </row>
    <row r="1769" spans="4:7" customFormat="1" x14ac:dyDescent="0.35">
      <c r="D1769" s="51">
        <v>44058</v>
      </c>
      <c r="E1769" s="57">
        <v>1</v>
      </c>
      <c r="F1769" s="57">
        <v>1.459641829942697</v>
      </c>
      <c r="G1769" s="2">
        <v>46.559367240570232</v>
      </c>
    </row>
    <row r="1770" spans="4:7" customFormat="1" x14ac:dyDescent="0.35">
      <c r="D1770" s="51">
        <v>44057</v>
      </c>
      <c r="E1770" s="57">
        <v>0.98677499999999996</v>
      </c>
      <c r="F1770" s="57">
        <v>1.4403380667417047</v>
      </c>
      <c r="G1770" s="2">
        <v>47.183367272752385</v>
      </c>
    </row>
    <row r="1771" spans="4:7" customFormat="1" x14ac:dyDescent="0.35">
      <c r="D1771" s="51">
        <v>44056</v>
      </c>
      <c r="E1771" s="57">
        <v>1.0256719999999999</v>
      </c>
      <c r="F1771" s="57">
        <v>1.4773144255910977</v>
      </c>
      <c r="G1771" s="2">
        <v>46.002393818640257</v>
      </c>
    </row>
    <row r="1772" spans="4:7" customFormat="1" x14ac:dyDescent="0.35">
      <c r="D1772" s="51">
        <v>44055</v>
      </c>
      <c r="E1772" s="57">
        <v>1.032267</v>
      </c>
      <c r="F1772" s="57">
        <v>1.5249829301616458</v>
      </c>
      <c r="G1772" s="2">
        <v>44.564433250932417</v>
      </c>
    </row>
    <row r="1773" spans="4:7" customFormat="1" x14ac:dyDescent="0.35">
      <c r="D1773" s="51">
        <v>44054</v>
      </c>
      <c r="E1773" s="57">
        <v>0.95688499999999999</v>
      </c>
      <c r="F1773" s="57">
        <v>1.4592332911277264</v>
      </c>
      <c r="G1773" s="2">
        <v>46.57240237952567</v>
      </c>
    </row>
    <row r="1774" spans="4:7" customFormat="1" x14ac:dyDescent="0.35">
      <c r="D1774" s="51">
        <v>44053</v>
      </c>
      <c r="E1774" s="57">
        <v>0.944303</v>
      </c>
      <c r="F1774" s="57">
        <v>1.3779583745117854</v>
      </c>
      <c r="G1774" s="2">
        <v>49.319341757386844</v>
      </c>
    </row>
    <row r="1775" spans="4:7" customFormat="1" x14ac:dyDescent="0.35">
      <c r="D1775" s="51">
        <v>44052</v>
      </c>
      <c r="E1775" s="57">
        <v>1</v>
      </c>
      <c r="F1775" s="57">
        <v>1.3779583745117854</v>
      </c>
      <c r="G1775" s="2">
        <v>49.319341757386844</v>
      </c>
    </row>
    <row r="1776" spans="4:7" customFormat="1" x14ac:dyDescent="0.35">
      <c r="D1776" s="51">
        <v>44051</v>
      </c>
      <c r="E1776" s="57">
        <v>1</v>
      </c>
      <c r="F1776" s="57">
        <v>1.3779583745117854</v>
      </c>
      <c r="G1776" s="2">
        <v>49.319341757386844</v>
      </c>
    </row>
    <row r="1777" spans="4:7" customFormat="1" x14ac:dyDescent="0.35">
      <c r="D1777" s="51">
        <v>44050</v>
      </c>
      <c r="E1777" s="57">
        <v>1.0258970000000001</v>
      </c>
      <c r="F1777" s="57">
        <v>1.4136433625365172</v>
      </c>
      <c r="G1777" s="2">
        <v>48.074360055041431</v>
      </c>
    </row>
    <row r="1778" spans="4:7" customFormat="1" x14ac:dyDescent="0.35">
      <c r="D1778" s="51">
        <v>44049</v>
      </c>
      <c r="E1778" s="57">
        <v>0.96927399999999997</v>
      </c>
      <c r="F1778" s="57">
        <v>1.3702077565792201</v>
      </c>
      <c r="G1778" s="2">
        <v>49.598317973082359</v>
      </c>
    </row>
    <row r="1779" spans="4:7" customFormat="1" x14ac:dyDescent="0.35">
      <c r="D1779" s="51">
        <v>44048</v>
      </c>
      <c r="E1779" s="57">
        <v>1.0309280000000001</v>
      </c>
      <c r="F1779" s="57">
        <v>1.4125855420747022</v>
      </c>
      <c r="G1779" s="2">
        <v>48.110360736232174</v>
      </c>
    </row>
    <row r="1780" spans="4:7" customFormat="1" x14ac:dyDescent="0.35">
      <c r="D1780" s="51">
        <v>44047</v>
      </c>
      <c r="E1780" s="57">
        <v>1.012181</v>
      </c>
      <c r="F1780" s="57">
        <v>1.4297922465627142</v>
      </c>
      <c r="G1780" s="2">
        <v>47.531380984460462</v>
      </c>
    </row>
    <row r="1781" spans="4:7" customFormat="1" x14ac:dyDescent="0.35">
      <c r="D1781" s="51">
        <v>44046</v>
      </c>
      <c r="E1781" s="57">
        <v>1.053177</v>
      </c>
      <c r="F1781" s="57">
        <v>1.5058243088581797</v>
      </c>
      <c r="G1781" s="2">
        <v>45.131427086292668</v>
      </c>
    </row>
    <row r="1782" spans="4:7" customFormat="1" x14ac:dyDescent="0.35">
      <c r="D1782" s="51">
        <v>44045</v>
      </c>
      <c r="E1782" s="57">
        <v>1</v>
      </c>
      <c r="F1782" s="57">
        <v>1.5058243088581797</v>
      </c>
      <c r="G1782" s="2">
        <v>45.131427086292668</v>
      </c>
    </row>
    <row r="1783" spans="4:7" customFormat="1" x14ac:dyDescent="0.35">
      <c r="D1783" s="51">
        <v>44044</v>
      </c>
      <c r="E1783" s="57">
        <v>1</v>
      </c>
      <c r="F1783" s="57">
        <v>1.5058243088581797</v>
      </c>
      <c r="G1783" s="2">
        <v>45.131427086292668</v>
      </c>
    </row>
    <row r="1784" spans="4:7" customFormat="1" x14ac:dyDescent="0.35">
      <c r="D1784" s="51">
        <v>44043</v>
      </c>
      <c r="E1784" s="57">
        <v>1.0488740000000001</v>
      </c>
      <c r="F1784" s="57">
        <v>1.5794199661293145</v>
      </c>
      <c r="G1784" s="2">
        <v>43.028454405669954</v>
      </c>
    </row>
    <row r="1785" spans="4:7" customFormat="1" x14ac:dyDescent="0.35">
      <c r="D1785" s="51">
        <v>44042</v>
      </c>
      <c r="E1785" s="57">
        <v>1.0057259999999999</v>
      </c>
      <c r="F1785" s="57">
        <v>1.5884637248553708</v>
      </c>
      <c r="G1785" s="2">
        <v>42.783476220829492</v>
      </c>
    </row>
    <row r="1786" spans="4:7" customFormat="1" x14ac:dyDescent="0.35">
      <c r="D1786" s="51">
        <v>44041</v>
      </c>
      <c r="E1786" s="57">
        <v>1.0199780000000001</v>
      </c>
      <c r="F1786" s="57">
        <v>1.6201980531505316</v>
      </c>
      <c r="G1786" s="2">
        <v>41.945489236855586</v>
      </c>
    </row>
    <row r="1787" spans="4:7" customFormat="1" x14ac:dyDescent="0.35">
      <c r="D1787" s="51">
        <v>44040</v>
      </c>
      <c r="E1787" s="57">
        <v>0.97061299999999995</v>
      </c>
      <c r="F1787" s="57">
        <v>1.5725852929625967</v>
      </c>
      <c r="G1787" s="2">
        <v>43.215462019214236</v>
      </c>
    </row>
    <row r="1788" spans="4:7" customFormat="1" x14ac:dyDescent="0.35">
      <c r="D1788" s="51">
        <v>44039</v>
      </c>
      <c r="E1788" s="57">
        <v>1.0142929999999999</v>
      </c>
      <c r="F1788" s="57">
        <v>1.5950622545549109</v>
      </c>
      <c r="G1788" s="2">
        <v>42.606487493470077</v>
      </c>
    </row>
    <row r="1789" spans="4:7" customFormat="1" x14ac:dyDescent="0.35">
      <c r="D1789" s="51">
        <v>44038</v>
      </c>
      <c r="E1789" s="57">
        <v>1</v>
      </c>
      <c r="F1789" s="57">
        <v>1.5950622545549109</v>
      </c>
      <c r="G1789" s="2">
        <v>42.606487493470077</v>
      </c>
    </row>
    <row r="1790" spans="4:7" customFormat="1" x14ac:dyDescent="0.35">
      <c r="D1790" s="51">
        <v>44037</v>
      </c>
      <c r="E1790" s="57">
        <v>1</v>
      </c>
      <c r="F1790" s="57">
        <v>1.5950622545549109</v>
      </c>
      <c r="G1790" s="2">
        <v>42.606487493470077</v>
      </c>
    </row>
    <row r="1791" spans="4:7" customFormat="1" x14ac:dyDescent="0.35">
      <c r="D1791" s="51">
        <v>44036</v>
      </c>
      <c r="E1791" s="57">
        <v>1.003959</v>
      </c>
      <c r="F1791" s="57">
        <v>1.6013771060206938</v>
      </c>
      <c r="G1791" s="2">
        <v>42.438473576580392</v>
      </c>
    </row>
    <row r="1792" spans="4:7" customFormat="1" x14ac:dyDescent="0.35">
      <c r="D1792" s="51">
        <v>44035</v>
      </c>
      <c r="E1792" s="57">
        <v>0.95729900000000001</v>
      </c>
      <c r="F1792" s="57">
        <v>1.5329967022165043</v>
      </c>
      <c r="G1792" s="2">
        <v>44.331471751856412</v>
      </c>
    </row>
    <row r="1793" spans="4:7" customFormat="1" x14ac:dyDescent="0.35">
      <c r="D1793" s="51">
        <v>44034</v>
      </c>
      <c r="E1793" s="57">
        <v>0.99828899999999998</v>
      </c>
      <c r="F1793" s="57">
        <v>1.5303737448590118</v>
      </c>
      <c r="G1793" s="2">
        <v>44.407452903774768</v>
      </c>
    </row>
    <row r="1794" spans="4:7" customFormat="1" x14ac:dyDescent="0.35">
      <c r="D1794" s="51">
        <v>44033</v>
      </c>
      <c r="E1794" s="57">
        <v>0.97034900000000002</v>
      </c>
      <c r="F1794" s="57">
        <v>1.4849966329501973</v>
      </c>
      <c r="G1794" s="2">
        <v>45.764413529333019</v>
      </c>
    </row>
    <row r="1795" spans="4:7" customFormat="1" x14ac:dyDescent="0.35">
      <c r="D1795" s="51">
        <v>44032</v>
      </c>
      <c r="E1795" s="57">
        <v>1.0568550000000001</v>
      </c>
      <c r="F1795" s="57">
        <v>1.569426116516581</v>
      </c>
      <c r="G1795" s="2">
        <v>43.302452587472281</v>
      </c>
    </row>
    <row r="1796" spans="4:7" customFormat="1" x14ac:dyDescent="0.35">
      <c r="D1796" s="51">
        <v>44031</v>
      </c>
      <c r="E1796" s="57">
        <v>1</v>
      </c>
      <c r="F1796" s="57">
        <v>1.569426116516581</v>
      </c>
      <c r="G1796" s="2">
        <v>43.302452587472281</v>
      </c>
    </row>
    <row r="1797" spans="4:7" customFormat="1" x14ac:dyDescent="0.35">
      <c r="D1797" s="51">
        <v>44030</v>
      </c>
      <c r="E1797" s="57">
        <v>1</v>
      </c>
      <c r="F1797" s="57">
        <v>1.569426116516581</v>
      </c>
      <c r="G1797" s="2">
        <v>43.302452587472281</v>
      </c>
    </row>
    <row r="1798" spans="4:7" customFormat="1" x14ac:dyDescent="0.35">
      <c r="D1798" s="51">
        <v>44029</v>
      </c>
      <c r="E1798" s="57">
        <v>1.0091349999999999</v>
      </c>
      <c r="F1798" s="57">
        <v>1.5837628240909598</v>
      </c>
      <c r="G1798" s="2">
        <v>42.910465485264396</v>
      </c>
    </row>
    <row r="1799" spans="4:7" customFormat="1" x14ac:dyDescent="0.35">
      <c r="D1799" s="51">
        <v>44028</v>
      </c>
      <c r="E1799" s="57">
        <v>0.98336299999999999</v>
      </c>
      <c r="F1799" s="57">
        <v>1.5574137619865585</v>
      </c>
      <c r="G1799" s="2">
        <v>43.636445021080107</v>
      </c>
    </row>
    <row r="1800" spans="4:7" customFormat="1" x14ac:dyDescent="0.35">
      <c r="D1800" s="51">
        <v>44027</v>
      </c>
      <c r="E1800" s="57">
        <v>1.010022</v>
      </c>
      <c r="F1800" s="57">
        <v>1.5730221627091876</v>
      </c>
      <c r="G1800" s="2">
        <v>43.203459945506246</v>
      </c>
    </row>
    <row r="1801" spans="4:7" customFormat="1" x14ac:dyDescent="0.35">
      <c r="D1801" s="51">
        <v>44026</v>
      </c>
      <c r="E1801" s="57">
        <v>1.003274</v>
      </c>
      <c r="F1801" s="57">
        <v>1.5781722372698974</v>
      </c>
      <c r="G1801" s="2">
        <v>43.062473407569861</v>
      </c>
    </row>
    <row r="1802" spans="4:7" customFormat="1" x14ac:dyDescent="0.35">
      <c r="D1802" s="51">
        <v>44025</v>
      </c>
      <c r="E1802" s="57">
        <v>0.93213999999999997</v>
      </c>
      <c r="F1802" s="57">
        <v>1.471077469248762</v>
      </c>
      <c r="G1802" s="2">
        <v>46.197431080706622</v>
      </c>
    </row>
    <row r="1803" spans="4:7" customFormat="1" x14ac:dyDescent="0.35">
      <c r="D1803" s="51">
        <v>44024</v>
      </c>
      <c r="E1803" s="57">
        <v>1</v>
      </c>
      <c r="F1803" s="57">
        <v>1.471077469248762</v>
      </c>
      <c r="G1803" s="2">
        <v>46.197431080706622</v>
      </c>
    </row>
    <row r="1804" spans="4:7" customFormat="1" x14ac:dyDescent="0.35">
      <c r="D1804" s="51">
        <v>44023</v>
      </c>
      <c r="E1804" s="57">
        <v>1</v>
      </c>
      <c r="F1804" s="57">
        <v>1.471077469248762</v>
      </c>
      <c r="G1804" s="2">
        <v>46.197431080706622</v>
      </c>
    </row>
    <row r="1805" spans="4:7" customFormat="1" x14ac:dyDescent="0.35">
      <c r="D1805" s="51">
        <v>44022</v>
      </c>
      <c r="E1805" s="57">
        <v>0.99779700000000005</v>
      </c>
      <c r="F1805" s="57">
        <v>1.467836685584007</v>
      </c>
      <c r="G1805" s="2">
        <v>46.299428722181581</v>
      </c>
    </row>
    <row r="1806" spans="4:7" customFormat="1" x14ac:dyDescent="0.35">
      <c r="D1806" s="51">
        <v>44021</v>
      </c>
      <c r="E1806" s="57">
        <v>1.0011030000000001</v>
      </c>
      <c r="F1806" s="57">
        <v>1.4694557094482064</v>
      </c>
      <c r="G1806" s="2">
        <v>46.24841671854103</v>
      </c>
    </row>
    <row r="1807" spans="4:7" customFormat="1" x14ac:dyDescent="0.35">
      <c r="D1807" s="51">
        <v>44020</v>
      </c>
      <c r="E1807" s="57">
        <v>1.0261370000000001</v>
      </c>
      <c r="F1807" s="57">
        <v>1.5078628733260542</v>
      </c>
      <c r="G1807" s="2">
        <v>45.070411376396159</v>
      </c>
    </row>
    <row r="1808" spans="4:7" customFormat="1" x14ac:dyDescent="0.35">
      <c r="D1808" s="51">
        <v>44019</v>
      </c>
      <c r="E1808" s="57">
        <v>1.008119</v>
      </c>
      <c r="F1808" s="57">
        <v>1.5201052119945884</v>
      </c>
      <c r="G1808" s="2">
        <v>44.707431738114408</v>
      </c>
    </row>
    <row r="1809" spans="4:7" customFormat="1" x14ac:dyDescent="0.35">
      <c r="D1809" s="51">
        <v>44018</v>
      </c>
      <c r="E1809" s="57">
        <v>1.009369</v>
      </c>
      <c r="F1809" s="57">
        <v>1.5343470777257655</v>
      </c>
      <c r="G1809" s="2">
        <v>44.292455720469334</v>
      </c>
    </row>
    <row r="1810" spans="4:7" customFormat="1" x14ac:dyDescent="0.35">
      <c r="D1810" s="51">
        <v>44017</v>
      </c>
      <c r="E1810" s="57">
        <v>1</v>
      </c>
      <c r="F1810" s="57">
        <v>1.5343470777257655</v>
      </c>
      <c r="G1810" s="2">
        <v>44.292455720469334</v>
      </c>
    </row>
    <row r="1811" spans="4:7" customFormat="1" x14ac:dyDescent="0.35">
      <c r="D1811" s="51">
        <v>44016</v>
      </c>
      <c r="E1811" s="57">
        <v>1</v>
      </c>
      <c r="F1811" s="57">
        <v>1.5343470777257655</v>
      </c>
      <c r="G1811" s="2">
        <v>44.292455720469334</v>
      </c>
    </row>
    <row r="1812" spans="4:7" customFormat="1" x14ac:dyDescent="0.35">
      <c r="D1812" s="51">
        <v>44015</v>
      </c>
      <c r="E1812" s="57">
        <v>1</v>
      </c>
      <c r="F1812" s="57">
        <v>1.5343470777257655</v>
      </c>
      <c r="G1812" s="2">
        <v>44.292455720469334</v>
      </c>
    </row>
    <row r="1813" spans="4:7" customFormat="1" x14ac:dyDescent="0.35">
      <c r="D1813" s="51">
        <v>44014</v>
      </c>
      <c r="E1813" s="57">
        <v>1.0321340000000001</v>
      </c>
      <c r="F1813" s="57">
        <v>1.5836517867214055</v>
      </c>
      <c r="G1813" s="2">
        <v>42.913474142378149</v>
      </c>
    </row>
    <row r="1814" spans="4:7" customFormat="1" x14ac:dyDescent="0.35">
      <c r="D1814" s="51">
        <v>44013</v>
      </c>
      <c r="E1814" s="57">
        <v>1.0556950000000001</v>
      </c>
      <c r="F1814" s="57">
        <v>1.6718532729828544</v>
      </c>
      <c r="G1814" s="2">
        <v>40.649500227222966</v>
      </c>
    </row>
    <row r="1815" spans="4:7" customFormat="1" x14ac:dyDescent="0.35">
      <c r="D1815" s="51">
        <v>44012</v>
      </c>
      <c r="E1815" s="57">
        <v>1.0008619999999999</v>
      </c>
      <c r="F1815" s="57">
        <v>1.6732944105041654</v>
      </c>
      <c r="G1815" s="2">
        <v>40.614490536380607</v>
      </c>
    </row>
    <row r="1816" spans="4:7" customFormat="1" x14ac:dyDescent="0.35">
      <c r="D1816" s="51">
        <v>44011</v>
      </c>
      <c r="E1816" s="57">
        <v>0.997838</v>
      </c>
      <c r="F1816" s="57">
        <v>1.6696767479886554</v>
      </c>
      <c r="G1816" s="2">
        <v>40.702489318286744</v>
      </c>
    </row>
    <row r="1817" spans="4:7" customFormat="1" x14ac:dyDescent="0.35">
      <c r="D1817" s="51">
        <v>44010</v>
      </c>
      <c r="E1817" s="57">
        <v>1</v>
      </c>
      <c r="F1817" s="57">
        <v>1.6696767479886554</v>
      </c>
      <c r="G1817" s="2">
        <v>40.702489318286744</v>
      </c>
    </row>
    <row r="1818" spans="4:7" customFormat="1" x14ac:dyDescent="0.35">
      <c r="D1818" s="51">
        <v>44009</v>
      </c>
      <c r="E1818" s="57">
        <v>1</v>
      </c>
      <c r="F1818" s="57">
        <v>1.6696767479886554</v>
      </c>
      <c r="G1818" s="2">
        <v>40.702489318286744</v>
      </c>
    </row>
    <row r="1819" spans="4:7" customFormat="1" x14ac:dyDescent="0.35">
      <c r="D1819" s="51">
        <v>44008</v>
      </c>
      <c r="E1819" s="57">
        <v>0.99345899999999998</v>
      </c>
      <c r="F1819" s="57">
        <v>1.6587553923800615</v>
      </c>
      <c r="G1819" s="2">
        <v>40.970477209715497</v>
      </c>
    </row>
    <row r="1820" spans="4:7" customFormat="1" x14ac:dyDescent="0.35">
      <c r="D1820" s="51">
        <v>44007</v>
      </c>
      <c r="E1820" s="57">
        <v>1.033655</v>
      </c>
      <c r="F1820" s="57">
        <v>1.7145808051106124</v>
      </c>
      <c r="G1820" s="2">
        <v>39.636510450503792</v>
      </c>
    </row>
    <row r="1821" spans="4:7" customFormat="1" x14ac:dyDescent="0.35">
      <c r="D1821" s="51">
        <v>44006</v>
      </c>
      <c r="E1821" s="57">
        <v>0.96668500000000002</v>
      </c>
      <c r="F1821" s="57">
        <v>1.6574595455883523</v>
      </c>
      <c r="G1821" s="2">
        <v>41.002509039142836</v>
      </c>
    </row>
    <row r="1822" spans="4:7" customFormat="1" x14ac:dyDescent="0.35">
      <c r="D1822" s="51">
        <v>44005</v>
      </c>
      <c r="E1822" s="57">
        <v>1.017949</v>
      </c>
      <c r="F1822" s="57">
        <v>1.6872092869721176</v>
      </c>
      <c r="G1822" s="2">
        <v>40.279531724224725</v>
      </c>
    </row>
    <row r="1823" spans="4:7" customFormat="1" x14ac:dyDescent="0.35">
      <c r="D1823" s="51">
        <v>44004</v>
      </c>
      <c r="E1823" s="57">
        <v>1.0203150000000001</v>
      </c>
      <c r="F1823" s="57">
        <v>1.7214849436369564</v>
      </c>
      <c r="G1823" s="2">
        <v>39.477545389634301</v>
      </c>
    </row>
    <row r="1824" spans="4:7" customFormat="1" x14ac:dyDescent="0.35">
      <c r="D1824" s="51">
        <v>44003</v>
      </c>
      <c r="E1824" s="57">
        <v>1</v>
      </c>
      <c r="F1824" s="57">
        <v>1.7214849436369564</v>
      </c>
      <c r="G1824" s="2">
        <v>39.477545389634301</v>
      </c>
    </row>
    <row r="1825" spans="4:7" customFormat="1" x14ac:dyDescent="0.35">
      <c r="D1825" s="51">
        <v>44002</v>
      </c>
      <c r="E1825" s="57">
        <v>1</v>
      </c>
      <c r="F1825" s="57">
        <v>1.7214849436369564</v>
      </c>
      <c r="G1825" s="2">
        <v>39.477545389634301</v>
      </c>
    </row>
    <row r="1826" spans="4:7" customFormat="1" x14ac:dyDescent="0.35">
      <c r="D1826" s="51">
        <v>44001</v>
      </c>
      <c r="E1826" s="57">
        <v>1.0009889999999999</v>
      </c>
      <c r="F1826" s="57">
        <v>1.7231874922462131</v>
      </c>
      <c r="G1826" s="2">
        <v>39.4385406729088</v>
      </c>
    </row>
    <row r="1827" spans="4:7" customFormat="1" x14ac:dyDescent="0.35">
      <c r="D1827" s="51">
        <v>44000</v>
      </c>
      <c r="E1827" s="57">
        <v>1.031247</v>
      </c>
      <c r="F1827" s="57">
        <v>1.7770319318164307</v>
      </c>
      <c r="G1827" s="2">
        <v>38.243544633738374</v>
      </c>
    </row>
    <row r="1828" spans="4:7" customFormat="1" x14ac:dyDescent="0.35">
      <c r="D1828" s="51">
        <v>43999</v>
      </c>
      <c r="E1828" s="57">
        <v>1.027982</v>
      </c>
      <c r="F1828" s="57">
        <v>1.826756839332518</v>
      </c>
      <c r="G1828" s="2">
        <v>37.202543073456901</v>
      </c>
    </row>
    <row r="1829" spans="4:7" customFormat="1" x14ac:dyDescent="0.35">
      <c r="D1829" s="51">
        <v>43998</v>
      </c>
      <c r="E1829" s="57">
        <v>1.0038590000000001</v>
      </c>
      <c r="F1829" s="57">
        <v>1.8338062939755022</v>
      </c>
      <c r="G1829" s="2">
        <v>37.059530345852259</v>
      </c>
    </row>
    <row r="1830" spans="4:7" customFormat="1" x14ac:dyDescent="0.35">
      <c r="D1830" s="51">
        <v>43997</v>
      </c>
      <c r="E1830" s="57">
        <v>1.0453870000000001</v>
      </c>
      <c r="F1830" s="57">
        <v>1.9170372602401684</v>
      </c>
      <c r="G1830" s="2">
        <v>35.45053683071653</v>
      </c>
    </row>
    <row r="1831" spans="4:7" customFormat="1" x14ac:dyDescent="0.35">
      <c r="D1831" s="51">
        <v>43996</v>
      </c>
      <c r="E1831" s="57">
        <v>1</v>
      </c>
      <c r="F1831" s="57">
        <v>1.9170372602401684</v>
      </c>
      <c r="G1831" s="2">
        <v>35.45053683071653</v>
      </c>
    </row>
    <row r="1832" spans="4:7" customFormat="1" x14ac:dyDescent="0.35">
      <c r="D1832" s="51">
        <v>43995</v>
      </c>
      <c r="E1832" s="57">
        <v>1</v>
      </c>
      <c r="F1832" s="57">
        <v>1.9170372602401684</v>
      </c>
      <c r="G1832" s="2">
        <v>35.45053683071653</v>
      </c>
    </row>
    <row r="1833" spans="4:7" customFormat="1" x14ac:dyDescent="0.35">
      <c r="D1833" s="51">
        <v>43994</v>
      </c>
      <c r="E1833" s="57">
        <v>1.0200549999999999</v>
      </c>
      <c r="F1833" s="57">
        <v>1.9554834424942849</v>
      </c>
      <c r="G1833" s="2">
        <v>34.753554299245167</v>
      </c>
    </row>
    <row r="1834" spans="4:7" customFormat="1" x14ac:dyDescent="0.35">
      <c r="D1834" s="51">
        <v>43993</v>
      </c>
      <c r="E1834" s="57">
        <v>0.94306999999999996</v>
      </c>
      <c r="F1834" s="57">
        <v>1.8441577701130851</v>
      </c>
      <c r="G1834" s="2">
        <v>36.851510809637851</v>
      </c>
    </row>
    <row r="1835" spans="4:7" customFormat="1" x14ac:dyDescent="0.35">
      <c r="D1835" s="51">
        <v>43992</v>
      </c>
      <c r="E1835" s="57">
        <v>1.0152620000000001</v>
      </c>
      <c r="F1835" s="57">
        <v>1.8723033060005512</v>
      </c>
      <c r="G1835" s="2">
        <v>36.297537787918635</v>
      </c>
    </row>
    <row r="1836" spans="4:7" customFormat="1" x14ac:dyDescent="0.35">
      <c r="D1836" s="51">
        <v>43991</v>
      </c>
      <c r="E1836" s="57">
        <v>1.0130330000000001</v>
      </c>
      <c r="F1836" s="57">
        <v>1.8967050349876564</v>
      </c>
      <c r="G1836" s="2">
        <v>35.830558123889979</v>
      </c>
    </row>
    <row r="1837" spans="4:7" customFormat="1" x14ac:dyDescent="0.35">
      <c r="D1837" s="51">
        <v>43990</v>
      </c>
      <c r="E1837" s="57">
        <v>1.011347</v>
      </c>
      <c r="F1837" s="57">
        <v>1.9182269470196613</v>
      </c>
      <c r="G1837" s="2">
        <v>35.428550362921904</v>
      </c>
    </row>
    <row r="1838" spans="4:7" customFormat="1" x14ac:dyDescent="0.35">
      <c r="D1838" s="51">
        <v>43989</v>
      </c>
      <c r="E1838" s="57">
        <v>1</v>
      </c>
      <c r="F1838" s="57">
        <v>1.9182269470196613</v>
      </c>
      <c r="G1838" s="2">
        <v>35.428550362921904</v>
      </c>
    </row>
    <row r="1839" spans="4:7" customFormat="1" x14ac:dyDescent="0.35">
      <c r="D1839" s="51">
        <v>43988</v>
      </c>
      <c r="E1839" s="57">
        <v>1</v>
      </c>
      <c r="F1839" s="57">
        <v>1.9182269470196613</v>
      </c>
      <c r="G1839" s="2">
        <v>35.428550362921904</v>
      </c>
    </row>
    <row r="1840" spans="4:7" customFormat="1" x14ac:dyDescent="0.35">
      <c r="D1840" s="51">
        <v>43987</v>
      </c>
      <c r="E1840" s="57">
        <v>1.0505580000000001</v>
      </c>
      <c r="F1840" s="57">
        <v>2.0152086650070817</v>
      </c>
      <c r="G1840" s="2">
        <v>33.723554875525096</v>
      </c>
    </row>
    <row r="1841" spans="4:7" customFormat="1" x14ac:dyDescent="0.35">
      <c r="D1841" s="51">
        <v>43986</v>
      </c>
      <c r="E1841" s="57">
        <v>0.95002500000000001</v>
      </c>
      <c r="F1841" s="57">
        <v>1.9144986119733529</v>
      </c>
      <c r="G1841" s="2">
        <v>35.497544670429825</v>
      </c>
    </row>
    <row r="1842" spans="4:7" customFormat="1" x14ac:dyDescent="0.35">
      <c r="D1842" s="51">
        <v>43985</v>
      </c>
      <c r="E1842" s="57">
        <v>1.1153770000000001</v>
      </c>
      <c r="F1842" s="57">
        <v>2.1353877183270025</v>
      </c>
      <c r="G1842" s="2">
        <v>31.825602168979479</v>
      </c>
    </row>
    <row r="1843" spans="4:7" customFormat="1" x14ac:dyDescent="0.35">
      <c r="D1843" s="51">
        <v>43984</v>
      </c>
      <c r="E1843" s="57">
        <v>1.02562</v>
      </c>
      <c r="F1843" s="57">
        <v>2.1900963516705403</v>
      </c>
      <c r="G1843" s="2">
        <v>31.030598242018954</v>
      </c>
    </row>
    <row r="1844" spans="4:7" customFormat="1" x14ac:dyDescent="0.35">
      <c r="D1844" s="51">
        <v>43983</v>
      </c>
      <c r="E1844" s="57">
        <v>0.99598799999999998</v>
      </c>
      <c r="F1844" s="57">
        <v>2.1813096851076379</v>
      </c>
      <c r="G1844" s="2">
        <v>31.155594487101208</v>
      </c>
    </row>
    <row r="1845" spans="4:7" customFormat="1" x14ac:dyDescent="0.35">
      <c r="D1845" s="51">
        <v>43982</v>
      </c>
      <c r="E1845" s="57">
        <v>1</v>
      </c>
      <c r="F1845" s="57">
        <v>2.1813096851076379</v>
      </c>
      <c r="G1845" s="2">
        <v>31.155594487101208</v>
      </c>
    </row>
    <row r="1846" spans="4:7" customFormat="1" x14ac:dyDescent="0.35">
      <c r="D1846" s="51">
        <v>43981</v>
      </c>
      <c r="E1846" s="57">
        <v>1</v>
      </c>
      <c r="F1846" s="57">
        <v>2.1813096851076379</v>
      </c>
      <c r="G1846" s="2">
        <v>31.155594487101208</v>
      </c>
    </row>
    <row r="1847" spans="4:7" customFormat="1" x14ac:dyDescent="0.35">
      <c r="D1847" s="51">
        <v>43980</v>
      </c>
      <c r="E1847" s="57">
        <v>1.044907</v>
      </c>
      <c r="F1847" s="57">
        <v>2.2792657591367669</v>
      </c>
      <c r="G1847" s="2">
        <v>29.81661955284174</v>
      </c>
    </row>
    <row r="1848" spans="4:7" customFormat="1" x14ac:dyDescent="0.35">
      <c r="D1848" s="51">
        <v>43979</v>
      </c>
      <c r="E1848" s="57">
        <v>1.0133909999999999</v>
      </c>
      <c r="F1848" s="57">
        <v>2.3097874069173669</v>
      </c>
      <c r="G1848" s="2">
        <v>29.422621231925035</v>
      </c>
    </row>
    <row r="1849" spans="4:7" customFormat="1" x14ac:dyDescent="0.35">
      <c r="D1849" s="51">
        <v>43978</v>
      </c>
      <c r="E1849" s="57">
        <v>0.98309299999999999</v>
      </c>
      <c r="F1849" s="57">
        <v>2.270735831228615</v>
      </c>
      <c r="G1849" s="2">
        <v>29.928624486111726</v>
      </c>
    </row>
    <row r="1850" spans="4:7" customFormat="1" x14ac:dyDescent="0.35">
      <c r="D1850" s="51">
        <v>43977</v>
      </c>
      <c r="E1850" s="57">
        <v>0.97298399999999996</v>
      </c>
      <c r="F1850" s="57">
        <v>2.2093896320121424</v>
      </c>
      <c r="G1850" s="2">
        <v>30.759626557180521</v>
      </c>
    </row>
    <row r="1851" spans="4:7" customFormat="1" x14ac:dyDescent="0.35">
      <c r="D1851" s="51">
        <v>43976</v>
      </c>
      <c r="E1851" s="57">
        <v>1</v>
      </c>
      <c r="F1851" s="57">
        <v>2.2093896320121424</v>
      </c>
      <c r="G1851" s="2">
        <v>30.759626557180521</v>
      </c>
    </row>
    <row r="1852" spans="4:7" customFormat="1" x14ac:dyDescent="0.35">
      <c r="D1852" s="51">
        <v>43975</v>
      </c>
      <c r="E1852" s="57">
        <v>1</v>
      </c>
      <c r="F1852" s="57">
        <v>2.2093896320121424</v>
      </c>
      <c r="G1852" s="2">
        <v>30.759626557180521</v>
      </c>
    </row>
    <row r="1853" spans="4:7" customFormat="1" x14ac:dyDescent="0.35">
      <c r="D1853" s="51">
        <v>43974</v>
      </c>
      <c r="E1853" s="57">
        <v>1</v>
      </c>
      <c r="F1853" s="57">
        <v>2.2093896320121424</v>
      </c>
      <c r="G1853" s="2">
        <v>30.759626557180521</v>
      </c>
    </row>
    <row r="1854" spans="4:7" customFormat="1" x14ac:dyDescent="0.35">
      <c r="D1854" s="51">
        <v>43973</v>
      </c>
      <c r="E1854" s="57">
        <v>1.010446</v>
      </c>
      <c r="F1854" s="57">
        <v>2.2324689161081412</v>
      </c>
      <c r="G1854" s="2">
        <v>30.441633256186396</v>
      </c>
    </row>
    <row r="1855" spans="4:7" customFormat="1" x14ac:dyDescent="0.35">
      <c r="D1855" s="51">
        <v>43972</v>
      </c>
      <c r="E1855" s="57">
        <v>1.024621</v>
      </c>
      <c r="F1855" s="57">
        <v>2.2874345332916399</v>
      </c>
      <c r="G1855" s="2">
        <v>29.710139901667443</v>
      </c>
    </row>
    <row r="1856" spans="4:7" customFormat="1" x14ac:dyDescent="0.35">
      <c r="D1856" s="51">
        <v>43971</v>
      </c>
      <c r="E1856" s="57">
        <v>1.0102180000000001</v>
      </c>
      <c r="F1856" s="57">
        <v>2.310807539352814</v>
      </c>
      <c r="G1856" s="2">
        <v>29.409632279040206</v>
      </c>
    </row>
    <row r="1857" spans="4:7" customFormat="1" x14ac:dyDescent="0.35">
      <c r="D1857" s="51">
        <v>43970</v>
      </c>
      <c r="E1857" s="57">
        <v>0.99113700000000005</v>
      </c>
      <c r="F1857" s="57">
        <v>2.2903268521315301</v>
      </c>
      <c r="G1857" s="2">
        <v>29.672620716450105</v>
      </c>
    </row>
    <row r="1858" spans="4:7" customFormat="1" x14ac:dyDescent="0.35">
      <c r="D1858" s="51">
        <v>43969</v>
      </c>
      <c r="E1858" s="57">
        <v>0.98906700000000003</v>
      </c>
      <c r="F1858" s="57">
        <v>2.2652867086571762</v>
      </c>
      <c r="G1858" s="2">
        <v>30.000617467219211</v>
      </c>
    </row>
    <row r="1859" spans="4:7" customFormat="1" x14ac:dyDescent="0.35">
      <c r="D1859" s="51">
        <v>43968</v>
      </c>
      <c r="E1859" s="57">
        <v>1</v>
      </c>
      <c r="F1859" s="57">
        <v>2.2652867086571762</v>
      </c>
      <c r="G1859" s="2">
        <v>30.000617467219211</v>
      </c>
    </row>
    <row r="1860" spans="4:7" customFormat="1" x14ac:dyDescent="0.35">
      <c r="D1860" s="51">
        <v>43967</v>
      </c>
      <c r="E1860" s="57">
        <v>1</v>
      </c>
      <c r="F1860" s="57">
        <v>2.2652867086571762</v>
      </c>
      <c r="G1860" s="2">
        <v>30.000617467219211</v>
      </c>
    </row>
    <row r="1861" spans="4:7" customFormat="1" x14ac:dyDescent="0.35">
      <c r="D1861" s="51">
        <v>43966</v>
      </c>
      <c r="E1861" s="57">
        <v>1.009115</v>
      </c>
      <c r="F1861" s="57">
        <v>2.2859347970065862</v>
      </c>
      <c r="G1861" s="2">
        <v>29.729631872699557</v>
      </c>
    </row>
    <row r="1862" spans="4:7" customFormat="1" x14ac:dyDescent="0.35">
      <c r="D1862" s="51">
        <v>43965</v>
      </c>
      <c r="E1862" s="57">
        <v>1.0168969999999999</v>
      </c>
      <c r="F1862" s="57">
        <v>2.3245602372716063</v>
      </c>
      <c r="G1862" s="2">
        <v>29.235637309087899</v>
      </c>
    </row>
    <row r="1863" spans="4:7" customFormat="1" x14ac:dyDescent="0.35">
      <c r="D1863" s="51">
        <v>43964</v>
      </c>
      <c r="E1863" s="57">
        <v>0.94115400000000005</v>
      </c>
      <c r="F1863" s="57">
        <v>2.1877691655491214</v>
      </c>
      <c r="G1863" s="2">
        <v>31.063606284505937</v>
      </c>
    </row>
    <row r="1864" spans="4:7" customFormat="1" x14ac:dyDescent="0.35">
      <c r="D1864" s="51">
        <v>43963</v>
      </c>
      <c r="E1864" s="57">
        <v>1.0173909999999999</v>
      </c>
      <c r="F1864" s="57">
        <v>2.2258166591071862</v>
      </c>
      <c r="G1864" s="2">
        <v>30.532613601364602</v>
      </c>
    </row>
    <row r="1865" spans="4:7" customFormat="1" x14ac:dyDescent="0.35">
      <c r="D1865" s="51">
        <v>43962</v>
      </c>
      <c r="E1865" s="57">
        <v>0.96776499999999999</v>
      </c>
      <c r="F1865" s="57">
        <v>2.1540674591008662</v>
      </c>
      <c r="G1865" s="2">
        <v>31.549615455575065</v>
      </c>
    </row>
    <row r="1866" spans="4:7" customFormat="1" x14ac:dyDescent="0.35">
      <c r="D1866" s="51">
        <v>43961</v>
      </c>
      <c r="E1866" s="57">
        <v>1</v>
      </c>
      <c r="F1866" s="57">
        <v>2.1540674591008662</v>
      </c>
      <c r="G1866" s="2">
        <v>31.549615455575065</v>
      </c>
    </row>
    <row r="1867" spans="4:7" customFormat="1" x14ac:dyDescent="0.35">
      <c r="D1867" s="51">
        <v>43960</v>
      </c>
      <c r="E1867" s="57">
        <v>1</v>
      </c>
      <c r="F1867" s="57">
        <v>2.1540674591008662</v>
      </c>
      <c r="G1867" s="2">
        <v>31.549615455575065</v>
      </c>
    </row>
    <row r="1868" spans="4:7" customFormat="1" x14ac:dyDescent="0.35">
      <c r="D1868" s="51">
        <v>43959</v>
      </c>
      <c r="E1868" s="57">
        <v>0.97829500000000003</v>
      </c>
      <c r="F1868" s="57">
        <v>2.1073134249010819</v>
      </c>
      <c r="G1868" s="2">
        <v>32.249592868792199</v>
      </c>
    </row>
    <row r="1869" spans="4:7" customFormat="1" x14ac:dyDescent="0.35">
      <c r="D1869" s="51">
        <v>43958</v>
      </c>
      <c r="E1869" s="57">
        <v>1.032859</v>
      </c>
      <c r="F1869" s="57">
        <v>2.1765576367299064</v>
      </c>
      <c r="G1869" s="2">
        <v>31.223616068400624</v>
      </c>
    </row>
    <row r="1870" spans="4:7" customFormat="1" x14ac:dyDescent="0.35">
      <c r="D1870" s="51">
        <v>43957</v>
      </c>
      <c r="E1870" s="57">
        <v>1.0283230000000001</v>
      </c>
      <c r="F1870" s="57">
        <v>2.2382042786750076</v>
      </c>
      <c r="G1870" s="2">
        <v>30.363627059202823</v>
      </c>
    </row>
    <row r="1871" spans="4:7" customFormat="1" x14ac:dyDescent="0.35">
      <c r="D1871" s="51">
        <v>43956</v>
      </c>
      <c r="E1871" s="57">
        <v>1.0451600000000001</v>
      </c>
      <c r="F1871" s="57">
        <v>2.3392815838999712</v>
      </c>
      <c r="G1871" s="2">
        <v>29.051654348810533</v>
      </c>
    </row>
    <row r="1872" spans="4:7" customFormat="1" x14ac:dyDescent="0.35">
      <c r="D1872" s="51">
        <v>43955</v>
      </c>
      <c r="E1872" s="57">
        <v>1.0416639999999999</v>
      </c>
      <c r="F1872" s="57">
        <v>2.4367454118115792</v>
      </c>
      <c r="G1872" s="2">
        <v>27.889659572386623</v>
      </c>
    </row>
    <row r="1873" spans="4:7" customFormat="1" x14ac:dyDescent="0.35">
      <c r="D1873" s="51">
        <v>43954</v>
      </c>
      <c r="E1873" s="57">
        <v>1</v>
      </c>
      <c r="F1873" s="57">
        <v>2.4367454118115792</v>
      </c>
      <c r="G1873" s="2">
        <v>27.889659572386623</v>
      </c>
    </row>
    <row r="1874" spans="4:7" customFormat="1" x14ac:dyDescent="0.35">
      <c r="D1874" s="51">
        <v>43953</v>
      </c>
      <c r="E1874" s="57">
        <v>1</v>
      </c>
      <c r="F1874" s="57">
        <v>2.4367454118115792</v>
      </c>
      <c r="G1874" s="2">
        <v>27.889659572386623</v>
      </c>
    </row>
    <row r="1875" spans="4:7" customFormat="1" x14ac:dyDescent="0.35">
      <c r="D1875" s="51">
        <v>43952</v>
      </c>
      <c r="E1875" s="57">
        <v>0.95324399999999998</v>
      </c>
      <c r="F1875" s="57">
        <v>2.3228129433369169</v>
      </c>
      <c r="G1875" s="2">
        <v>29.257629287345761</v>
      </c>
    </row>
    <row r="1876" spans="4:7" customFormat="1" x14ac:dyDescent="0.35">
      <c r="D1876" s="51">
        <v>43951</v>
      </c>
      <c r="E1876" s="57">
        <v>0.99452700000000005</v>
      </c>
      <c r="F1876" s="57">
        <v>2.3101001880980339</v>
      </c>
      <c r="G1876" s="2">
        <v>29.41863749033034</v>
      </c>
    </row>
    <row r="1877" spans="4:7" customFormat="1" x14ac:dyDescent="0.35">
      <c r="D1877" s="51">
        <v>43950</v>
      </c>
      <c r="E1877" s="57">
        <v>1.1405369999999999</v>
      </c>
      <c r="F1877" s="57">
        <v>2.634754738232767</v>
      </c>
      <c r="G1877" s="2">
        <v>25.793672182779115</v>
      </c>
    </row>
    <row r="1878" spans="4:7" customFormat="1" x14ac:dyDescent="0.35">
      <c r="D1878" s="51">
        <v>43949</v>
      </c>
      <c r="E1878" s="57">
        <v>0.98012699999999997</v>
      </c>
      <c r="F1878" s="57">
        <v>2.582394257319867</v>
      </c>
      <c r="G1878" s="2">
        <v>26.316663231172203</v>
      </c>
    </row>
    <row r="1879" spans="4:7" customFormat="1" x14ac:dyDescent="0.35">
      <c r="D1879" s="51">
        <v>43948</v>
      </c>
      <c r="E1879" s="57">
        <v>1.0254840000000001</v>
      </c>
      <c r="F1879" s="57">
        <v>2.6482039925734067</v>
      </c>
      <c r="G1879" s="2">
        <v>25.662675606028181</v>
      </c>
    </row>
    <row r="1880" spans="4:7" customFormat="1" x14ac:dyDescent="0.35">
      <c r="D1880" s="51">
        <v>43947</v>
      </c>
      <c r="E1880" s="57">
        <v>1</v>
      </c>
      <c r="F1880" s="57">
        <v>2.6482039925734067</v>
      </c>
      <c r="G1880" s="2">
        <v>25.662675606028181</v>
      </c>
    </row>
    <row r="1881" spans="4:7" customFormat="1" x14ac:dyDescent="0.35">
      <c r="D1881" s="51">
        <v>43946</v>
      </c>
      <c r="E1881" s="57">
        <v>1</v>
      </c>
      <c r="F1881" s="57">
        <v>2.6482039925734067</v>
      </c>
      <c r="G1881" s="2">
        <v>25.662675606028181</v>
      </c>
    </row>
    <row r="1882" spans="4:7" customFormat="1" x14ac:dyDescent="0.35">
      <c r="D1882" s="51">
        <v>43945</v>
      </c>
      <c r="E1882" s="57">
        <v>1.0104740000000001</v>
      </c>
      <c r="F1882" s="57">
        <v>2.6759412811916206</v>
      </c>
      <c r="G1882" s="2">
        <v>25.396670875280492</v>
      </c>
    </row>
    <row r="1883" spans="4:7" customFormat="1" x14ac:dyDescent="0.35">
      <c r="D1883" s="51">
        <v>43944</v>
      </c>
      <c r="E1883" s="57">
        <v>1.0400510000000001</v>
      </c>
      <c r="F1883" s="57">
        <v>2.7831154054446263</v>
      </c>
      <c r="G1883" s="2">
        <v>24.418678387194944</v>
      </c>
    </row>
    <row r="1884" spans="4:7" customFormat="1" x14ac:dyDescent="0.35">
      <c r="D1884" s="51">
        <v>43943</v>
      </c>
      <c r="E1884" s="57">
        <v>1.1297250000000001</v>
      </c>
      <c r="F1884" s="57">
        <v>3.1441550514159307</v>
      </c>
      <c r="G1884" s="2">
        <v>21.614710117236445</v>
      </c>
    </row>
    <row r="1885" spans="4:7" customFormat="1" x14ac:dyDescent="0.35">
      <c r="D1885" s="51">
        <v>43942</v>
      </c>
      <c r="E1885" s="57">
        <v>0.92768200000000001</v>
      </c>
      <c r="F1885" s="57">
        <v>2.9167760464076333</v>
      </c>
      <c r="G1885" s="2">
        <v>23.299697652036414</v>
      </c>
    </row>
    <row r="1886" spans="4:7" customFormat="1" x14ac:dyDescent="0.35">
      <c r="D1886" s="51">
        <v>43941</v>
      </c>
      <c r="E1886" s="57">
        <v>1.019604</v>
      </c>
      <c r="F1886" s="57">
        <v>2.9739565240214083</v>
      </c>
      <c r="G1886" s="2">
        <v>22.851712676721959</v>
      </c>
    </row>
    <row r="1887" spans="4:7" customFormat="1" x14ac:dyDescent="0.35">
      <c r="D1887" s="51">
        <v>43940</v>
      </c>
      <c r="E1887" s="57">
        <v>1</v>
      </c>
      <c r="F1887" s="57">
        <v>2.9739565240214083</v>
      </c>
      <c r="G1887" s="2">
        <v>22.851712676721959</v>
      </c>
    </row>
    <row r="1888" spans="4:7" customFormat="1" x14ac:dyDescent="0.35">
      <c r="D1888" s="51">
        <v>43939</v>
      </c>
      <c r="E1888" s="57">
        <v>1</v>
      </c>
      <c r="F1888" s="57">
        <v>2.9739565240214083</v>
      </c>
      <c r="G1888" s="2">
        <v>22.851712676721959</v>
      </c>
    </row>
    <row r="1889" spans="4:7" customFormat="1" x14ac:dyDescent="0.35">
      <c r="D1889" s="51">
        <v>43938</v>
      </c>
      <c r="E1889" s="57">
        <v>1.0352920000000001</v>
      </c>
      <c r="F1889" s="57">
        <v>3.0789133976671721</v>
      </c>
      <c r="G1889" s="2">
        <v>22.07272216603814</v>
      </c>
    </row>
    <row r="1890" spans="4:7" customFormat="1" x14ac:dyDescent="0.35">
      <c r="D1890" s="51">
        <v>43937</v>
      </c>
      <c r="E1890" s="57">
        <v>0.97426699999999999</v>
      </c>
      <c r="F1890" s="57">
        <v>2.9996837192050028</v>
      </c>
      <c r="G1890" s="2">
        <v>22.655721856573344</v>
      </c>
    </row>
    <row r="1891" spans="4:7" customFormat="1" x14ac:dyDescent="0.35">
      <c r="D1891" s="51">
        <v>43936</v>
      </c>
      <c r="E1891" s="57">
        <v>0.97065199999999996</v>
      </c>
      <c r="F1891" s="57">
        <v>2.9116490014137741</v>
      </c>
      <c r="G1891" s="2">
        <v>23.340725467596361</v>
      </c>
    </row>
    <row r="1892" spans="4:7" customFormat="1" x14ac:dyDescent="0.35">
      <c r="D1892" s="51">
        <v>43935</v>
      </c>
      <c r="E1892" s="57">
        <v>1.067652</v>
      </c>
      <c r="F1892" s="57">
        <v>3.1086278796574187</v>
      </c>
      <c r="G1892" s="2">
        <v>21.861735347844018</v>
      </c>
    </row>
    <row r="1893" spans="4:7" customFormat="1" x14ac:dyDescent="0.35">
      <c r="D1893" s="51">
        <v>43934</v>
      </c>
      <c r="E1893" s="57">
        <v>1.0227360000000001</v>
      </c>
      <c r="F1893" s="57">
        <v>3.1793056431293101</v>
      </c>
      <c r="G1893" s="2">
        <v>21.375736600495159</v>
      </c>
    </row>
    <row r="1894" spans="4:7" customFormat="1" x14ac:dyDescent="0.35">
      <c r="D1894" s="51">
        <v>43933</v>
      </c>
      <c r="E1894" s="57">
        <v>1</v>
      </c>
      <c r="F1894" s="57">
        <v>3.1793056431293101</v>
      </c>
      <c r="G1894" s="2">
        <v>21.375736600495159</v>
      </c>
    </row>
    <row r="1895" spans="4:7" customFormat="1" x14ac:dyDescent="0.35">
      <c r="D1895" s="51">
        <v>43932</v>
      </c>
      <c r="E1895" s="57">
        <v>1</v>
      </c>
      <c r="F1895" s="57">
        <v>3.1793056431293101</v>
      </c>
      <c r="G1895" s="2">
        <v>21.375736600495159</v>
      </c>
    </row>
    <row r="1896" spans="4:7" customFormat="1" x14ac:dyDescent="0.35">
      <c r="D1896" s="51">
        <v>43931</v>
      </c>
      <c r="E1896" s="57">
        <v>1</v>
      </c>
      <c r="F1896" s="57">
        <v>3.1793056431293101</v>
      </c>
      <c r="G1896" s="2">
        <v>21.375736600495159</v>
      </c>
    </row>
    <row r="1897" spans="4:7" customFormat="1" x14ac:dyDescent="0.35">
      <c r="D1897" s="51">
        <v>43930</v>
      </c>
      <c r="E1897" s="57">
        <v>1.0309140000000001</v>
      </c>
      <c r="F1897" s="57">
        <v>3.2775906977810099</v>
      </c>
      <c r="G1897" s="2">
        <v>20.734742762728178</v>
      </c>
    </row>
    <row r="1898" spans="4:7" customFormat="1" x14ac:dyDescent="0.35">
      <c r="D1898" s="51">
        <v>43929</v>
      </c>
      <c r="E1898" s="57">
        <v>1.0836730000000001</v>
      </c>
      <c r="F1898" s="57">
        <v>3.5518365442364406</v>
      </c>
      <c r="G1898" s="2">
        <v>19.133763379477184</v>
      </c>
    </row>
    <row r="1899" spans="4:7" customFormat="1" x14ac:dyDescent="0.35">
      <c r="D1899" s="51">
        <v>43928</v>
      </c>
      <c r="E1899" s="57">
        <v>1.006788</v>
      </c>
      <c r="F1899" s="57">
        <v>3.5759464106987178</v>
      </c>
      <c r="G1899" s="2">
        <v>19.004759074876915</v>
      </c>
    </row>
    <row r="1900" spans="4:7" customFormat="1" x14ac:dyDescent="0.35">
      <c r="D1900" s="51">
        <v>43927</v>
      </c>
      <c r="E1900" s="57">
        <v>1.1849240000000001</v>
      </c>
      <c r="F1900" s="57">
        <v>4.2372247247507682</v>
      </c>
      <c r="G1900" s="2">
        <v>16.038800019981799</v>
      </c>
    </row>
    <row r="1901" spans="4:7" customFormat="1" x14ac:dyDescent="0.35">
      <c r="D1901" s="51">
        <v>43926</v>
      </c>
      <c r="E1901" s="57">
        <v>1</v>
      </c>
      <c r="F1901" s="57">
        <v>4.2372247247507682</v>
      </c>
      <c r="G1901" s="2">
        <v>16.038800019981799</v>
      </c>
    </row>
    <row r="1902" spans="4:7" customFormat="1" x14ac:dyDescent="0.35">
      <c r="D1902" s="51">
        <v>43925</v>
      </c>
      <c r="E1902" s="57">
        <v>1</v>
      </c>
      <c r="F1902" s="57">
        <v>4.2372247247507682</v>
      </c>
      <c r="G1902" s="2">
        <v>16.038800019981799</v>
      </c>
    </row>
    <row r="1903" spans="4:7" customFormat="1" x14ac:dyDescent="0.35">
      <c r="D1903" s="51">
        <v>43924</v>
      </c>
      <c r="E1903" s="57">
        <v>0.97335799999999995</v>
      </c>
      <c r="F1903" s="57">
        <v>4.1243365836339576</v>
      </c>
      <c r="G1903" s="2">
        <v>16.477801610488434</v>
      </c>
    </row>
    <row r="1904" spans="4:7" customFormat="1" x14ac:dyDescent="0.35">
      <c r="D1904" s="51">
        <v>43923</v>
      </c>
      <c r="E1904" s="57">
        <v>0.95635499999999996</v>
      </c>
      <c r="F1904" s="57">
        <v>3.9443299134412535</v>
      </c>
      <c r="G1904" s="2">
        <v>17.229796059505553</v>
      </c>
    </row>
    <row r="1905" spans="4:7" customFormat="1" x14ac:dyDescent="0.35">
      <c r="D1905" s="51">
        <v>43922</v>
      </c>
      <c r="E1905" s="57">
        <v>0.89274600000000004</v>
      </c>
      <c r="F1905" s="57">
        <v>3.5212847529050255</v>
      </c>
      <c r="G1905" s="2">
        <v>19.299774022516541</v>
      </c>
    </row>
    <row r="1906" spans="4:7" customFormat="1" x14ac:dyDescent="0.35">
      <c r="D1906" s="51">
        <v>43921</v>
      </c>
      <c r="E1906" s="57">
        <v>0.97716599999999998</v>
      </c>
      <c r="F1906" s="57">
        <v>3.440879736857192</v>
      </c>
      <c r="G1906" s="2">
        <v>19.75076294357002</v>
      </c>
    </row>
    <row r="1907" spans="4:7" customFormat="1" x14ac:dyDescent="0.35">
      <c r="D1907" s="51">
        <v>43920</v>
      </c>
      <c r="E1907" s="57">
        <v>0.98908300000000005</v>
      </c>
      <c r="F1907" s="57">
        <v>3.4033156527699222</v>
      </c>
      <c r="G1907" s="2">
        <v>19.968761917422523</v>
      </c>
    </row>
    <row r="1908" spans="4:7" customFormat="1" x14ac:dyDescent="0.35">
      <c r="D1908" s="51">
        <v>43919</v>
      </c>
      <c r="E1908" s="57">
        <v>1</v>
      </c>
      <c r="F1908" s="57">
        <v>3.4033156527699222</v>
      </c>
      <c r="G1908" s="2">
        <v>19.968761917422523</v>
      </c>
    </row>
    <row r="1909" spans="4:7" customFormat="1" x14ac:dyDescent="0.35">
      <c r="D1909" s="51">
        <v>43918</v>
      </c>
      <c r="E1909" s="57">
        <v>1</v>
      </c>
      <c r="F1909" s="57">
        <v>3.4033156527699222</v>
      </c>
      <c r="G1909" s="2">
        <v>19.968761917422523</v>
      </c>
    </row>
    <row r="1910" spans="4:7" customFormat="1" x14ac:dyDescent="0.35">
      <c r="D1910" s="51">
        <v>43917</v>
      </c>
      <c r="E1910" s="57">
        <v>0.95522600000000002</v>
      </c>
      <c r="F1910" s="57">
        <v>3.2509355977328016</v>
      </c>
      <c r="G1910" s="2">
        <v>20.904751249884868</v>
      </c>
    </row>
    <row r="1911" spans="4:7" customFormat="1" x14ac:dyDescent="0.35">
      <c r="D1911" s="51">
        <v>43916</v>
      </c>
      <c r="E1911" s="57">
        <v>1.061491</v>
      </c>
      <c r="F1911" s="57">
        <v>3.4508388785729891</v>
      </c>
      <c r="G1911" s="2">
        <v>19.69376212316908</v>
      </c>
    </row>
    <row r="1912" spans="4:7" customFormat="1" x14ac:dyDescent="0.35">
      <c r="D1912" s="51">
        <v>43915</v>
      </c>
      <c r="E1912" s="57">
        <v>1.015155</v>
      </c>
      <c r="F1912" s="57">
        <v>3.503136341777763</v>
      </c>
      <c r="G1912" s="2">
        <v>19.399758778875224</v>
      </c>
    </row>
    <row r="1913" spans="4:7" customFormat="1" x14ac:dyDescent="0.35">
      <c r="D1913" s="51">
        <v>43914</v>
      </c>
      <c r="E1913" s="57">
        <v>1.098093</v>
      </c>
      <c r="F1913" s="57">
        <v>3.846769494951769</v>
      </c>
      <c r="G1913" s="2">
        <v>17.66677210297782</v>
      </c>
    </row>
    <row r="1914" spans="4:7" customFormat="1" x14ac:dyDescent="0.35">
      <c r="D1914" s="51">
        <v>43913</v>
      </c>
      <c r="E1914" s="57">
        <v>1.0392349999999999</v>
      </c>
      <c r="F1914" s="57">
        <v>3.9976974960862015</v>
      </c>
      <c r="G1914" s="2">
        <v>16.999785518172331</v>
      </c>
    </row>
    <row r="1915" spans="4:7" customFormat="1" x14ac:dyDescent="0.35">
      <c r="D1915" s="51">
        <v>43912</v>
      </c>
      <c r="E1915" s="57">
        <v>1</v>
      </c>
      <c r="F1915" s="57">
        <v>3.9976974960862015</v>
      </c>
      <c r="G1915" s="2">
        <v>16.999785518172331</v>
      </c>
    </row>
    <row r="1916" spans="4:7" customFormat="1" x14ac:dyDescent="0.35">
      <c r="D1916" s="51">
        <v>43911</v>
      </c>
      <c r="E1916" s="57">
        <v>1</v>
      </c>
      <c r="F1916" s="57">
        <v>3.9976974960862015</v>
      </c>
      <c r="G1916" s="2">
        <v>16.999785518172331</v>
      </c>
    </row>
    <row r="1917" spans="4:7" customFormat="1" x14ac:dyDescent="0.35">
      <c r="D1917" s="51">
        <v>43910</v>
      </c>
      <c r="E1917" s="57">
        <v>1.0152890000000001</v>
      </c>
      <c r="F1917" s="57">
        <v>4.0588182931038634</v>
      </c>
      <c r="G1917" s="2">
        <v>16.743789717186271</v>
      </c>
    </row>
    <row r="1918" spans="4:7" customFormat="1" x14ac:dyDescent="0.35">
      <c r="D1918" s="51">
        <v>43909</v>
      </c>
      <c r="E1918" s="57">
        <v>1.159637</v>
      </c>
      <c r="F1918" s="57">
        <v>4.7067558689600846</v>
      </c>
      <c r="G1918" s="2">
        <v>14.438819835160718</v>
      </c>
    </row>
    <row r="1919" spans="4:7" customFormat="1" x14ac:dyDescent="0.35">
      <c r="D1919" s="51">
        <v>43908</v>
      </c>
      <c r="E1919" s="57">
        <v>0.84935300000000002</v>
      </c>
      <c r="F1919" s="57">
        <v>3.997697217568855</v>
      </c>
      <c r="G1919" s="2">
        <v>16.999786702537953</v>
      </c>
    </row>
    <row r="1920" spans="4:7" customFormat="1" x14ac:dyDescent="0.35">
      <c r="D1920" s="51">
        <v>43907</v>
      </c>
      <c r="E1920" s="57">
        <v>1.059256</v>
      </c>
      <c r="F1920" s="57">
        <v>4.2345847638931149</v>
      </c>
      <c r="G1920" s="2">
        <v>16.048799065134354</v>
      </c>
    </row>
    <row r="1921" spans="4:7" customFormat="1" x14ac:dyDescent="0.35">
      <c r="D1921" s="51">
        <v>43906</v>
      </c>
      <c r="E1921" s="57">
        <v>0.80245</v>
      </c>
      <c r="F1921" s="57">
        <v>3.3980425437860302</v>
      </c>
      <c r="G1921" s="2">
        <v>19.999749598273226</v>
      </c>
    </row>
    <row r="1922" spans="4:7" customFormat="1" x14ac:dyDescent="0.35">
      <c r="D1922" s="51">
        <v>43905</v>
      </c>
      <c r="E1922" s="57">
        <v>1</v>
      </c>
      <c r="F1922" s="57">
        <v>3.3980425437860302</v>
      </c>
      <c r="G1922" s="2">
        <v>19.999749598273226</v>
      </c>
    </row>
    <row r="1923" spans="4:7" customFormat="1" x14ac:dyDescent="0.35">
      <c r="D1923" s="51">
        <v>43904</v>
      </c>
      <c r="E1923" s="57">
        <v>1</v>
      </c>
      <c r="F1923" s="57">
        <v>3.3980425437860302</v>
      </c>
      <c r="G1923" s="2">
        <v>19.999749598273226</v>
      </c>
    </row>
    <row r="1924" spans="4:7" customFormat="1" x14ac:dyDescent="0.35">
      <c r="D1924" s="51">
        <v>43903</v>
      </c>
      <c r="E1924" s="57">
        <v>1.038152</v>
      </c>
      <c r="F1924" s="57">
        <v>3.5276846629165548</v>
      </c>
      <c r="G1924" s="2">
        <v>19.264760457306085</v>
      </c>
    </row>
    <row r="1925" spans="4:7" customFormat="1" x14ac:dyDescent="0.35">
      <c r="D1925" s="51">
        <v>43902</v>
      </c>
      <c r="E1925" s="57">
        <v>0.86027500000000001</v>
      </c>
      <c r="F1925" s="57">
        <v>3.0347789233905393</v>
      </c>
      <c r="G1925" s="2">
        <v>22.393723469014077</v>
      </c>
    </row>
    <row r="1926" spans="4:7" customFormat="1" x14ac:dyDescent="0.35">
      <c r="D1926" s="51">
        <v>43901</v>
      </c>
      <c r="E1926" s="57">
        <v>0.95010600000000001</v>
      </c>
      <c r="F1926" s="57">
        <v>2.883361663786892</v>
      </c>
      <c r="G1926" s="2">
        <v>23.569710610199362</v>
      </c>
    </row>
    <row r="1927" spans="4:7" customFormat="1" x14ac:dyDescent="0.35">
      <c r="D1927" s="51">
        <v>43900</v>
      </c>
      <c r="E1927" s="57">
        <v>1.0884830000000001</v>
      </c>
      <c r="F1927" s="57">
        <v>3.138490153883748</v>
      </c>
      <c r="G1927" s="2">
        <v>21.653724137353876</v>
      </c>
    </row>
    <row r="1928" spans="4:7" customFormat="1" x14ac:dyDescent="0.35">
      <c r="D1928" s="51">
        <v>43899</v>
      </c>
      <c r="E1928" s="57">
        <v>0.85609199999999996</v>
      </c>
      <c r="F1928" s="57">
        <v>2.6868363128186457</v>
      </c>
      <c r="G1928" s="2">
        <v>25.293688222006367</v>
      </c>
    </row>
    <row r="1929" spans="4:7" customFormat="1" x14ac:dyDescent="0.35">
      <c r="D1929" s="51">
        <v>43898</v>
      </c>
      <c r="E1929" s="57">
        <v>1</v>
      </c>
      <c r="F1929" s="57">
        <v>2.6868363128186457</v>
      </c>
      <c r="G1929" s="2">
        <v>25.293688222006367</v>
      </c>
    </row>
    <row r="1930" spans="4:7" customFormat="1" x14ac:dyDescent="0.35">
      <c r="D1930" s="51">
        <v>43897</v>
      </c>
      <c r="E1930" s="57">
        <v>1</v>
      </c>
      <c r="F1930" s="57">
        <v>2.6868363128186457</v>
      </c>
      <c r="G1930" s="2">
        <v>25.293688222006367</v>
      </c>
    </row>
    <row r="1931" spans="4:7" customFormat="1" x14ac:dyDescent="0.35">
      <c r="D1931" s="51">
        <v>43896</v>
      </c>
      <c r="E1931" s="57">
        <v>0.93277299999999996</v>
      </c>
      <c r="F1931" s="57">
        <v>2.5062083680167864</v>
      </c>
      <c r="G1931" s="2">
        <v>27.116659918336367</v>
      </c>
    </row>
    <row r="1932" spans="4:7" customFormat="1" x14ac:dyDescent="0.35">
      <c r="D1932" s="51">
        <v>43895</v>
      </c>
      <c r="E1932" s="57">
        <v>0.98618000000000006</v>
      </c>
      <c r="F1932" s="57">
        <v>2.4715725683707945</v>
      </c>
      <c r="G1932" s="2">
        <v>27.496663812221264</v>
      </c>
    </row>
    <row r="1933" spans="4:7" customFormat="1" x14ac:dyDescent="0.35">
      <c r="D1933" s="51">
        <v>43894</v>
      </c>
      <c r="E1933" s="57">
        <v>0.99027600000000005</v>
      </c>
      <c r="F1933" s="57">
        <v>2.4475389967159571</v>
      </c>
      <c r="G1933" s="2">
        <v>27.766666880971833</v>
      </c>
    </row>
    <row r="1934" spans="4:7" customFormat="1" x14ac:dyDescent="0.35">
      <c r="D1934" s="51">
        <v>43893</v>
      </c>
      <c r="E1934" s="57">
        <v>0.96376399999999995</v>
      </c>
      <c r="F1934" s="57">
        <v>2.3588499736309574</v>
      </c>
      <c r="G1934" s="2">
        <v>28.810649579120859</v>
      </c>
    </row>
    <row r="1935" spans="4:7" customFormat="1" x14ac:dyDescent="0.35">
      <c r="D1935" s="51">
        <v>43892</v>
      </c>
      <c r="E1935" s="57">
        <v>1.0029939999999999</v>
      </c>
      <c r="F1935" s="57">
        <v>2.3659123704520084</v>
      </c>
      <c r="G1935" s="2">
        <v>28.72464798305958</v>
      </c>
    </row>
    <row r="1936" spans="4:7" customFormat="1" x14ac:dyDescent="0.35">
      <c r="D1936" s="51">
        <v>43891</v>
      </c>
      <c r="E1936" s="57">
        <v>1</v>
      </c>
      <c r="F1936" s="57">
        <v>2.3659123704520084</v>
      </c>
      <c r="G1936" s="2">
        <v>28.72464798305958</v>
      </c>
    </row>
    <row r="1937" spans="4:7" customFormat="1" x14ac:dyDescent="0.35">
      <c r="D1937" s="51">
        <v>43890</v>
      </c>
      <c r="E1937" s="57">
        <v>1</v>
      </c>
      <c r="F1937" s="57">
        <v>2.3659123704520084</v>
      </c>
      <c r="G1937" s="2">
        <v>28.72464798305958</v>
      </c>
    </row>
    <row r="1938" spans="4:7" customFormat="1" x14ac:dyDescent="0.35">
      <c r="D1938" s="51">
        <v>43889</v>
      </c>
      <c r="E1938" s="57">
        <v>1.148954</v>
      </c>
      <c r="F1938" s="57">
        <v>2.7183244816803169</v>
      </c>
      <c r="G1938" s="2">
        <v>25.000694530033037</v>
      </c>
    </row>
    <row r="1939" spans="4:7" customFormat="1" x14ac:dyDescent="0.35">
      <c r="D1939" s="51">
        <v>43888</v>
      </c>
      <c r="E1939" s="57">
        <v>0.93671799999999994</v>
      </c>
      <c r="F1939" s="57">
        <v>2.546303471830623</v>
      </c>
      <c r="G1939" s="2">
        <v>26.68967024230669</v>
      </c>
    </row>
    <row r="1940" spans="4:7" customFormat="1" x14ac:dyDescent="0.35">
      <c r="D1940" s="51">
        <v>43887</v>
      </c>
      <c r="E1940" s="57">
        <v>0.97583299999999995</v>
      </c>
      <c r="F1940" s="57">
        <v>2.4847669558268923</v>
      </c>
      <c r="G1940" s="2">
        <v>27.350653485080635</v>
      </c>
    </row>
    <row r="1941" spans="4:7" customFormat="1" x14ac:dyDescent="0.35">
      <c r="D1941" s="51">
        <v>43886</v>
      </c>
      <c r="E1941" s="57">
        <v>0.96575</v>
      </c>
      <c r="F1941" s="57">
        <v>2.3996636875898214</v>
      </c>
      <c r="G1941" s="2">
        <v>28.320635242123359</v>
      </c>
    </row>
    <row r="1942" spans="4:7" customFormat="1" x14ac:dyDescent="0.35">
      <c r="D1942" s="51">
        <v>43885</v>
      </c>
      <c r="E1942" s="57">
        <v>0.93809200000000004</v>
      </c>
      <c r="F1942" s="57">
        <v>2.2511053080185106</v>
      </c>
      <c r="G1942" s="2">
        <v>30.189613856768165</v>
      </c>
    </row>
    <row r="1943" spans="4:7" customFormat="1" x14ac:dyDescent="0.35">
      <c r="D1943" s="51">
        <v>43884</v>
      </c>
      <c r="E1943" s="57">
        <v>1</v>
      </c>
      <c r="F1943" s="57">
        <v>2.2511053080185106</v>
      </c>
      <c r="G1943" s="2">
        <v>30.189613856768165</v>
      </c>
    </row>
    <row r="1944" spans="4:7" customFormat="1" x14ac:dyDescent="0.35">
      <c r="D1944" s="51">
        <v>43883</v>
      </c>
      <c r="E1944" s="57">
        <v>1</v>
      </c>
      <c r="F1944" s="57">
        <v>2.2511053080185106</v>
      </c>
      <c r="G1944" s="2">
        <v>30.189613856768165</v>
      </c>
    </row>
    <row r="1945" spans="4:7" customFormat="1" x14ac:dyDescent="0.35">
      <c r="D1945" s="51">
        <v>43882</v>
      </c>
      <c r="E1945" s="57">
        <v>0.969337</v>
      </c>
      <c r="F1945" s="57">
        <v>2.1820796659587391</v>
      </c>
      <c r="G1945" s="2">
        <v>31.144600749551664</v>
      </c>
    </row>
    <row r="1946" spans="4:7" customFormat="1" x14ac:dyDescent="0.35">
      <c r="D1946" s="51">
        <v>43881</v>
      </c>
      <c r="E1946" s="57">
        <v>0.98738199999999998</v>
      </c>
      <c r="F1946" s="57">
        <v>2.1545461847336718</v>
      </c>
      <c r="G1946" s="2">
        <v>31.542605343779474</v>
      </c>
    </row>
    <row r="1947" spans="4:7" customFormat="1" x14ac:dyDescent="0.35">
      <c r="D1947" s="51">
        <v>43880</v>
      </c>
      <c r="E1947" s="57">
        <v>1.022662</v>
      </c>
      <c r="F1947" s="57">
        <v>2.2033725103721062</v>
      </c>
      <c r="G1947" s="2">
        <v>30.843627067182975</v>
      </c>
    </row>
    <row r="1948" spans="4:7" customFormat="1" x14ac:dyDescent="0.35">
      <c r="D1948" s="51">
        <v>43879</v>
      </c>
      <c r="E1948" s="57">
        <v>1.0102850000000001</v>
      </c>
      <c r="F1948" s="57">
        <v>2.2260341966412835</v>
      </c>
      <c r="G1948" s="2">
        <v>30.529629824438619</v>
      </c>
    </row>
    <row r="1949" spans="4:7" customFormat="1" x14ac:dyDescent="0.35">
      <c r="D1949" s="51">
        <v>43878</v>
      </c>
      <c r="E1949" s="57">
        <v>1</v>
      </c>
      <c r="F1949" s="57">
        <v>2.2260341966412835</v>
      </c>
      <c r="G1949" s="2">
        <v>30.529629824438619</v>
      </c>
    </row>
    <row r="1950" spans="4:7" customFormat="1" x14ac:dyDescent="0.35">
      <c r="D1950" s="51">
        <v>43877</v>
      </c>
      <c r="E1950" s="57">
        <v>1</v>
      </c>
      <c r="F1950" s="57">
        <v>2.2260341966412835</v>
      </c>
      <c r="G1950" s="2">
        <v>30.529629824438619</v>
      </c>
    </row>
    <row r="1951" spans="4:7" customFormat="1" x14ac:dyDescent="0.35">
      <c r="D1951" s="51">
        <v>43876</v>
      </c>
      <c r="E1951" s="57">
        <v>1</v>
      </c>
      <c r="F1951" s="57">
        <v>2.2260341966412835</v>
      </c>
      <c r="G1951" s="2">
        <v>30.529629824438619</v>
      </c>
    </row>
    <row r="1952" spans="4:7" customFormat="1" x14ac:dyDescent="0.35">
      <c r="D1952" s="51">
        <v>43875</v>
      </c>
      <c r="E1952" s="57">
        <v>0.99585699999999999</v>
      </c>
      <c r="F1952" s="57">
        <v>2.2168117369645985</v>
      </c>
      <c r="G1952" s="2">
        <v>30.656640285139957</v>
      </c>
    </row>
    <row r="1953" spans="4:7" customFormat="1" x14ac:dyDescent="0.35">
      <c r="D1953" s="51">
        <v>43874</v>
      </c>
      <c r="E1953" s="57">
        <v>1.0058400000000001</v>
      </c>
      <c r="F1953" s="57">
        <v>2.2297579175084721</v>
      </c>
      <c r="G1953" s="2">
        <v>30.478644998349591</v>
      </c>
    </row>
    <row r="1954" spans="4:7" customFormat="1" x14ac:dyDescent="0.35">
      <c r="D1954" s="51">
        <v>43873</v>
      </c>
      <c r="E1954" s="57">
        <v>1.0283059999999999</v>
      </c>
      <c r="F1954" s="57">
        <v>2.292873445121467</v>
      </c>
      <c r="G1954" s="2">
        <v>29.639664650745587</v>
      </c>
    </row>
    <row r="1955" spans="4:7" customFormat="1" x14ac:dyDescent="0.35">
      <c r="D1955" s="51">
        <v>43872</v>
      </c>
      <c r="E1955" s="57">
        <v>0.99426400000000004</v>
      </c>
      <c r="F1955" s="57">
        <v>2.2797215230402501</v>
      </c>
      <c r="G1955" s="2">
        <v>29.8106585884087</v>
      </c>
    </row>
    <row r="1956" spans="4:7" customFormat="1" x14ac:dyDescent="0.35">
      <c r="D1956" s="51">
        <v>43871</v>
      </c>
      <c r="E1956" s="57">
        <v>1.0232730000000001</v>
      </c>
      <c r="F1956" s="57">
        <v>2.3327774820459659</v>
      </c>
      <c r="G1956" s="2">
        <v>29.132654324318828</v>
      </c>
    </row>
    <row r="1957" spans="4:7" customFormat="1" x14ac:dyDescent="0.35">
      <c r="D1957" s="51">
        <v>43870</v>
      </c>
      <c r="E1957" s="57">
        <v>1</v>
      </c>
      <c r="F1957" s="57">
        <v>2.3327774820459659</v>
      </c>
      <c r="G1957" s="2">
        <v>29.132654324318828</v>
      </c>
    </row>
    <row r="1958" spans="4:7" customFormat="1" x14ac:dyDescent="0.35">
      <c r="D1958" s="51">
        <v>43869</v>
      </c>
      <c r="E1958" s="57">
        <v>1</v>
      </c>
      <c r="F1958" s="57">
        <v>2.3327774820459659</v>
      </c>
      <c r="G1958" s="2">
        <v>29.132654324318828</v>
      </c>
    </row>
    <row r="1959" spans="4:7" customFormat="1" x14ac:dyDescent="0.35">
      <c r="D1959" s="51">
        <v>43868</v>
      </c>
      <c r="E1959" s="57">
        <v>1.0090749999999999</v>
      </c>
      <c r="F1959" s="57">
        <v>2.3539474376955329</v>
      </c>
      <c r="G1959" s="2">
        <v>28.870653147009715</v>
      </c>
    </row>
    <row r="1960" spans="4:7" customFormat="1" x14ac:dyDescent="0.35">
      <c r="D1960" s="51">
        <v>43867</v>
      </c>
      <c r="E1960" s="57">
        <v>1.0041389999999999</v>
      </c>
      <c r="F1960" s="57">
        <v>2.3636904261401543</v>
      </c>
      <c r="G1960" s="2">
        <v>28.75165006738083</v>
      </c>
    </row>
    <row r="1961" spans="4:7" customFormat="1" x14ac:dyDescent="0.35">
      <c r="D1961" s="51">
        <v>43866</v>
      </c>
      <c r="E1961" s="57">
        <v>0.94850400000000001</v>
      </c>
      <c r="F1961" s="57">
        <v>2.2419698239556412</v>
      </c>
      <c r="G1961" s="2">
        <v>30.312629221785915</v>
      </c>
    </row>
    <row r="1962" spans="4:7" customFormat="1" x14ac:dyDescent="0.35">
      <c r="D1962" s="51">
        <v>43865</v>
      </c>
      <c r="E1962" s="57">
        <v>1.106233</v>
      </c>
      <c r="F1962" s="57">
        <v>2.4801410042639209</v>
      </c>
      <c r="G1962" s="2">
        <v>27.401667841933765</v>
      </c>
    </row>
    <row r="1963" spans="4:7" customFormat="1" x14ac:dyDescent="0.35">
      <c r="D1963" s="51">
        <v>43864</v>
      </c>
      <c r="E1963" s="57">
        <v>1.017981</v>
      </c>
      <c r="F1963" s="57">
        <v>2.5247364196615907</v>
      </c>
      <c r="G1963" s="2">
        <v>26.917661372789631</v>
      </c>
    </row>
    <row r="1964" spans="4:7" customFormat="1" x14ac:dyDescent="0.35">
      <c r="D1964" s="51">
        <v>43863</v>
      </c>
      <c r="E1964" s="57">
        <v>1</v>
      </c>
      <c r="F1964" s="57">
        <v>2.5247364196615907</v>
      </c>
      <c r="G1964" s="2">
        <v>26.917661372789631</v>
      </c>
    </row>
    <row r="1965" spans="4:7" customFormat="1" x14ac:dyDescent="0.35">
      <c r="D1965" s="51">
        <v>43862</v>
      </c>
      <c r="E1965" s="57">
        <v>1</v>
      </c>
      <c r="F1965" s="57">
        <v>2.5247364196615907</v>
      </c>
      <c r="G1965" s="2">
        <v>26.917661372789631</v>
      </c>
    </row>
    <row r="1966" spans="4:7" customFormat="1" x14ac:dyDescent="0.35">
      <c r="D1966" s="51">
        <v>43861</v>
      </c>
      <c r="E1966" s="57">
        <v>0.96952899999999997</v>
      </c>
      <c r="F1966" s="57">
        <v>2.4478051762180821</v>
      </c>
      <c r="G1966" s="2">
        <v>27.763647475000372</v>
      </c>
    </row>
    <row r="1967" spans="4:7" customFormat="1" x14ac:dyDescent="0.35">
      <c r="D1967" s="51">
        <v>43860</v>
      </c>
      <c r="E1967" s="57">
        <v>0.98793699999999995</v>
      </c>
      <c r="F1967" s="57">
        <v>2.4182773023773634</v>
      </c>
      <c r="G1967" s="2">
        <v>28.10264973879951</v>
      </c>
    </row>
    <row r="1968" spans="4:7" customFormat="1" x14ac:dyDescent="0.35">
      <c r="D1968" s="51">
        <v>43859</v>
      </c>
      <c r="E1968" s="57">
        <v>0.99730300000000005</v>
      </c>
      <c r="F1968" s="57">
        <v>2.4117552084928517</v>
      </c>
      <c r="G1968" s="2">
        <v>28.178647551245216</v>
      </c>
    </row>
    <row r="1969" spans="4:7" customFormat="1" x14ac:dyDescent="0.35">
      <c r="D1969" s="51">
        <v>43858</v>
      </c>
      <c r="E1969" s="57">
        <v>1.0313289999999999</v>
      </c>
      <c r="F1969" s="57">
        <v>2.4873130874197242</v>
      </c>
      <c r="G1969" s="2">
        <v>27.322656059555406</v>
      </c>
    </row>
    <row r="1970" spans="4:7" customFormat="1" x14ac:dyDescent="0.35">
      <c r="D1970" s="51">
        <v>43857</v>
      </c>
      <c r="E1970" s="57">
        <v>0.97522900000000001</v>
      </c>
      <c r="F1970" s="57">
        <v>2.4256998549312501</v>
      </c>
      <c r="G1970" s="2">
        <v>28.016656661722948</v>
      </c>
    </row>
    <row r="1971" spans="4:7" customFormat="1" x14ac:dyDescent="0.35">
      <c r="D1971" s="51">
        <v>43856</v>
      </c>
      <c r="E1971" s="57">
        <v>1</v>
      </c>
      <c r="F1971" s="57">
        <v>2.4256998549312501</v>
      </c>
      <c r="G1971" s="2">
        <v>28.016656661722948</v>
      </c>
    </row>
    <row r="1972" spans="4:7" customFormat="1" x14ac:dyDescent="0.35">
      <c r="D1972" s="51">
        <v>43855</v>
      </c>
      <c r="E1972" s="57">
        <v>1</v>
      </c>
      <c r="F1972" s="57">
        <v>2.4256998549312501</v>
      </c>
      <c r="G1972" s="2">
        <v>28.016656661722948</v>
      </c>
    </row>
    <row r="1973" spans="4:7" customFormat="1" x14ac:dyDescent="0.35">
      <c r="D1973" s="51">
        <v>43854</v>
      </c>
      <c r="E1973" s="57">
        <v>0.99921499999999996</v>
      </c>
      <c r="F1973" s="57">
        <v>2.4237956805451288</v>
      </c>
      <c r="G1973" s="2">
        <v>28.038667015329985</v>
      </c>
    </row>
    <row r="1974" spans="4:7" customFormat="1" x14ac:dyDescent="0.35">
      <c r="D1974" s="51">
        <v>43853</v>
      </c>
      <c r="E1974" s="57">
        <v>0.99467899999999998</v>
      </c>
      <c r="F1974" s="57">
        <v>2.4108986637289482</v>
      </c>
      <c r="G1974" s="2">
        <v>28.188658869172851</v>
      </c>
    </row>
    <row r="1975" spans="4:7" customFormat="1" x14ac:dyDescent="0.35">
      <c r="D1975" s="51">
        <v>43852</v>
      </c>
      <c r="E1975" s="57">
        <v>1.006678</v>
      </c>
      <c r="F1975" s="57">
        <v>2.4269986450053302</v>
      </c>
      <c r="G1975" s="2">
        <v>28.001663758592969</v>
      </c>
    </row>
    <row r="1976" spans="4:7" customFormat="1" x14ac:dyDescent="0.35">
      <c r="D1976" s="51">
        <v>43851</v>
      </c>
      <c r="E1976" s="57">
        <v>0.99668999999999996</v>
      </c>
      <c r="F1976" s="57">
        <v>2.4189652794903624</v>
      </c>
      <c r="G1976" s="2">
        <v>28.094657073506276</v>
      </c>
    </row>
    <row r="1977" spans="4:7" customFormat="1" x14ac:dyDescent="0.35">
      <c r="D1977" s="51">
        <v>43850</v>
      </c>
      <c r="E1977" s="57">
        <v>1</v>
      </c>
      <c r="F1977" s="57">
        <v>2.4189652794903624</v>
      </c>
      <c r="G1977" s="2">
        <v>28.094657073506276</v>
      </c>
    </row>
    <row r="1978" spans="4:7" customFormat="1" x14ac:dyDescent="0.35">
      <c r="D1978" s="51">
        <v>43849</v>
      </c>
      <c r="E1978" s="57">
        <v>1</v>
      </c>
      <c r="F1978" s="57">
        <v>2.4189652794903624</v>
      </c>
      <c r="G1978" s="2">
        <v>28.094657073506276</v>
      </c>
    </row>
    <row r="1979" spans="4:7" customFormat="1" x14ac:dyDescent="0.35">
      <c r="D1979" s="51">
        <v>43848</v>
      </c>
      <c r="E1979" s="57">
        <v>1</v>
      </c>
      <c r="F1979" s="57">
        <v>2.4189652794903624</v>
      </c>
      <c r="G1979" s="2">
        <v>28.094657073506276</v>
      </c>
    </row>
    <row r="1980" spans="4:7" customFormat="1" x14ac:dyDescent="0.35">
      <c r="D1980" s="51">
        <v>43847</v>
      </c>
      <c r="E1980" s="57">
        <v>0.99982199999999999</v>
      </c>
      <c r="F1980" s="57">
        <v>2.4185347036706131</v>
      </c>
      <c r="G1980" s="2">
        <v>28.099658812774951</v>
      </c>
    </row>
    <row r="1981" spans="4:7" customFormat="1" x14ac:dyDescent="0.35">
      <c r="D1981" s="51">
        <v>43846</v>
      </c>
      <c r="E1981" s="57">
        <v>0.98665700000000001</v>
      </c>
      <c r="F1981" s="57">
        <v>2.3862641951195362</v>
      </c>
      <c r="G1981" s="2">
        <v>28.479662955591404</v>
      </c>
    </row>
    <row r="1982" spans="4:7" customFormat="1" x14ac:dyDescent="0.35">
      <c r="D1982" s="51">
        <v>43845</v>
      </c>
      <c r="E1982" s="57">
        <v>1.0022519999999999</v>
      </c>
      <c r="F1982" s="57">
        <v>2.3916380620869453</v>
      </c>
      <c r="G1982" s="2">
        <v>28.415670864803868</v>
      </c>
    </row>
    <row r="1983" spans="4:7" customFormat="1" x14ac:dyDescent="0.35">
      <c r="D1983" s="51">
        <v>43844</v>
      </c>
      <c r="E1983" s="57">
        <v>0.98608499999999999</v>
      </c>
      <c r="F1983" s="57">
        <v>2.3583584184530055</v>
      </c>
      <c r="G1983" s="2">
        <v>28.816654613754256</v>
      </c>
    </row>
    <row r="1984" spans="4:7" customFormat="1" x14ac:dyDescent="0.35">
      <c r="D1984" s="51">
        <v>43843</v>
      </c>
      <c r="E1984" s="57">
        <v>1.0374779999999999</v>
      </c>
      <c r="F1984" s="57">
        <v>2.446744975259787</v>
      </c>
      <c r="G1984" s="2">
        <v>27.775677762568709</v>
      </c>
    </row>
    <row r="1985" spans="4:7" customFormat="1" x14ac:dyDescent="0.35">
      <c r="D1985" s="51">
        <v>43842</v>
      </c>
      <c r="E1985" s="57">
        <v>1</v>
      </c>
      <c r="F1985" s="57">
        <v>2.446744975259787</v>
      </c>
      <c r="G1985" s="2">
        <v>27.775677762568709</v>
      </c>
    </row>
    <row r="1986" spans="4:7" customFormat="1" x14ac:dyDescent="0.35">
      <c r="D1986" s="51">
        <v>43841</v>
      </c>
      <c r="E1986" s="57">
        <v>1</v>
      </c>
      <c r="F1986" s="57">
        <v>2.446744975259787</v>
      </c>
      <c r="G1986" s="2">
        <v>27.775677762568709</v>
      </c>
    </row>
    <row r="1987" spans="4:7" customFormat="1" x14ac:dyDescent="0.35">
      <c r="D1987" s="51">
        <v>43840</v>
      </c>
      <c r="E1987" s="57">
        <v>0.96901999999999999</v>
      </c>
      <c r="F1987" s="57">
        <v>2.3709448159262387</v>
      </c>
      <c r="G1987" s="2">
        <v>28.663678523218003</v>
      </c>
    </row>
    <row r="1988" spans="4:7" customFormat="1" x14ac:dyDescent="0.35">
      <c r="D1988" s="51">
        <v>43839</v>
      </c>
      <c r="E1988" s="57">
        <v>1.0050490000000001</v>
      </c>
      <c r="F1988" s="57">
        <v>2.3829157163018504</v>
      </c>
      <c r="G1988" s="2">
        <v>28.519682645540669</v>
      </c>
    </row>
    <row r="1989" spans="4:7" customFormat="1" x14ac:dyDescent="0.35">
      <c r="D1989" s="51">
        <v>43838</v>
      </c>
      <c r="E1989" s="57">
        <v>1.0175540000000001</v>
      </c>
      <c r="F1989" s="57">
        <v>2.4247454187858133</v>
      </c>
      <c r="G1989" s="2">
        <v>28.027684668863436</v>
      </c>
    </row>
    <row r="1990" spans="4:7" customFormat="1" x14ac:dyDescent="0.35">
      <c r="D1990" s="51">
        <v>43837</v>
      </c>
      <c r="E1990" s="57">
        <v>1.0085280000000001</v>
      </c>
      <c r="F1990" s="57">
        <v>2.4454236477172189</v>
      </c>
      <c r="G1990" s="2">
        <v>27.790685701203572</v>
      </c>
    </row>
    <row r="1991" spans="4:7" customFormat="1" x14ac:dyDescent="0.35">
      <c r="D1991" s="51">
        <v>43836</v>
      </c>
      <c r="E1991" s="57">
        <v>1.0220659999999999</v>
      </c>
      <c r="F1991" s="57">
        <v>2.4993843659277468</v>
      </c>
      <c r="G1991" s="2">
        <v>27.190695807514949</v>
      </c>
    </row>
    <row r="1992" spans="4:7" customFormat="1" x14ac:dyDescent="0.35">
      <c r="D1992" s="51">
        <v>43835</v>
      </c>
      <c r="E1992" s="57">
        <v>1</v>
      </c>
      <c r="F1992" s="57">
        <v>2.4993843659277468</v>
      </c>
      <c r="G1992" s="2">
        <v>27.190695807514949</v>
      </c>
    </row>
    <row r="1993" spans="4:7" customFormat="1" x14ac:dyDescent="0.35">
      <c r="D1993" s="51">
        <v>43834</v>
      </c>
      <c r="E1993" s="57">
        <v>1</v>
      </c>
      <c r="F1993" s="57">
        <v>2.4993843659277468</v>
      </c>
      <c r="G1993" s="2">
        <v>27.190695807514949</v>
      </c>
    </row>
    <row r="1994" spans="4:7" customFormat="1" x14ac:dyDescent="0.35">
      <c r="D1994" s="51">
        <v>43833</v>
      </c>
      <c r="E1994" s="57">
        <v>1.001695</v>
      </c>
      <c r="F1994" s="57">
        <v>2.5036208224279943</v>
      </c>
      <c r="G1994" s="2">
        <v>27.144685565481456</v>
      </c>
    </row>
    <row r="1995" spans="4:7" customFormat="1" x14ac:dyDescent="0.35">
      <c r="D1995" s="51">
        <v>43832</v>
      </c>
      <c r="E1995" s="57">
        <v>1.044923</v>
      </c>
      <c r="F1995" s="57">
        <v>2.6160909806339272</v>
      </c>
      <c r="G1995" s="2">
        <v>25.97768980631248</v>
      </c>
    </row>
    <row r="1996" spans="4:7" customFormat="1" x14ac:dyDescent="0.35">
      <c r="D1996" s="51">
        <v>43831</v>
      </c>
      <c r="E1996" s="57">
        <v>1</v>
      </c>
      <c r="F1996" s="57">
        <v>2.6160909806339272</v>
      </c>
      <c r="G1996" s="2">
        <v>25.97768980631248</v>
      </c>
    </row>
    <row r="1997" spans="4:7" customFormat="1" x14ac:dyDescent="0.35">
      <c r="D1997" s="51">
        <v>43830</v>
      </c>
      <c r="E1997" s="57">
        <v>1.027936</v>
      </c>
      <c r="F1997" s="57">
        <v>2.6891740982689165</v>
      </c>
      <c r="G1997" s="2">
        <v>25.271699606116027</v>
      </c>
    </row>
    <row r="1998" spans="4:7" customFormat="1" x14ac:dyDescent="0.35">
      <c r="D1998" s="51">
        <v>43829</v>
      </c>
      <c r="E1998" s="57">
        <v>0.92792399999999997</v>
      </c>
      <c r="F1998" s="57">
        <v>2.4953491859620862</v>
      </c>
      <c r="G1998" s="2">
        <v>27.23466534556281</v>
      </c>
    </row>
    <row r="1999" spans="4:7" customFormat="1" x14ac:dyDescent="0.35">
      <c r="D1999" s="51">
        <v>43828</v>
      </c>
      <c r="E1999" s="57">
        <v>1</v>
      </c>
      <c r="F1999" s="57">
        <v>2.4953491859620862</v>
      </c>
      <c r="G1999" s="2">
        <v>27.23466534556281</v>
      </c>
    </row>
    <row r="2000" spans="4:7" customFormat="1" x14ac:dyDescent="0.35">
      <c r="D2000" s="51">
        <v>43827</v>
      </c>
      <c r="E2000" s="57">
        <v>1</v>
      </c>
      <c r="F2000" s="57">
        <v>2.4953491859620862</v>
      </c>
      <c r="G2000" s="2">
        <v>27.23466534556281</v>
      </c>
    </row>
    <row r="2001" spans="4:7" customFormat="1" x14ac:dyDescent="0.35">
      <c r="D2001" s="51">
        <v>43826</v>
      </c>
      <c r="E2001" s="57">
        <v>0.99575899999999995</v>
      </c>
      <c r="F2001" s="57">
        <v>2.4847664100644207</v>
      </c>
      <c r="G2001" s="2">
        <v>27.350659492470378</v>
      </c>
    </row>
    <row r="2002" spans="4:7" customFormat="1" x14ac:dyDescent="0.35">
      <c r="D2002" s="51">
        <v>43825</v>
      </c>
      <c r="E2002" s="57">
        <v>1.0205599999999999</v>
      </c>
      <c r="F2002" s="57">
        <v>2.5358532074553448</v>
      </c>
      <c r="G2002" s="2">
        <v>26.799658513434178</v>
      </c>
    </row>
    <row r="2003" spans="4:7" customFormat="1" x14ac:dyDescent="0.35">
      <c r="D2003" s="51">
        <v>43824</v>
      </c>
      <c r="E2003" s="57">
        <v>1</v>
      </c>
      <c r="F2003" s="57">
        <v>2.5358532074553448</v>
      </c>
      <c r="G2003" s="2">
        <v>26.799658513434178</v>
      </c>
    </row>
    <row r="2004" spans="4:7" customFormat="1" x14ac:dyDescent="0.35">
      <c r="D2004" s="51">
        <v>43823</v>
      </c>
      <c r="E2004" s="57">
        <v>0.99758100000000005</v>
      </c>
      <c r="F2004" s="57">
        <v>2.5297189785465104</v>
      </c>
      <c r="G2004" s="2">
        <v>26.864644087481793</v>
      </c>
    </row>
    <row r="2005" spans="4:7" customFormat="1" x14ac:dyDescent="0.35">
      <c r="D2005" s="51">
        <v>43822</v>
      </c>
      <c r="E2005" s="57">
        <v>1.018578</v>
      </c>
      <c r="F2005" s="57">
        <v>2.5767160977299475</v>
      </c>
      <c r="G2005" s="2">
        <v>26.374655733269119</v>
      </c>
    </row>
    <row r="2006" spans="4:7" customFormat="1" x14ac:dyDescent="0.35">
      <c r="D2006" s="51">
        <v>43821</v>
      </c>
      <c r="E2006" s="57">
        <v>1</v>
      </c>
      <c r="F2006" s="57">
        <v>2.5767160977299475</v>
      </c>
      <c r="G2006" s="2">
        <v>26.374655733269119</v>
      </c>
    </row>
    <row r="2007" spans="4:7" customFormat="1" x14ac:dyDescent="0.35">
      <c r="D2007" s="51">
        <v>43820</v>
      </c>
      <c r="E2007" s="57">
        <v>1</v>
      </c>
      <c r="F2007" s="57">
        <v>2.5767160977299475</v>
      </c>
      <c r="G2007" s="2">
        <v>26.374655733269119</v>
      </c>
    </row>
    <row r="2008" spans="4:7" customFormat="1" x14ac:dyDescent="0.35">
      <c r="D2008" s="51">
        <v>43819</v>
      </c>
      <c r="E2008" s="57">
        <v>1.003959</v>
      </c>
      <c r="F2008" s="57">
        <v>2.5869173167608603</v>
      </c>
      <c r="G2008" s="2">
        <v>26.27065022901246</v>
      </c>
    </row>
    <row r="2009" spans="4:7" customFormat="1" x14ac:dyDescent="0.35">
      <c r="D2009" s="51">
        <v>43818</v>
      </c>
      <c r="E2009" s="57">
        <v>1.037887</v>
      </c>
      <c r="F2009" s="57">
        <v>2.6849278531409793</v>
      </c>
      <c r="G2009" s="2">
        <v>25.311667097682559</v>
      </c>
    </row>
    <row r="2010" spans="4:7" customFormat="1" x14ac:dyDescent="0.35">
      <c r="D2010" s="51">
        <v>43817</v>
      </c>
      <c r="E2010" s="57">
        <v>1.012359</v>
      </c>
      <c r="F2010" s="57">
        <v>2.7181108764779487</v>
      </c>
      <c r="G2010" s="2">
        <v>25.002659232231409</v>
      </c>
    </row>
    <row r="2011" spans="4:7" customFormat="1" x14ac:dyDescent="0.35">
      <c r="D2011" s="51">
        <v>43816</v>
      </c>
      <c r="E2011" s="57">
        <v>0.98499099999999995</v>
      </c>
      <c r="F2011" s="57">
        <v>2.6773147503328909</v>
      </c>
      <c r="G2011" s="2">
        <v>25.383642319809432</v>
      </c>
    </row>
    <row r="2012" spans="4:7" customFormat="1" x14ac:dyDescent="0.35">
      <c r="D2012" s="51">
        <v>43815</v>
      </c>
      <c r="E2012" s="57">
        <v>1.005506</v>
      </c>
      <c r="F2012" s="57">
        <v>2.6920560453482238</v>
      </c>
      <c r="G2012" s="2">
        <v>25.244645302772366</v>
      </c>
    </row>
    <row r="2013" spans="4:7" customFormat="1" x14ac:dyDescent="0.35">
      <c r="D2013" s="51">
        <v>43814</v>
      </c>
      <c r="E2013" s="57">
        <v>1</v>
      </c>
      <c r="F2013" s="57">
        <v>2.6920560453482238</v>
      </c>
      <c r="G2013" s="2">
        <v>25.244645302772366</v>
      </c>
    </row>
    <row r="2014" spans="4:7" customFormat="1" x14ac:dyDescent="0.35">
      <c r="D2014" s="51">
        <v>43813</v>
      </c>
      <c r="E2014" s="57">
        <v>1</v>
      </c>
      <c r="F2014" s="57">
        <v>2.6920560453482238</v>
      </c>
      <c r="G2014" s="2">
        <v>25.244645302772366</v>
      </c>
    </row>
    <row r="2015" spans="4:7" customFormat="1" x14ac:dyDescent="0.35">
      <c r="D2015" s="51">
        <v>43812</v>
      </c>
      <c r="E2015" s="57">
        <v>1.024554</v>
      </c>
      <c r="F2015" s="57">
        <v>2.758156789485704</v>
      </c>
      <c r="G2015" s="2">
        <v>24.63964349636268</v>
      </c>
    </row>
    <row r="2016" spans="4:7" customFormat="1" x14ac:dyDescent="0.35">
      <c r="D2016" s="51">
        <v>43811</v>
      </c>
      <c r="E2016" s="57">
        <v>0.983711</v>
      </c>
      <c r="F2016" s="57">
        <v>2.7132291735417713</v>
      </c>
      <c r="G2016" s="2">
        <v>25.047644578908521</v>
      </c>
    </row>
    <row r="2017" spans="4:7" customFormat="1" x14ac:dyDescent="0.35">
      <c r="D2017" s="51">
        <v>43810</v>
      </c>
      <c r="E2017" s="57">
        <v>1.0016389999999999</v>
      </c>
      <c r="F2017" s="57">
        <v>2.7176761561572063</v>
      </c>
      <c r="G2017" s="2">
        <v>25.006658665356003</v>
      </c>
    </row>
    <row r="2018" spans="4:7" customFormat="1" x14ac:dyDescent="0.35">
      <c r="D2018" s="51">
        <v>43809</v>
      </c>
      <c r="E2018" s="57">
        <v>1.0023249999999999</v>
      </c>
      <c r="F2018" s="57">
        <v>2.7239947532202717</v>
      </c>
      <c r="G2018" s="2">
        <v>24.948653047021676</v>
      </c>
    </row>
    <row r="2019" spans="4:7" customFormat="1" x14ac:dyDescent="0.35">
      <c r="D2019" s="51">
        <v>43808</v>
      </c>
      <c r="E2019" s="57">
        <v>1.0086520000000001</v>
      </c>
      <c r="F2019" s="57">
        <v>2.7475627558251339</v>
      </c>
      <c r="G2019" s="2">
        <v>24.734648865041336</v>
      </c>
    </row>
    <row r="2020" spans="4:7" customFormat="1" x14ac:dyDescent="0.35">
      <c r="D2020" s="51">
        <v>43807</v>
      </c>
      <c r="E2020" s="57">
        <v>1</v>
      </c>
      <c r="F2020" s="57">
        <v>2.7475627558251339</v>
      </c>
      <c r="G2020" s="2">
        <v>24.734648865041336</v>
      </c>
    </row>
    <row r="2021" spans="4:7" customFormat="1" x14ac:dyDescent="0.35">
      <c r="D2021" s="51">
        <v>43806</v>
      </c>
      <c r="E2021" s="57">
        <v>1</v>
      </c>
      <c r="F2021" s="57">
        <v>2.7475627558251339</v>
      </c>
      <c r="G2021" s="2">
        <v>24.734648865041336</v>
      </c>
    </row>
    <row r="2022" spans="4:7" customFormat="1" x14ac:dyDescent="0.35">
      <c r="D2022" s="51">
        <v>43805</v>
      </c>
      <c r="E2022" s="57">
        <v>1.0288250000000001</v>
      </c>
      <c r="F2022" s="57">
        <v>2.8267612522617935</v>
      </c>
      <c r="G2022" s="2">
        <v>24.041648351314688</v>
      </c>
    </row>
    <row r="2023" spans="4:7" customFormat="1" x14ac:dyDescent="0.35">
      <c r="D2023" s="51">
        <v>43804</v>
      </c>
      <c r="E2023" s="57">
        <v>0.98476300000000005</v>
      </c>
      <c r="F2023" s="57">
        <v>2.7836898910610808</v>
      </c>
      <c r="G2023" s="2">
        <v>24.413638968274281</v>
      </c>
    </row>
    <row r="2024" spans="4:7" customFormat="1" x14ac:dyDescent="0.35">
      <c r="D2024" s="51">
        <v>43803</v>
      </c>
      <c r="E2024" s="57">
        <v>1.0279149999999999</v>
      </c>
      <c r="F2024" s="57">
        <v>2.8613965943700506</v>
      </c>
      <c r="G2024" s="2">
        <v>23.750639856675196</v>
      </c>
    </row>
    <row r="2025" spans="4:7" customFormat="1" x14ac:dyDescent="0.35">
      <c r="D2025" s="51">
        <v>43802</v>
      </c>
      <c r="E2025" s="57">
        <v>1.044505</v>
      </c>
      <c r="F2025" s="57">
        <v>2.9887430498024896</v>
      </c>
      <c r="G2025" s="2">
        <v>22.738655972614012</v>
      </c>
    </row>
    <row r="2026" spans="4:7" customFormat="1" x14ac:dyDescent="0.35">
      <c r="D2026" s="51">
        <v>43801</v>
      </c>
      <c r="E2026" s="57">
        <v>0.86348400000000003</v>
      </c>
      <c r="F2026" s="57">
        <v>2.5807318036156532</v>
      </c>
      <c r="G2026" s="2">
        <v>26.333615877785817</v>
      </c>
    </row>
    <row r="2027" spans="4:7" customFormat="1" x14ac:dyDescent="0.35">
      <c r="D2027" s="51">
        <v>43800</v>
      </c>
      <c r="E2027" s="57">
        <v>1</v>
      </c>
      <c r="F2027" s="57">
        <v>2.5807318036156532</v>
      </c>
      <c r="G2027" s="2">
        <v>26.333615877785817</v>
      </c>
    </row>
    <row r="2028" spans="4:7" customFormat="1" x14ac:dyDescent="0.35">
      <c r="D2028" s="51">
        <v>43799</v>
      </c>
      <c r="E2028" s="57">
        <v>1</v>
      </c>
      <c r="F2028" s="57">
        <v>2.5807318036156532</v>
      </c>
      <c r="G2028" s="2">
        <v>26.333615877785817</v>
      </c>
    </row>
    <row r="2029" spans="4:7" customFormat="1" x14ac:dyDescent="0.35">
      <c r="D2029" s="51">
        <v>43798</v>
      </c>
      <c r="E2029" s="57">
        <v>0.99309899999999995</v>
      </c>
      <c r="F2029" s="57">
        <v>2.5629221734389014</v>
      </c>
      <c r="G2029" s="2">
        <v>26.516606982572551</v>
      </c>
    </row>
    <row r="2030" spans="4:7" customFormat="1" x14ac:dyDescent="0.35">
      <c r="D2030" s="51">
        <v>43797</v>
      </c>
      <c r="E2030" s="57">
        <v>1</v>
      </c>
      <c r="F2030" s="57">
        <v>2.5629221734389014</v>
      </c>
      <c r="G2030" s="2">
        <v>26.516606982572551</v>
      </c>
    </row>
    <row r="2031" spans="4:7" customFormat="1" x14ac:dyDescent="0.35">
      <c r="D2031" s="51">
        <v>43796</v>
      </c>
      <c r="E2031" s="57">
        <v>1.0071019999999999</v>
      </c>
      <c r="F2031" s="57">
        <v>2.5811240467146641</v>
      </c>
      <c r="G2031" s="2">
        <v>26.329614063493622</v>
      </c>
    </row>
    <row r="2032" spans="4:7" customFormat="1" x14ac:dyDescent="0.35">
      <c r="D2032" s="51">
        <v>43795</v>
      </c>
      <c r="E2032" s="57">
        <v>1.0249520000000001</v>
      </c>
      <c r="F2032" s="57">
        <v>2.6455282539282887</v>
      </c>
      <c r="G2032" s="2">
        <v>25.688631334436757</v>
      </c>
    </row>
    <row r="2033" spans="4:7" customFormat="1" x14ac:dyDescent="0.35">
      <c r="D2033" s="51">
        <v>43794</v>
      </c>
      <c r="E2033" s="57">
        <v>1.054081</v>
      </c>
      <c r="F2033" s="57">
        <v>2.7886010674289845</v>
      </c>
      <c r="G2033" s="2">
        <v>24.370642611371188</v>
      </c>
    </row>
    <row r="2034" spans="4:7" customFormat="1" x14ac:dyDescent="0.35">
      <c r="D2034" s="51">
        <v>43793</v>
      </c>
      <c r="E2034" s="57">
        <v>1</v>
      </c>
      <c r="F2034" s="57">
        <v>2.7886010674289845</v>
      </c>
      <c r="G2034" s="2">
        <v>24.370642611371188</v>
      </c>
    </row>
    <row r="2035" spans="4:7" customFormat="1" x14ac:dyDescent="0.35">
      <c r="D2035" s="51">
        <v>43792</v>
      </c>
      <c r="E2035" s="57">
        <v>1</v>
      </c>
      <c r="F2035" s="57">
        <v>2.7886010674289845</v>
      </c>
      <c r="G2035" s="2">
        <v>24.370642611371188</v>
      </c>
    </row>
    <row r="2036" spans="4:7" customFormat="1" x14ac:dyDescent="0.35">
      <c r="D2036" s="51">
        <v>43791</v>
      </c>
      <c r="E2036" s="57">
        <v>1.0151619999999999</v>
      </c>
      <c r="F2036" s="57">
        <v>2.8308818368133424</v>
      </c>
      <c r="G2036" s="2">
        <v>24.006653727554021</v>
      </c>
    </row>
    <row r="2037" spans="4:7" customFormat="1" x14ac:dyDescent="0.35">
      <c r="D2037" s="51">
        <v>43790</v>
      </c>
      <c r="E2037" s="57">
        <v>0.99833700000000003</v>
      </c>
      <c r="F2037" s="57">
        <v>2.8261740803187219</v>
      </c>
      <c r="G2037" s="2">
        <v>24.046643295354194</v>
      </c>
    </row>
    <row r="2038" spans="4:7" customFormat="1" x14ac:dyDescent="0.35">
      <c r="D2038" s="51">
        <v>43789</v>
      </c>
      <c r="E2038" s="57">
        <v>1.016915</v>
      </c>
      <c r="F2038" s="57">
        <v>2.8739788148873129</v>
      </c>
      <c r="G2038" s="2">
        <v>23.646660040764658</v>
      </c>
    </row>
    <row r="2039" spans="4:7" customFormat="1" x14ac:dyDescent="0.35">
      <c r="D2039" s="51">
        <v>43788</v>
      </c>
      <c r="E2039" s="57">
        <v>1.020367</v>
      </c>
      <c r="F2039" s="57">
        <v>2.9325131414101229</v>
      </c>
      <c r="G2039" s="2">
        <v>23.174661705802578</v>
      </c>
    </row>
    <row r="2040" spans="4:7" customFormat="1" x14ac:dyDescent="0.35">
      <c r="D2040" s="51">
        <v>43787</v>
      </c>
      <c r="E2040" s="57">
        <v>1.0113460000000001</v>
      </c>
      <c r="F2040" s="57">
        <v>2.9657854355125624</v>
      </c>
      <c r="G2040" s="2">
        <v>22.914671839115965</v>
      </c>
    </row>
    <row r="2041" spans="4:7" customFormat="1" x14ac:dyDescent="0.35">
      <c r="D2041" s="51">
        <v>43786</v>
      </c>
      <c r="E2041" s="57">
        <v>1</v>
      </c>
      <c r="F2041" s="57">
        <v>2.9657854355125624</v>
      </c>
      <c r="G2041" s="2">
        <v>22.914671839115965</v>
      </c>
    </row>
    <row r="2042" spans="4:7" customFormat="1" x14ac:dyDescent="0.35">
      <c r="D2042" s="51">
        <v>43785</v>
      </c>
      <c r="E2042" s="57">
        <v>1</v>
      </c>
      <c r="F2042" s="57">
        <v>2.9657854355125624</v>
      </c>
      <c r="G2042" s="2">
        <v>22.914671839115965</v>
      </c>
    </row>
    <row r="2043" spans="4:7" customFormat="1" x14ac:dyDescent="0.35">
      <c r="D2043" s="51">
        <v>43784</v>
      </c>
      <c r="E2043" s="57">
        <v>1.004691</v>
      </c>
      <c r="F2043" s="57">
        <v>2.9796979349905519</v>
      </c>
      <c r="G2043" s="2">
        <v>22.807681007509736</v>
      </c>
    </row>
    <row r="2044" spans="4:7" customFormat="1" x14ac:dyDescent="0.35">
      <c r="D2044" s="51">
        <v>43783</v>
      </c>
      <c r="E2044" s="57">
        <v>0.99663500000000005</v>
      </c>
      <c r="F2044" s="57">
        <v>2.9696712514393089</v>
      </c>
      <c r="G2044" s="2">
        <v>22.884687982571087</v>
      </c>
    </row>
    <row r="2045" spans="4:7" customFormat="1" x14ac:dyDescent="0.35">
      <c r="D2045" s="51">
        <v>43782</v>
      </c>
      <c r="E2045" s="57">
        <v>1.0223359999999999</v>
      </c>
      <c r="F2045" s="57">
        <v>3.0360018285114569</v>
      </c>
      <c r="G2045" s="2">
        <v>22.384703250762069</v>
      </c>
    </row>
    <row r="2046" spans="4:7" customFormat="1" x14ac:dyDescent="0.35">
      <c r="D2046" s="51">
        <v>43781</v>
      </c>
      <c r="E2046" s="57">
        <v>1.0315190000000001</v>
      </c>
      <c r="F2046" s="57">
        <v>3.1316935701443098</v>
      </c>
      <c r="G2046" s="2">
        <v>21.700718310338505</v>
      </c>
    </row>
    <row r="2047" spans="4:7" customFormat="1" x14ac:dyDescent="0.35">
      <c r="D2047" s="51">
        <v>43780</v>
      </c>
      <c r="E2047" s="57">
        <v>1.109855</v>
      </c>
      <c r="F2047" s="57">
        <v>3.4757257672925133</v>
      </c>
      <c r="G2047" s="2">
        <v>19.552750864156582</v>
      </c>
    </row>
    <row r="2048" spans="4:7" customFormat="1" x14ac:dyDescent="0.35">
      <c r="D2048" s="51">
        <v>43779</v>
      </c>
      <c r="E2048" s="57">
        <v>1</v>
      </c>
      <c r="F2048" s="57">
        <v>3.4757257672925133</v>
      </c>
      <c r="G2048" s="2">
        <v>19.552750864156582</v>
      </c>
    </row>
    <row r="2049" spans="4:7" customFormat="1" x14ac:dyDescent="0.35">
      <c r="D2049" s="51">
        <v>43778</v>
      </c>
      <c r="E2049" s="57">
        <v>1</v>
      </c>
      <c r="F2049" s="57">
        <v>3.4757257672925133</v>
      </c>
      <c r="G2049" s="2">
        <v>19.552750864156582</v>
      </c>
    </row>
    <row r="2050" spans="4:7" customFormat="1" x14ac:dyDescent="0.35">
      <c r="D2050" s="51">
        <v>43777</v>
      </c>
      <c r="E2050" s="57">
        <v>1.0144230000000001</v>
      </c>
      <c r="F2050" s="57">
        <v>3.5258561600341736</v>
      </c>
      <c r="G2050" s="2">
        <v>19.274751128628374</v>
      </c>
    </row>
    <row r="2051" spans="4:7" customFormat="1" x14ac:dyDescent="0.35">
      <c r="D2051" s="51">
        <v>43776</v>
      </c>
      <c r="E2051" s="57">
        <v>0.99141000000000001</v>
      </c>
      <c r="F2051" s="57">
        <v>3.4955690556194803</v>
      </c>
      <c r="G2051" s="2">
        <v>19.441755811045251</v>
      </c>
    </row>
    <row r="2052" spans="4:7" customFormat="1" x14ac:dyDescent="0.35">
      <c r="D2052" s="51">
        <v>43775</v>
      </c>
      <c r="E2052" s="57">
        <v>0.97438999999999998</v>
      </c>
      <c r="F2052" s="57">
        <v>3.4060475321050654</v>
      </c>
      <c r="G2052" s="2">
        <v>19.952745626540967</v>
      </c>
    </row>
    <row r="2053" spans="4:7" customFormat="1" x14ac:dyDescent="0.35">
      <c r="D2053" s="51">
        <v>43774</v>
      </c>
      <c r="E2053" s="57">
        <v>0.98343899999999995</v>
      </c>
      <c r="F2053" s="57">
        <v>3.3496399789258731</v>
      </c>
      <c r="G2053" s="2">
        <v>20.288747575132742</v>
      </c>
    </row>
    <row r="2054" spans="4:7" customFormat="1" x14ac:dyDescent="0.35">
      <c r="D2054" s="51">
        <v>43773</v>
      </c>
      <c r="E2054" s="57">
        <v>0.99896600000000002</v>
      </c>
      <c r="F2054" s="57">
        <v>3.3461764511876639</v>
      </c>
      <c r="G2054" s="2">
        <v>20.309747854414205</v>
      </c>
    </row>
    <row r="2055" spans="4:7" customFormat="1" x14ac:dyDescent="0.35">
      <c r="D2055" s="51">
        <v>43772</v>
      </c>
      <c r="E2055" s="57">
        <v>1</v>
      </c>
      <c r="F2055" s="57">
        <v>3.3461764511876639</v>
      </c>
      <c r="G2055" s="2">
        <v>20.309747854414205</v>
      </c>
    </row>
    <row r="2056" spans="4:7" customFormat="1" x14ac:dyDescent="0.35">
      <c r="D2056" s="51">
        <v>43771</v>
      </c>
      <c r="E2056" s="57">
        <v>1</v>
      </c>
      <c r="F2056" s="57">
        <v>3.3461764511876639</v>
      </c>
      <c r="G2056" s="2">
        <v>20.309747854414205</v>
      </c>
    </row>
    <row r="2057" spans="4:7" customFormat="1" x14ac:dyDescent="0.35">
      <c r="D2057" s="51">
        <v>43770</v>
      </c>
      <c r="E2057" s="57">
        <v>1.0114540000000001</v>
      </c>
      <c r="F2057" s="57">
        <v>3.3845035562595678</v>
      </c>
      <c r="G2057" s="2">
        <v>20.079754348110939</v>
      </c>
    </row>
    <row r="2058" spans="4:7" customFormat="1" x14ac:dyDescent="0.35">
      <c r="D2058" s="51">
        <v>43769</v>
      </c>
      <c r="E2058" s="57">
        <v>0.95774099999999995</v>
      </c>
      <c r="F2058" s="57">
        <v>3.2414778204755947</v>
      </c>
      <c r="G2058" s="2">
        <v>20.965745799867541</v>
      </c>
    </row>
    <row r="2059" spans="4:7" customFormat="1" x14ac:dyDescent="0.35">
      <c r="D2059" s="51">
        <v>43768</v>
      </c>
      <c r="E2059" s="57">
        <v>1.011336</v>
      </c>
      <c r="F2059" s="57">
        <v>3.2782232130485061</v>
      </c>
      <c r="G2059" s="2">
        <v>20.730742107338749</v>
      </c>
    </row>
    <row r="2060" spans="4:7" customFormat="1" x14ac:dyDescent="0.35">
      <c r="D2060" s="51">
        <v>43767</v>
      </c>
      <c r="E2060" s="57">
        <v>0.98733199999999999</v>
      </c>
      <c r="F2060" s="57">
        <v>3.2366946813856075</v>
      </c>
      <c r="G2060" s="2">
        <v>20.99672866608066</v>
      </c>
    </row>
    <row r="2061" spans="4:7" customFormat="1" x14ac:dyDescent="0.35">
      <c r="D2061" s="51">
        <v>43766</v>
      </c>
      <c r="E2061" s="57">
        <v>1.0362750000000001</v>
      </c>
      <c r="F2061" s="57">
        <v>3.3541057809528705</v>
      </c>
      <c r="G2061" s="2">
        <v>20.261734255946212</v>
      </c>
    </row>
    <row r="2062" spans="4:7" customFormat="1" x14ac:dyDescent="0.35">
      <c r="D2062" s="51">
        <v>43765</v>
      </c>
      <c r="E2062" s="57">
        <v>1</v>
      </c>
      <c r="F2062" s="57">
        <v>3.3541057809528705</v>
      </c>
      <c r="G2062" s="2">
        <v>20.261734255946212</v>
      </c>
    </row>
    <row r="2063" spans="4:7" customFormat="1" x14ac:dyDescent="0.35">
      <c r="D2063" s="51">
        <v>43764</v>
      </c>
      <c r="E2063" s="57">
        <v>1</v>
      </c>
      <c r="F2063" s="57">
        <v>3.3541057809528705</v>
      </c>
      <c r="G2063" s="2">
        <v>20.261734255946212</v>
      </c>
    </row>
    <row r="2064" spans="4:7" customFormat="1" x14ac:dyDescent="0.35">
      <c r="D2064" s="51">
        <v>43763</v>
      </c>
      <c r="E2064" s="57">
        <v>1.0286850000000001</v>
      </c>
      <c r="F2064" s="57">
        <v>3.4503183052795037</v>
      </c>
      <c r="G2064" s="2">
        <v>19.696733456739633</v>
      </c>
    </row>
    <row r="2065" spans="4:7" customFormat="1" x14ac:dyDescent="0.35">
      <c r="D2065" s="51">
        <v>43762</v>
      </c>
      <c r="E2065" s="57">
        <v>1.025298</v>
      </c>
      <c r="F2065" s="57">
        <v>3.5376044577664647</v>
      </c>
      <c r="G2065" s="2">
        <v>19.210740152365101</v>
      </c>
    </row>
    <row r="2066" spans="4:7" customFormat="1" x14ac:dyDescent="0.35">
      <c r="D2066" s="51">
        <v>43761</v>
      </c>
      <c r="E2066" s="57">
        <v>1.0121169999999999</v>
      </c>
      <c r="F2066" s="57">
        <v>3.5804696109812206</v>
      </c>
      <c r="G2066" s="2">
        <v>18.980750399771075</v>
      </c>
    </row>
    <row r="2067" spans="4:7" customFormat="1" x14ac:dyDescent="0.35">
      <c r="D2067" s="51">
        <v>43760</v>
      </c>
      <c r="E2067" s="57">
        <v>0.94508099999999995</v>
      </c>
      <c r="F2067" s="57">
        <v>3.3838338004157427</v>
      </c>
      <c r="G2067" s="2">
        <v>20.083728696028253</v>
      </c>
    </row>
    <row r="2068" spans="4:7" customFormat="1" x14ac:dyDescent="0.35">
      <c r="D2068" s="51">
        <v>43759</v>
      </c>
      <c r="E2068" s="57">
        <v>1.030953</v>
      </c>
      <c r="F2068" s="57">
        <v>3.4885736080400114</v>
      </c>
      <c r="G2068" s="2">
        <v>19.480741310252021</v>
      </c>
    </row>
    <row r="2069" spans="4:7" customFormat="1" x14ac:dyDescent="0.35">
      <c r="D2069" s="51">
        <v>43758</v>
      </c>
      <c r="E2069" s="57">
        <v>1</v>
      </c>
      <c r="F2069" s="57">
        <v>3.4885736080400114</v>
      </c>
      <c r="G2069" s="2">
        <v>19.480741310252021</v>
      </c>
    </row>
    <row r="2070" spans="4:7" customFormat="1" x14ac:dyDescent="0.35">
      <c r="D2070" s="51">
        <v>43757</v>
      </c>
      <c r="E2070" s="57">
        <v>1</v>
      </c>
      <c r="F2070" s="57">
        <v>3.4885736080400114</v>
      </c>
      <c r="G2070" s="2">
        <v>19.480741310252021</v>
      </c>
    </row>
    <row r="2071" spans="4:7" customFormat="1" x14ac:dyDescent="0.35">
      <c r="D2071" s="51">
        <v>43756</v>
      </c>
      <c r="E2071" s="57">
        <v>0.96684700000000001</v>
      </c>
      <c r="F2071" s="57">
        <v>3.3729169272126609</v>
      </c>
      <c r="G2071" s="2">
        <v>20.148732229868862</v>
      </c>
    </row>
    <row r="2072" spans="4:7" customFormat="1" x14ac:dyDescent="0.35">
      <c r="D2072" s="51">
        <v>43755</v>
      </c>
      <c r="E2072" s="57">
        <v>1.02885</v>
      </c>
      <c r="F2072" s="57">
        <v>3.4702255805627464</v>
      </c>
      <c r="G2072" s="2">
        <v>19.583741293549945</v>
      </c>
    </row>
    <row r="2073" spans="4:7" customFormat="1" x14ac:dyDescent="0.35">
      <c r="D2073" s="51">
        <v>43754</v>
      </c>
      <c r="E2073" s="57">
        <v>0.92377399999999998</v>
      </c>
      <c r="F2073" s="57">
        <v>3.2057041654587706</v>
      </c>
      <c r="G2073" s="2">
        <v>21.199710420026918</v>
      </c>
    </row>
    <row r="2074" spans="4:7" customFormat="1" x14ac:dyDescent="0.35">
      <c r="D2074" s="51">
        <v>43753</v>
      </c>
      <c r="E2074" s="57">
        <v>1.053207</v>
      </c>
      <c r="F2074" s="57">
        <v>3.3762700669903354</v>
      </c>
      <c r="G2074" s="2">
        <v>20.128721533399339</v>
      </c>
    </row>
    <row r="2075" spans="4:7" customFormat="1" x14ac:dyDescent="0.35">
      <c r="D2075" s="51">
        <v>43752</v>
      </c>
      <c r="E2075" s="57">
        <v>1.014413</v>
      </c>
      <c r="F2075" s="57">
        <v>3.424932247465867</v>
      </c>
      <c r="G2075" s="2">
        <v>19.842728290547676</v>
      </c>
    </row>
    <row r="2076" spans="4:7" customFormat="1" x14ac:dyDescent="0.35">
      <c r="D2076" s="51">
        <v>43751</v>
      </c>
      <c r="E2076" s="57">
        <v>1</v>
      </c>
      <c r="F2076" s="57">
        <v>3.424932247465867</v>
      </c>
      <c r="G2076" s="2">
        <v>19.842728290547676</v>
      </c>
    </row>
    <row r="2077" spans="4:7" customFormat="1" x14ac:dyDescent="0.35">
      <c r="D2077" s="51">
        <v>43750</v>
      </c>
      <c r="E2077" s="57">
        <v>1</v>
      </c>
      <c r="F2077" s="57">
        <v>3.424932247465867</v>
      </c>
      <c r="G2077" s="2">
        <v>19.842728290547676</v>
      </c>
    </row>
    <row r="2078" spans="4:7" customFormat="1" x14ac:dyDescent="0.35">
      <c r="D2078" s="51">
        <v>43749</v>
      </c>
      <c r="E2078" s="57">
        <v>1.0688390000000001</v>
      </c>
      <c r="F2078" s="57">
        <v>3.6607011584491702</v>
      </c>
      <c r="G2078" s="2">
        <v>18.564749499735388</v>
      </c>
    </row>
    <row r="2079" spans="4:7" customFormat="1" x14ac:dyDescent="0.35">
      <c r="D2079" s="51">
        <v>43748</v>
      </c>
      <c r="E2079" s="57">
        <v>0.97183699999999995</v>
      </c>
      <c r="F2079" s="57">
        <v>3.5576048317237658</v>
      </c>
      <c r="G2079" s="2">
        <v>19.102739965380401</v>
      </c>
    </row>
    <row r="2080" spans="4:7" customFormat="1" x14ac:dyDescent="0.35">
      <c r="D2080" s="51">
        <v>43747</v>
      </c>
      <c r="E2080" s="57">
        <v>1.003098</v>
      </c>
      <c r="F2080" s="57">
        <v>3.5686262914924463</v>
      </c>
      <c r="G2080" s="2">
        <v>19.043742451266375</v>
      </c>
    </row>
    <row r="2081" spans="4:7" customFormat="1" x14ac:dyDescent="0.35">
      <c r="D2081" s="51">
        <v>43746</v>
      </c>
      <c r="E2081" s="57">
        <v>0.98144699999999996</v>
      </c>
      <c r="F2081" s="57">
        <v>3.5024175679063867</v>
      </c>
      <c r="G2081" s="2">
        <v>19.403740040232815</v>
      </c>
    </row>
    <row r="2082" spans="4:7" customFormat="1" x14ac:dyDescent="0.35">
      <c r="D2082" s="51">
        <v>43745</v>
      </c>
      <c r="E2082" s="57">
        <v>1.0335019999999999</v>
      </c>
      <c r="F2082" s="57">
        <v>3.6197555612663863</v>
      </c>
      <c r="G2082" s="2">
        <v>18.774748418709219</v>
      </c>
    </row>
    <row r="2083" spans="4:7" customFormat="1" x14ac:dyDescent="0.35">
      <c r="D2083" s="51">
        <v>43744</v>
      </c>
      <c r="E2083" s="57">
        <v>1</v>
      </c>
      <c r="F2083" s="57">
        <v>3.6197555612663863</v>
      </c>
      <c r="G2083" s="2">
        <v>18.774748418709219</v>
      </c>
    </row>
    <row r="2084" spans="4:7" customFormat="1" x14ac:dyDescent="0.35">
      <c r="D2084" s="51">
        <v>43743</v>
      </c>
      <c r="E2084" s="57">
        <v>1</v>
      </c>
      <c r="F2084" s="57">
        <v>3.6197555612663863</v>
      </c>
      <c r="G2084" s="2">
        <v>18.774748418709219</v>
      </c>
    </row>
    <row r="2085" spans="4:7" customFormat="1" x14ac:dyDescent="0.35">
      <c r="D2085" s="51">
        <v>43742</v>
      </c>
      <c r="E2085" s="57">
        <v>0.99029500000000004</v>
      </c>
      <c r="F2085" s="57">
        <v>3.5846258335442962</v>
      </c>
      <c r="G2085" s="2">
        <v>18.958743019715559</v>
      </c>
    </row>
    <row r="2086" spans="4:7" customFormat="1" x14ac:dyDescent="0.35">
      <c r="D2086" s="51">
        <v>43741</v>
      </c>
      <c r="E2086" s="57">
        <v>1.0304359999999999</v>
      </c>
      <c r="F2086" s="57">
        <v>3.6937275054140501</v>
      </c>
      <c r="G2086" s="2">
        <v>18.398758408785756</v>
      </c>
    </row>
    <row r="2087" spans="4:7" customFormat="1" x14ac:dyDescent="0.35">
      <c r="D2087" s="51">
        <v>43740</v>
      </c>
      <c r="E2087" s="57">
        <v>1.0021789999999999</v>
      </c>
      <c r="F2087" s="57">
        <v>3.7017761376483471</v>
      </c>
      <c r="G2087" s="2">
        <v>18.358754682332954</v>
      </c>
    </row>
    <row r="2088" spans="4:7" customFormat="1" x14ac:dyDescent="0.35">
      <c r="D2088" s="51">
        <v>43739</v>
      </c>
      <c r="E2088" s="57">
        <v>0.97888600000000003</v>
      </c>
      <c r="F2088" s="57">
        <v>3.6236168362780399</v>
      </c>
      <c r="G2088" s="2">
        <v>18.754742311497921</v>
      </c>
    </row>
    <row r="2089" spans="4:7" customFormat="1" x14ac:dyDescent="0.35">
      <c r="D2089" s="51">
        <v>43738</v>
      </c>
      <c r="E2089" s="57">
        <v>1.015101</v>
      </c>
      <c r="F2089" s="57">
        <v>3.6783370741226746</v>
      </c>
      <c r="G2089" s="2">
        <v>18.475740159351552</v>
      </c>
    </row>
    <row r="2090" spans="4:7" customFormat="1" x14ac:dyDescent="0.35">
      <c r="D2090" s="51">
        <v>43737</v>
      </c>
      <c r="E2090" s="57">
        <v>1</v>
      </c>
      <c r="F2090" s="57">
        <v>3.6783370741226746</v>
      </c>
      <c r="G2090" s="2">
        <v>18.475740159351552</v>
      </c>
    </row>
    <row r="2091" spans="4:7" customFormat="1" x14ac:dyDescent="0.35">
      <c r="D2091" s="51">
        <v>43736</v>
      </c>
      <c r="E2091" s="57">
        <v>1</v>
      </c>
      <c r="F2091" s="57">
        <v>3.6783370741226746</v>
      </c>
      <c r="G2091" s="2">
        <v>18.475740159351552</v>
      </c>
    </row>
    <row r="2092" spans="4:7" customFormat="1" x14ac:dyDescent="0.35">
      <c r="D2092" s="51">
        <v>43735</v>
      </c>
      <c r="E2092" s="57">
        <v>0.95041200000000003</v>
      </c>
      <c r="F2092" s="57">
        <v>3.4959356952910796</v>
      </c>
      <c r="G2092" s="2">
        <v>19.439716837909824</v>
      </c>
    </row>
    <row r="2093" spans="4:7" customFormat="1" x14ac:dyDescent="0.35">
      <c r="D2093" s="51">
        <v>43734</v>
      </c>
      <c r="E2093" s="57">
        <v>0.99907500000000005</v>
      </c>
      <c r="F2093" s="57">
        <v>3.4927019547729357</v>
      </c>
      <c r="G2093" s="2">
        <v>19.457715224492478</v>
      </c>
    </row>
    <row r="2094" spans="4:7" customFormat="1" x14ac:dyDescent="0.35">
      <c r="D2094" s="51">
        <v>43733</v>
      </c>
      <c r="E2094" s="57">
        <v>1.0102279999999999</v>
      </c>
      <c r="F2094" s="57">
        <v>3.528425310366353</v>
      </c>
      <c r="G2094" s="2">
        <v>19.260716614954724</v>
      </c>
    </row>
    <row r="2095" spans="4:7" customFormat="1" x14ac:dyDescent="0.35">
      <c r="D2095" s="51">
        <v>43732</v>
      </c>
      <c r="E2095" s="57">
        <v>0.94919200000000004</v>
      </c>
      <c r="F2095" s="57">
        <v>3.3491530771972595</v>
      </c>
      <c r="G2095" s="2">
        <v>20.291697164488031</v>
      </c>
    </row>
    <row r="2096" spans="4:7" customFormat="1" x14ac:dyDescent="0.35">
      <c r="D2096" s="51">
        <v>43731</v>
      </c>
      <c r="E2096" s="57">
        <v>0.98005299999999995</v>
      </c>
      <c r="F2096" s="57">
        <v>3.2823475207664057</v>
      </c>
      <c r="G2096" s="2">
        <v>20.704693689512741</v>
      </c>
    </row>
    <row r="2097" spans="4:7" customFormat="1" x14ac:dyDescent="0.35">
      <c r="D2097" s="51">
        <v>43730</v>
      </c>
      <c r="E2097" s="57">
        <v>1</v>
      </c>
      <c r="F2097" s="57">
        <v>3.2823475207664057</v>
      </c>
      <c r="G2097" s="2">
        <v>20.704693689512741</v>
      </c>
    </row>
    <row r="2098" spans="4:7" customFormat="1" x14ac:dyDescent="0.35">
      <c r="D2098" s="51">
        <v>43729</v>
      </c>
      <c r="E2098" s="57">
        <v>1</v>
      </c>
      <c r="F2098" s="57">
        <v>3.2823475207664057</v>
      </c>
      <c r="G2098" s="2">
        <v>20.704693689512741</v>
      </c>
    </row>
    <row r="2099" spans="4:7" customFormat="1" x14ac:dyDescent="0.35">
      <c r="D2099" s="51">
        <v>43728</v>
      </c>
      <c r="E2099" s="57">
        <v>0.98417100000000002</v>
      </c>
      <c r="F2099" s="57">
        <v>3.2303912418601941</v>
      </c>
      <c r="G2099" s="2">
        <v>21.037699433851174</v>
      </c>
    </row>
    <row r="2100" spans="4:7" customFormat="1" x14ac:dyDescent="0.35">
      <c r="D2100" s="51">
        <v>43727</v>
      </c>
      <c r="E2100" s="57">
        <v>1.010859</v>
      </c>
      <c r="F2100" s="57">
        <v>3.265470060355554</v>
      </c>
      <c r="G2100" s="2">
        <v>20.811705127867658</v>
      </c>
    </row>
    <row r="2101" spans="4:7" customFormat="1" x14ac:dyDescent="0.35">
      <c r="D2101" s="51">
        <v>43726</v>
      </c>
      <c r="E2101" s="57">
        <v>0.97594400000000003</v>
      </c>
      <c r="F2101" s="57">
        <v>3.186915912583641</v>
      </c>
      <c r="G2101" s="2">
        <v>21.324691916613716</v>
      </c>
    </row>
    <row r="2102" spans="4:7" customFormat="1" x14ac:dyDescent="0.35">
      <c r="D2102" s="51">
        <v>43725</v>
      </c>
      <c r="E2102" s="57">
        <v>1.011382</v>
      </c>
      <c r="F2102" s="57">
        <v>3.2231893895006682</v>
      </c>
      <c r="G2102" s="2">
        <v>21.084705795252155</v>
      </c>
    </row>
    <row r="2103" spans="4:7" customFormat="1" x14ac:dyDescent="0.35">
      <c r="D2103" s="51">
        <v>43724</v>
      </c>
      <c r="E2103" s="57">
        <v>1.016194</v>
      </c>
      <c r="F2103" s="57">
        <v>3.2753857184742423</v>
      </c>
      <c r="G2103" s="2">
        <v>20.748701325979244</v>
      </c>
    </row>
    <row r="2104" spans="4:7" customFormat="1" x14ac:dyDescent="0.35">
      <c r="D2104" s="51">
        <v>43723</v>
      </c>
      <c r="E2104" s="57">
        <v>1</v>
      </c>
      <c r="F2104" s="57">
        <v>3.2753857184742423</v>
      </c>
      <c r="G2104" s="2">
        <v>20.748701325979244</v>
      </c>
    </row>
    <row r="2105" spans="4:7" customFormat="1" x14ac:dyDescent="0.35">
      <c r="D2105" s="51">
        <v>43722</v>
      </c>
      <c r="E2105" s="57">
        <v>1</v>
      </c>
      <c r="F2105" s="57">
        <v>3.2753857184742423</v>
      </c>
      <c r="G2105" s="2">
        <v>20.748701325979244</v>
      </c>
    </row>
    <row r="2106" spans="4:7" customFormat="1" x14ac:dyDescent="0.35">
      <c r="D2106" s="51">
        <v>43721</v>
      </c>
      <c r="E2106" s="57">
        <v>0.970078</v>
      </c>
      <c r="F2106" s="57">
        <v>3.1773796270060561</v>
      </c>
      <c r="G2106" s="2">
        <v>21.388693822537203</v>
      </c>
    </row>
    <row r="2107" spans="4:7" customFormat="1" x14ac:dyDescent="0.35">
      <c r="D2107" s="51">
        <v>43720</v>
      </c>
      <c r="E2107" s="57">
        <v>1.010297</v>
      </c>
      <c r="F2107" s="57">
        <v>3.2100971050253375</v>
      </c>
      <c r="G2107" s="2">
        <v>21.170699133558944</v>
      </c>
    </row>
    <row r="2108" spans="4:7" customFormat="1" x14ac:dyDescent="0.35">
      <c r="D2108" s="51">
        <v>43719</v>
      </c>
      <c r="E2108" s="57">
        <v>1.0078549999999999</v>
      </c>
      <c r="F2108" s="57">
        <v>3.2353124177853112</v>
      </c>
      <c r="G2108" s="2">
        <v>21.005699365046507</v>
      </c>
    </row>
    <row r="2109" spans="4:7" customFormat="1" x14ac:dyDescent="0.35">
      <c r="D2109" s="51">
        <v>43718</v>
      </c>
      <c r="E2109" s="57">
        <v>0.98310500000000001</v>
      </c>
      <c r="F2109" s="57">
        <v>3.1806518144868283</v>
      </c>
      <c r="G2109" s="2">
        <v>21.36668958559514</v>
      </c>
    </row>
    <row r="2110" spans="4:7" customFormat="1" x14ac:dyDescent="0.35">
      <c r="D2110" s="51">
        <v>43717</v>
      </c>
      <c r="E2110" s="57">
        <v>0.91652699999999998</v>
      </c>
      <c r="F2110" s="57">
        <v>2.9151532655761692</v>
      </c>
      <c r="G2110" s="2">
        <v>23.312667914415112</v>
      </c>
    </row>
    <row r="2111" spans="4:7" customFormat="1" x14ac:dyDescent="0.35">
      <c r="D2111" s="51">
        <v>43716</v>
      </c>
      <c r="E2111" s="57">
        <v>1</v>
      </c>
      <c r="F2111" s="57">
        <v>2.9151532655761692</v>
      </c>
      <c r="G2111" s="2">
        <v>23.312667914415112</v>
      </c>
    </row>
    <row r="2112" spans="4:7" customFormat="1" x14ac:dyDescent="0.35">
      <c r="D2112" s="51">
        <v>43715</v>
      </c>
      <c r="E2112" s="57">
        <v>1</v>
      </c>
      <c r="F2112" s="57">
        <v>2.9151532655761692</v>
      </c>
      <c r="G2112" s="2">
        <v>23.312667914415112</v>
      </c>
    </row>
    <row r="2113" spans="4:7" customFormat="1" x14ac:dyDescent="0.35">
      <c r="D2113" s="51">
        <v>43714</v>
      </c>
      <c r="E2113" s="57">
        <v>0.95658799999999999</v>
      </c>
      <c r="F2113" s="57">
        <v>2.7886006320109766</v>
      </c>
      <c r="G2113" s="2">
        <v>24.370646416654935</v>
      </c>
    </row>
    <row r="2114" spans="4:7" customFormat="1" x14ac:dyDescent="0.35">
      <c r="D2114" s="51">
        <v>43713</v>
      </c>
      <c r="E2114" s="57">
        <v>1.0146550000000001</v>
      </c>
      <c r="F2114" s="57">
        <v>2.8294675742730977</v>
      </c>
      <c r="G2114" s="2">
        <v>24.018653056117529</v>
      </c>
    </row>
    <row r="2115" spans="4:7" customFormat="1" x14ac:dyDescent="0.35">
      <c r="D2115" s="51">
        <v>43712</v>
      </c>
      <c r="E2115" s="57">
        <v>1.0221720000000001</v>
      </c>
      <c r="F2115" s="57">
        <v>2.892202529329881</v>
      </c>
      <c r="G2115" s="2">
        <v>23.497662874856218</v>
      </c>
    </row>
    <row r="2116" spans="4:7" customFormat="1" x14ac:dyDescent="0.35">
      <c r="D2116" s="51">
        <v>43711</v>
      </c>
      <c r="E2116" s="57">
        <v>0.95609699999999997</v>
      </c>
      <c r="F2116" s="57">
        <v>2.7652261616847111</v>
      </c>
      <c r="G2116" s="2">
        <v>24.576651610512549</v>
      </c>
    </row>
    <row r="2117" spans="4:7" customFormat="1" x14ac:dyDescent="0.35">
      <c r="D2117" s="51">
        <v>43710</v>
      </c>
      <c r="E2117" s="57">
        <v>1</v>
      </c>
      <c r="F2117" s="57">
        <v>2.7652261616847111</v>
      </c>
      <c r="G2117" s="2">
        <v>24.576651610512549</v>
      </c>
    </row>
    <row r="2118" spans="4:7" customFormat="1" x14ac:dyDescent="0.35">
      <c r="D2118" s="51">
        <v>43709</v>
      </c>
      <c r="E2118" s="57">
        <v>1</v>
      </c>
      <c r="F2118" s="57">
        <v>2.7652261616847111</v>
      </c>
      <c r="G2118" s="2">
        <v>24.576651610512549</v>
      </c>
    </row>
    <row r="2119" spans="4:7" customFormat="1" x14ac:dyDescent="0.35">
      <c r="D2119" s="51">
        <v>43708</v>
      </c>
      <c r="E2119" s="57">
        <v>1</v>
      </c>
      <c r="F2119" s="57">
        <v>2.7652261616847111</v>
      </c>
      <c r="G2119" s="2">
        <v>24.576651610512549</v>
      </c>
    </row>
    <row r="2120" spans="4:7" customFormat="1" x14ac:dyDescent="0.35">
      <c r="D2120" s="51">
        <v>43707</v>
      </c>
      <c r="E2120" s="57">
        <v>0.98280500000000004</v>
      </c>
      <c r="F2120" s="57">
        <v>2.7176780978345425</v>
      </c>
      <c r="G2120" s="2">
        <v>25.006640799052253</v>
      </c>
    </row>
    <row r="2121" spans="4:7" customFormat="1" x14ac:dyDescent="0.35">
      <c r="D2121" s="51">
        <v>43706</v>
      </c>
      <c r="E2121" s="57">
        <v>1.006764</v>
      </c>
      <c r="F2121" s="57">
        <v>2.7360604724882953</v>
      </c>
      <c r="G2121" s="2">
        <v>24.838632290241065</v>
      </c>
    </row>
    <row r="2122" spans="4:7" customFormat="1" x14ac:dyDescent="0.35">
      <c r="D2122" s="51">
        <v>43705</v>
      </c>
      <c r="E2122" s="57">
        <v>1.0092639999999999</v>
      </c>
      <c r="F2122" s="57">
        <v>2.7614073367054268</v>
      </c>
      <c r="G2122" s="2">
        <v>24.610639327511002</v>
      </c>
    </row>
    <row r="2123" spans="4:7" customFormat="1" x14ac:dyDescent="0.35">
      <c r="D2123" s="51">
        <v>43704</v>
      </c>
      <c r="E2123" s="57">
        <v>0.98106499999999996</v>
      </c>
      <c r="F2123" s="57">
        <v>2.7091200887849096</v>
      </c>
      <c r="G2123" s="2">
        <v>25.085635842182732</v>
      </c>
    </row>
    <row r="2124" spans="4:7" customFormat="1" x14ac:dyDescent="0.35">
      <c r="D2124" s="51">
        <v>43703</v>
      </c>
      <c r="E2124" s="57">
        <v>1.0179769999999999</v>
      </c>
      <c r="F2124" s="57">
        <v>2.7578219406209956</v>
      </c>
      <c r="G2124" s="2">
        <v>24.642635189383192</v>
      </c>
    </row>
    <row r="2125" spans="4:7" customFormat="1" x14ac:dyDescent="0.35">
      <c r="D2125" s="51">
        <v>43702</v>
      </c>
      <c r="E2125" s="57">
        <v>1</v>
      </c>
      <c r="F2125" s="57">
        <v>2.7578219406209956</v>
      </c>
      <c r="G2125" s="2">
        <v>24.642635189383192</v>
      </c>
    </row>
    <row r="2126" spans="4:7" customFormat="1" x14ac:dyDescent="0.35">
      <c r="D2126" s="51">
        <v>43701</v>
      </c>
      <c r="E2126" s="57">
        <v>1</v>
      </c>
      <c r="F2126" s="57">
        <v>2.7578219406209956</v>
      </c>
      <c r="G2126" s="2">
        <v>24.642635189383192</v>
      </c>
    </row>
    <row r="2127" spans="4:7" customFormat="1" x14ac:dyDescent="0.35">
      <c r="D2127" s="51">
        <v>43700</v>
      </c>
      <c r="E2127" s="57">
        <v>0.94820899999999997</v>
      </c>
      <c r="F2127" s="57">
        <v>2.6149915844942937</v>
      </c>
      <c r="G2127" s="2">
        <v>25.988611360346919</v>
      </c>
    </row>
    <row r="2128" spans="4:7" customFormat="1" x14ac:dyDescent="0.35">
      <c r="D2128" s="51">
        <v>43699</v>
      </c>
      <c r="E2128" s="57">
        <v>0.99915399999999999</v>
      </c>
      <c r="F2128" s="57">
        <v>2.6127793016138114</v>
      </c>
      <c r="G2128" s="2">
        <v>26.01061634177206</v>
      </c>
    </row>
    <row r="2129" spans="4:7" customFormat="1" x14ac:dyDescent="0.35">
      <c r="D2129" s="51">
        <v>43698</v>
      </c>
      <c r="E2129" s="57">
        <v>1.039941</v>
      </c>
      <c r="F2129" s="57">
        <v>2.7171363196995686</v>
      </c>
      <c r="G2129" s="2">
        <v>25.011626949771248</v>
      </c>
    </row>
    <row r="2130" spans="4:7" customFormat="1" x14ac:dyDescent="0.35">
      <c r="D2130" s="51">
        <v>43697</v>
      </c>
      <c r="E2130" s="57">
        <v>1.029639</v>
      </c>
      <c r="F2130" s="57">
        <v>2.797669523079144</v>
      </c>
      <c r="G2130" s="2">
        <v>24.291646829394814</v>
      </c>
    </row>
    <row r="2131" spans="4:7" customFormat="1" x14ac:dyDescent="0.35">
      <c r="D2131" s="51">
        <v>43696</v>
      </c>
      <c r="E2131" s="57">
        <v>0.97707299999999997</v>
      </c>
      <c r="F2131" s="57">
        <v>2.7335273539235083</v>
      </c>
      <c r="G2131" s="2">
        <v>24.861649876104259</v>
      </c>
    </row>
    <row r="2132" spans="4:7" customFormat="1" x14ac:dyDescent="0.35">
      <c r="D2132" s="51">
        <v>43695</v>
      </c>
      <c r="E2132" s="57">
        <v>1</v>
      </c>
      <c r="F2132" s="57">
        <v>2.7335273539235083</v>
      </c>
      <c r="G2132" s="2">
        <v>24.861649876104259</v>
      </c>
    </row>
    <row r="2133" spans="4:7" customFormat="1" x14ac:dyDescent="0.35">
      <c r="D2133" s="51">
        <v>43694</v>
      </c>
      <c r="E2133" s="57">
        <v>1</v>
      </c>
      <c r="F2133" s="57">
        <v>2.7335273539235083</v>
      </c>
      <c r="G2133" s="2">
        <v>24.861649876104259</v>
      </c>
    </row>
    <row r="2134" spans="4:7" customFormat="1" x14ac:dyDescent="0.35">
      <c r="D2134" s="51">
        <v>43693</v>
      </c>
      <c r="E2134" s="57">
        <v>1.0209429999999999</v>
      </c>
      <c r="F2134" s="57">
        <v>2.790775617296728</v>
      </c>
      <c r="G2134" s="2">
        <v>24.351653203072321</v>
      </c>
    </row>
    <row r="2135" spans="4:7" customFormat="1" x14ac:dyDescent="0.35">
      <c r="D2135" s="51">
        <v>43692</v>
      </c>
      <c r="E2135" s="57">
        <v>0.97256299999999996</v>
      </c>
      <c r="F2135" s="57">
        <v>2.7142051066849575</v>
      </c>
      <c r="G2135" s="2">
        <v>25.038638322733149</v>
      </c>
    </row>
    <row r="2136" spans="4:7" customFormat="1" x14ac:dyDescent="0.35">
      <c r="D2136" s="51">
        <v>43691</v>
      </c>
      <c r="E2136" s="57">
        <v>0.94615300000000002</v>
      </c>
      <c r="F2136" s="57">
        <v>2.5680533043052929</v>
      </c>
      <c r="G2136" s="2">
        <v>26.463625145968091</v>
      </c>
    </row>
    <row r="2137" spans="4:7" customFormat="1" x14ac:dyDescent="0.35">
      <c r="D2137" s="51">
        <v>43690</v>
      </c>
      <c r="E2137" s="57">
        <v>1.0374779999999999</v>
      </c>
      <c r="F2137" s="57">
        <v>2.6642988060440462</v>
      </c>
      <c r="G2137" s="2">
        <v>25.507649459524053</v>
      </c>
    </row>
    <row r="2138" spans="4:7" customFormat="1" x14ac:dyDescent="0.35">
      <c r="D2138" s="51">
        <v>43689</v>
      </c>
      <c r="E2138" s="57">
        <v>0.93800099999999997</v>
      </c>
      <c r="F2138" s="57">
        <v>2.4991149443681215</v>
      </c>
      <c r="G2138" s="2">
        <v>27.193627149143818</v>
      </c>
    </row>
    <row r="2139" spans="4:7" customFormat="1" x14ac:dyDescent="0.35">
      <c r="D2139" s="51">
        <v>43688</v>
      </c>
      <c r="E2139" s="57">
        <v>1</v>
      </c>
      <c r="F2139" s="57">
        <v>2.4991149443681215</v>
      </c>
      <c r="G2139" s="2">
        <v>27.193627149143818</v>
      </c>
    </row>
    <row r="2140" spans="4:7" customFormat="1" x14ac:dyDescent="0.35">
      <c r="D2140" s="51">
        <v>43687</v>
      </c>
      <c r="E2140" s="57">
        <v>1</v>
      </c>
      <c r="F2140" s="57">
        <v>2.4991149443681215</v>
      </c>
      <c r="G2140" s="2">
        <v>27.193627149143818</v>
      </c>
    </row>
    <row r="2141" spans="4:7" customFormat="1" x14ac:dyDescent="0.35">
      <c r="D2141" s="51">
        <v>43686</v>
      </c>
      <c r="E2141" s="57">
        <v>0.99367799999999995</v>
      </c>
      <c r="F2141" s="57">
        <v>2.4833155396898263</v>
      </c>
      <c r="G2141" s="2">
        <v>27.366639041162045</v>
      </c>
    </row>
    <row r="2142" spans="4:7" customFormat="1" x14ac:dyDescent="0.35">
      <c r="D2142" s="51">
        <v>43685</v>
      </c>
      <c r="E2142" s="57">
        <v>1.063912</v>
      </c>
      <c r="F2142" s="57">
        <v>2.6420292024624823</v>
      </c>
      <c r="G2142" s="2">
        <v>25.722652852079914</v>
      </c>
    </row>
    <row r="2143" spans="4:7" customFormat="1" x14ac:dyDescent="0.35">
      <c r="D2143" s="51">
        <v>43684</v>
      </c>
      <c r="E2143" s="57">
        <v>1.0212810000000001</v>
      </c>
      <c r="F2143" s="57">
        <v>2.6982542259200866</v>
      </c>
      <c r="G2143" s="2">
        <v>25.186655633542497</v>
      </c>
    </row>
    <row r="2144" spans="4:7" customFormat="1" x14ac:dyDescent="0.35">
      <c r="D2144" s="51">
        <v>43683</v>
      </c>
      <c r="E2144" s="57">
        <v>1.008367</v>
      </c>
      <c r="F2144" s="57">
        <v>2.7208305190283602</v>
      </c>
      <c r="G2144" s="2">
        <v>24.977667489656536</v>
      </c>
    </row>
    <row r="2145" spans="4:7" customFormat="1" x14ac:dyDescent="0.35">
      <c r="D2145" s="51">
        <v>43682</v>
      </c>
      <c r="E2145" s="57">
        <v>0.95708499999999996</v>
      </c>
      <c r="F2145" s="57">
        <v>2.6040660773042581</v>
      </c>
      <c r="G2145" s="2">
        <v>26.097648055978869</v>
      </c>
    </row>
    <row r="2146" spans="4:7" customFormat="1" x14ac:dyDescent="0.35">
      <c r="D2146" s="51">
        <v>43681</v>
      </c>
      <c r="E2146" s="57">
        <v>1</v>
      </c>
      <c r="F2146" s="57">
        <v>2.6040660773042581</v>
      </c>
      <c r="G2146" s="2">
        <v>26.097648055978869</v>
      </c>
    </row>
    <row r="2147" spans="4:7" customFormat="1" x14ac:dyDescent="0.35">
      <c r="D2147" s="51">
        <v>43680</v>
      </c>
      <c r="E2147" s="57">
        <v>1</v>
      </c>
      <c r="F2147" s="57">
        <v>2.6040660773042581</v>
      </c>
      <c r="G2147" s="2">
        <v>26.097648055978869</v>
      </c>
    </row>
    <row r="2148" spans="4:7" customFormat="1" x14ac:dyDescent="0.35">
      <c r="D2148" s="51">
        <v>43679</v>
      </c>
      <c r="E2148" s="57">
        <v>0.98616999999999999</v>
      </c>
      <c r="F2148" s="57">
        <v>2.56805184345514</v>
      </c>
      <c r="G2148" s="2">
        <v>26.463640199944098</v>
      </c>
    </row>
    <row r="2149" spans="4:7" customFormat="1" x14ac:dyDescent="0.35">
      <c r="D2149" s="51">
        <v>43678</v>
      </c>
      <c r="E2149" s="57">
        <v>1.0050509999999999</v>
      </c>
      <c r="F2149" s="57">
        <v>2.5810230733164317</v>
      </c>
      <c r="G2149" s="2">
        <v>26.330644116511603</v>
      </c>
    </row>
    <row r="2150" spans="4:7" customFormat="1" x14ac:dyDescent="0.35">
      <c r="D2150" s="51">
        <v>43677</v>
      </c>
      <c r="E2150" s="57">
        <v>0.99313499999999999</v>
      </c>
      <c r="F2150" s="57">
        <v>2.5633043499181145</v>
      </c>
      <c r="G2150" s="2">
        <v>26.512653482670132</v>
      </c>
    </row>
    <row r="2151" spans="4:7" customFormat="1" x14ac:dyDescent="0.35">
      <c r="D2151" s="51">
        <v>43676</v>
      </c>
      <c r="E2151" s="57">
        <v>1.018321</v>
      </c>
      <c r="F2151" s="57">
        <v>2.6102666489129644</v>
      </c>
      <c r="G2151" s="2">
        <v>26.03565426095517</v>
      </c>
    </row>
    <row r="2152" spans="4:7" customFormat="1" x14ac:dyDescent="0.35">
      <c r="D2152" s="51">
        <v>43675</v>
      </c>
      <c r="E2152" s="57">
        <v>0.93469800000000003</v>
      </c>
      <c r="F2152" s="57">
        <v>2.4398110162056503</v>
      </c>
      <c r="G2152" s="2">
        <v>27.854616422582659</v>
      </c>
    </row>
    <row r="2153" spans="4:7" customFormat="1" x14ac:dyDescent="0.35">
      <c r="D2153" s="51">
        <v>43674</v>
      </c>
      <c r="E2153" s="57">
        <v>1</v>
      </c>
      <c r="F2153" s="57">
        <v>2.4398110162056503</v>
      </c>
      <c r="G2153" s="2">
        <v>27.854616422582659</v>
      </c>
    </row>
    <row r="2154" spans="4:7" customFormat="1" x14ac:dyDescent="0.35">
      <c r="D2154" s="51">
        <v>43673</v>
      </c>
      <c r="E2154" s="57">
        <v>1</v>
      </c>
      <c r="F2154" s="57">
        <v>2.4398110162056503</v>
      </c>
      <c r="G2154" s="2">
        <v>27.854616422582659</v>
      </c>
    </row>
    <row r="2155" spans="4:7" customFormat="1" x14ac:dyDescent="0.35">
      <c r="D2155" s="51">
        <v>43672</v>
      </c>
      <c r="E2155" s="57">
        <v>1.0914109999999999</v>
      </c>
      <c r="F2155" s="57">
        <v>2.6628365810080248</v>
      </c>
      <c r="G2155" s="2">
        <v>25.521656298665363</v>
      </c>
    </row>
    <row r="2156" spans="4:7" customFormat="1" x14ac:dyDescent="0.35">
      <c r="D2156" s="51">
        <v>43671</v>
      </c>
      <c r="E2156" s="57">
        <v>1.0275380000000001</v>
      </c>
      <c r="F2156" s="57">
        <v>2.7361657747758241</v>
      </c>
      <c r="G2156" s="2">
        <v>24.837676366874373</v>
      </c>
    </row>
    <row r="2157" spans="4:7" customFormat="1" x14ac:dyDescent="0.35">
      <c r="D2157" s="51">
        <v>43670</v>
      </c>
      <c r="E2157" s="57">
        <v>1.0120199999999999</v>
      </c>
      <c r="F2157" s="57">
        <v>2.7690544873886291</v>
      </c>
      <c r="G2157" s="2">
        <v>24.542673432219104</v>
      </c>
    </row>
    <row r="2158" spans="4:7" customFormat="1" x14ac:dyDescent="0.35">
      <c r="D2158" s="51">
        <v>43669</v>
      </c>
      <c r="E2158" s="57">
        <v>0.98554399999999998</v>
      </c>
      <c r="F2158" s="57">
        <v>2.729025035718939</v>
      </c>
      <c r="G2158" s="2">
        <v>24.90266637737037</v>
      </c>
    </row>
    <row r="2159" spans="4:7" customFormat="1" x14ac:dyDescent="0.35">
      <c r="D2159" s="51">
        <v>43668</v>
      </c>
      <c r="E2159" s="57">
        <v>1.058306</v>
      </c>
      <c r="F2159" s="57">
        <v>2.8881435694515671</v>
      </c>
      <c r="G2159" s="2">
        <v>23.53068618846569</v>
      </c>
    </row>
    <row r="2160" spans="4:7" customFormat="1" x14ac:dyDescent="0.35">
      <c r="D2160" s="51">
        <v>43667</v>
      </c>
      <c r="E2160" s="57">
        <v>1</v>
      </c>
      <c r="F2160" s="57">
        <v>2.8881435694515671</v>
      </c>
      <c r="G2160" s="2">
        <v>23.53068618846569</v>
      </c>
    </row>
    <row r="2161" spans="4:7" customFormat="1" x14ac:dyDescent="0.35">
      <c r="D2161" s="51">
        <v>43666</v>
      </c>
      <c r="E2161" s="57">
        <v>1</v>
      </c>
      <c r="F2161" s="57">
        <v>2.8881435694515671</v>
      </c>
      <c r="G2161" s="2">
        <v>23.53068618846569</v>
      </c>
    </row>
    <row r="2162" spans="4:7" customFormat="1" x14ac:dyDescent="0.35">
      <c r="D2162" s="51">
        <v>43665</v>
      </c>
      <c r="E2162" s="57">
        <v>0.97412699999999997</v>
      </c>
      <c r="F2162" s="57">
        <v>2.8134186308791467</v>
      </c>
      <c r="G2162" s="2">
        <v>24.155665727842152</v>
      </c>
    </row>
    <row r="2163" spans="4:7" customFormat="1" x14ac:dyDescent="0.35">
      <c r="D2163" s="51">
        <v>43664</v>
      </c>
      <c r="E2163" s="57">
        <v>0.98926999999999998</v>
      </c>
      <c r="F2163" s="57">
        <v>2.7832306489698135</v>
      </c>
      <c r="G2163" s="2">
        <v>24.417667297949144</v>
      </c>
    </row>
    <row r="2164" spans="4:7" customFormat="1" x14ac:dyDescent="0.35">
      <c r="D2164" s="51">
        <v>43663</v>
      </c>
      <c r="E2164" s="57">
        <v>1.0026280000000001</v>
      </c>
      <c r="F2164" s="57">
        <v>2.7905449791153063</v>
      </c>
      <c r="G2164" s="2">
        <v>24.353665864058399</v>
      </c>
    </row>
    <row r="2165" spans="4:7" customFormat="1" x14ac:dyDescent="0.35">
      <c r="D2165" s="51">
        <v>43662</v>
      </c>
      <c r="E2165" s="57">
        <v>0.98138300000000001</v>
      </c>
      <c r="F2165" s="57">
        <v>2.7385934032391166</v>
      </c>
      <c r="G2165" s="2">
        <v>24.815658987427334</v>
      </c>
    </row>
    <row r="2166" spans="4:7" customFormat="1" x14ac:dyDescent="0.35">
      <c r="D2166" s="51">
        <v>43661</v>
      </c>
      <c r="E2166" s="57">
        <v>1.0168410000000001</v>
      </c>
      <c r="F2166" s="57">
        <v>2.7847140547430667</v>
      </c>
      <c r="G2166" s="2">
        <v>24.404660106572546</v>
      </c>
    </row>
    <row r="2167" spans="4:7" customFormat="1" x14ac:dyDescent="0.35">
      <c r="D2167" s="51">
        <v>43660</v>
      </c>
      <c r="E2167" s="57">
        <v>1</v>
      </c>
      <c r="F2167" s="57">
        <v>2.7847140547430667</v>
      </c>
      <c r="G2167" s="2">
        <v>24.404660106572546</v>
      </c>
    </row>
    <row r="2168" spans="4:7" customFormat="1" x14ac:dyDescent="0.35">
      <c r="D2168" s="51">
        <v>43659</v>
      </c>
      <c r="E2168" s="57">
        <v>1</v>
      </c>
      <c r="F2168" s="57">
        <v>2.7847140547430667</v>
      </c>
      <c r="G2168" s="2">
        <v>24.404660106572546</v>
      </c>
    </row>
    <row r="2169" spans="4:7" customFormat="1" x14ac:dyDescent="0.35">
      <c r="D2169" s="51">
        <v>43658</v>
      </c>
      <c r="E2169" s="57">
        <v>1.013539</v>
      </c>
      <c r="F2169" s="57">
        <v>2.822416298330233</v>
      </c>
      <c r="G2169" s="2">
        <v>24.078659140469725</v>
      </c>
    </row>
    <row r="2170" spans="4:7" customFormat="1" x14ac:dyDescent="0.35">
      <c r="D2170" s="51">
        <v>43657</v>
      </c>
      <c r="E2170" s="57">
        <v>1.0056799999999999</v>
      </c>
      <c r="F2170" s="57">
        <v>2.8384476229047486</v>
      </c>
      <c r="G2170" s="2">
        <v>23.942664804380843</v>
      </c>
    </row>
    <row r="2171" spans="4:7" customFormat="1" x14ac:dyDescent="0.35">
      <c r="D2171" s="51">
        <v>43656</v>
      </c>
      <c r="E2171" s="57">
        <v>0.99278500000000003</v>
      </c>
      <c r="F2171" s="57">
        <v>2.817968223305491</v>
      </c>
      <c r="G2171" s="2">
        <v>24.116666553564812</v>
      </c>
    </row>
    <row r="2172" spans="4:7" customFormat="1" x14ac:dyDescent="0.35">
      <c r="D2172" s="51">
        <v>43655</v>
      </c>
      <c r="E2172" s="57">
        <v>1.0062169999999999</v>
      </c>
      <c r="F2172" s="57">
        <v>2.8354875317497812</v>
      </c>
      <c r="G2172" s="2">
        <v>23.967659613746154</v>
      </c>
    </row>
    <row r="2173" spans="4:7" customFormat="1" x14ac:dyDescent="0.35">
      <c r="D2173" s="51">
        <v>43654</v>
      </c>
      <c r="E2173" s="57">
        <v>1.008033</v>
      </c>
      <c r="F2173" s="57">
        <v>2.8582650030923271</v>
      </c>
      <c r="G2173" s="2">
        <v>23.776661690387272</v>
      </c>
    </row>
    <row r="2174" spans="4:7" customFormat="1" x14ac:dyDescent="0.35">
      <c r="D2174" s="51">
        <v>43653</v>
      </c>
      <c r="E2174" s="57">
        <v>1</v>
      </c>
      <c r="F2174" s="57">
        <v>2.8582650030923271</v>
      </c>
      <c r="G2174" s="2">
        <v>23.776661690387272</v>
      </c>
    </row>
    <row r="2175" spans="4:7" customFormat="1" x14ac:dyDescent="0.35">
      <c r="D2175" s="51">
        <v>43652</v>
      </c>
      <c r="E2175" s="57">
        <v>1</v>
      </c>
      <c r="F2175" s="57">
        <v>2.8582650030923271</v>
      </c>
      <c r="G2175" s="2">
        <v>23.776661690387272</v>
      </c>
    </row>
    <row r="2176" spans="4:7" customFormat="1" x14ac:dyDescent="0.35">
      <c r="D2176" s="51">
        <v>43651</v>
      </c>
      <c r="E2176" s="57">
        <v>1.01685</v>
      </c>
      <c r="F2176" s="57">
        <v>2.9064267683944327</v>
      </c>
      <c r="G2176" s="2">
        <v>23.3826638052685</v>
      </c>
    </row>
    <row r="2177" spans="4:7" customFormat="1" x14ac:dyDescent="0.35">
      <c r="D2177" s="51">
        <v>43650</v>
      </c>
      <c r="E2177" s="57">
        <v>1</v>
      </c>
      <c r="F2177" s="57">
        <v>2.9064267683944327</v>
      </c>
      <c r="G2177" s="2">
        <v>23.3826638052685</v>
      </c>
    </row>
    <row r="2178" spans="4:7" customFormat="1" x14ac:dyDescent="0.35">
      <c r="D2178" s="51">
        <v>43649</v>
      </c>
      <c r="E2178" s="57">
        <v>0.99837799999999999</v>
      </c>
      <c r="F2178" s="57">
        <v>2.9017125441760969</v>
      </c>
      <c r="G2178" s="2">
        <v>23.420652102979531</v>
      </c>
    </row>
    <row r="2179" spans="4:7" customFormat="1" x14ac:dyDescent="0.35">
      <c r="D2179" s="51">
        <v>43648</v>
      </c>
      <c r="E2179" s="57">
        <v>1.0018819999999999</v>
      </c>
      <c r="F2179" s="57">
        <v>2.9071735671842363</v>
      </c>
      <c r="G2179" s="2">
        <v>23.376657234065021</v>
      </c>
    </row>
    <row r="2180" spans="4:7" customFormat="1" x14ac:dyDescent="0.35">
      <c r="D2180" s="51">
        <v>43647</v>
      </c>
      <c r="E2180" s="57">
        <v>1.026297</v>
      </c>
      <c r="F2180" s="57">
        <v>2.9836235104804802</v>
      </c>
      <c r="G2180" s="2">
        <v>22.777672773149508</v>
      </c>
    </row>
    <row r="2181" spans="4:7" customFormat="1" x14ac:dyDescent="0.35">
      <c r="D2181" s="51">
        <v>43646</v>
      </c>
      <c r="E2181" s="57">
        <v>1</v>
      </c>
      <c r="F2181" s="57">
        <v>2.9836235104804802</v>
      </c>
      <c r="G2181" s="2">
        <v>22.777672773149508</v>
      </c>
    </row>
    <row r="2182" spans="4:7" customFormat="1" x14ac:dyDescent="0.35">
      <c r="D2182" s="51">
        <v>43645</v>
      </c>
      <c r="E2182" s="57">
        <v>1</v>
      </c>
      <c r="F2182" s="57">
        <v>2.9836235104804802</v>
      </c>
      <c r="G2182" s="2">
        <v>22.777672773149508</v>
      </c>
    </row>
    <row r="2183" spans="4:7" customFormat="1" x14ac:dyDescent="0.35">
      <c r="D2183" s="51">
        <v>43644</v>
      </c>
      <c r="E2183" s="57">
        <v>0.98414299999999999</v>
      </c>
      <c r="F2183" s="57">
        <v>2.9363121924747912</v>
      </c>
      <c r="G2183" s="2">
        <v>23.144677931103011</v>
      </c>
    </row>
    <row r="2184" spans="4:7" customFormat="1" x14ac:dyDescent="0.35">
      <c r="D2184" s="51">
        <v>43643</v>
      </c>
      <c r="E2184" s="57">
        <v>1.0243420000000001</v>
      </c>
      <c r="F2184" s="57">
        <v>3.007787903864013</v>
      </c>
      <c r="G2184" s="2">
        <v>22.594678272591583</v>
      </c>
    </row>
    <row r="2185" spans="4:7" customFormat="1" x14ac:dyDescent="0.35">
      <c r="D2185" s="51">
        <v>43642</v>
      </c>
      <c r="E2185" s="57">
        <v>0.99590100000000004</v>
      </c>
      <c r="F2185" s="57">
        <v>2.9954589812460743</v>
      </c>
      <c r="G2185" s="2">
        <v>22.687675052632322</v>
      </c>
    </row>
    <row r="2186" spans="4:7" customFormat="1" x14ac:dyDescent="0.35">
      <c r="D2186" s="51">
        <v>43641</v>
      </c>
      <c r="E2186" s="57">
        <v>0.96837300000000004</v>
      </c>
      <c r="F2186" s="57">
        <v>2.9007216000462051</v>
      </c>
      <c r="G2186" s="2">
        <v>23.428653063057645</v>
      </c>
    </row>
    <row r="2187" spans="4:7" customFormat="1" x14ac:dyDescent="0.35">
      <c r="D2187" s="51">
        <v>43640</v>
      </c>
      <c r="E2187" s="57">
        <v>0.97078799999999998</v>
      </c>
      <c r="F2187" s="57">
        <v>2.8159857206656551</v>
      </c>
      <c r="G2187" s="2">
        <v>24.133645103830752</v>
      </c>
    </row>
    <row r="2188" spans="4:7" customFormat="1" x14ac:dyDescent="0.35">
      <c r="D2188" s="51">
        <v>43639</v>
      </c>
      <c r="E2188" s="57">
        <v>1</v>
      </c>
      <c r="F2188" s="57">
        <v>2.8159857206656551</v>
      </c>
      <c r="G2188" s="2">
        <v>24.133645103830752</v>
      </c>
    </row>
    <row r="2189" spans="4:7" customFormat="1" x14ac:dyDescent="0.35">
      <c r="D2189" s="51">
        <v>43638</v>
      </c>
      <c r="E2189" s="57">
        <v>1</v>
      </c>
      <c r="F2189" s="57">
        <v>2.8159857206656551</v>
      </c>
      <c r="G2189" s="2">
        <v>24.133645103830752</v>
      </c>
    </row>
    <row r="2190" spans="4:7" customFormat="1" x14ac:dyDescent="0.35">
      <c r="D2190" s="51">
        <v>43637</v>
      </c>
      <c r="E2190" s="57">
        <v>0.96116899999999994</v>
      </c>
      <c r="F2190" s="57">
        <v>2.7066381791464869</v>
      </c>
      <c r="G2190" s="2">
        <v>25.108638651299358</v>
      </c>
    </row>
    <row r="2191" spans="4:7" customFormat="1" x14ac:dyDescent="0.35">
      <c r="D2191" s="51">
        <v>43636</v>
      </c>
      <c r="E2191" s="57">
        <v>0.99916400000000005</v>
      </c>
      <c r="F2191" s="57">
        <v>2.7043754296287204</v>
      </c>
      <c r="G2191" s="2">
        <v>25.129647036221638</v>
      </c>
    </row>
    <row r="2192" spans="4:7" customFormat="1" x14ac:dyDescent="0.35">
      <c r="D2192" s="51">
        <v>43635</v>
      </c>
      <c r="E2192" s="57">
        <v>1.024961</v>
      </c>
      <c r="F2192" s="57">
        <v>2.771879344727683</v>
      </c>
      <c r="G2192" s="2">
        <v>24.517661682953435</v>
      </c>
    </row>
    <row r="2193" spans="4:7" customFormat="1" x14ac:dyDescent="0.35">
      <c r="D2193" s="51">
        <v>43634</v>
      </c>
      <c r="E2193" s="57">
        <v>0.98819100000000004</v>
      </c>
      <c r="F2193" s="57">
        <v>2.739146221545794</v>
      </c>
      <c r="G2193" s="2">
        <v>24.810650656556714</v>
      </c>
    </row>
    <row r="2194" spans="4:7" customFormat="1" x14ac:dyDescent="0.35">
      <c r="D2194" s="51">
        <v>43633</v>
      </c>
      <c r="E2194" s="57">
        <v>1.012942</v>
      </c>
      <c r="F2194" s="57">
        <v>2.7745962519450398</v>
      </c>
      <c r="G2194" s="2">
        <v>24.493653789216669</v>
      </c>
    </row>
    <row r="2195" spans="4:7" customFormat="1" x14ac:dyDescent="0.35">
      <c r="D2195" s="51">
        <v>43632</v>
      </c>
      <c r="E2195" s="57">
        <v>1</v>
      </c>
      <c r="F2195" s="57">
        <v>2.7745962519450398</v>
      </c>
      <c r="G2195" s="2">
        <v>24.493653789216669</v>
      </c>
    </row>
    <row r="2196" spans="4:7" customFormat="1" x14ac:dyDescent="0.35">
      <c r="D2196" s="51">
        <v>43631</v>
      </c>
      <c r="E2196" s="57">
        <v>1</v>
      </c>
      <c r="F2196" s="57">
        <v>2.7745962519450398</v>
      </c>
      <c r="G2196" s="2">
        <v>24.493653789216669</v>
      </c>
    </row>
    <row r="2197" spans="4:7" customFormat="1" x14ac:dyDescent="0.35">
      <c r="D2197" s="51">
        <v>43630</v>
      </c>
      <c r="E2197" s="57">
        <v>0.99214199999999997</v>
      </c>
      <c r="F2197" s="57">
        <v>2.7527934745972558</v>
      </c>
      <c r="G2197" s="2">
        <v>24.687649337712415</v>
      </c>
    </row>
    <row r="2198" spans="4:7" customFormat="1" x14ac:dyDescent="0.35">
      <c r="D2198" s="51">
        <v>43629</v>
      </c>
      <c r="E2198" s="57">
        <v>1.019323</v>
      </c>
      <c r="F2198" s="57">
        <v>2.8059857029068986</v>
      </c>
      <c r="G2198" s="2">
        <v>24.219652983119591</v>
      </c>
    </row>
    <row r="2199" spans="4:7" customFormat="1" x14ac:dyDescent="0.35">
      <c r="D2199" s="51">
        <v>43628</v>
      </c>
      <c r="E2199" s="57">
        <v>0.97128599999999998</v>
      </c>
      <c r="F2199" s="57">
        <v>2.7254146294336299</v>
      </c>
      <c r="G2199" s="2">
        <v>24.935655392046826</v>
      </c>
    </row>
    <row r="2200" spans="4:7" customFormat="1" x14ac:dyDescent="0.35">
      <c r="D2200" s="51">
        <v>43627</v>
      </c>
      <c r="E2200" s="57">
        <v>0.997919</v>
      </c>
      <c r="F2200" s="57">
        <v>2.7197430415897785</v>
      </c>
      <c r="G2200" s="2">
        <v>24.987654701480608</v>
      </c>
    </row>
    <row r="2201" spans="4:7" customFormat="1" x14ac:dyDescent="0.35">
      <c r="D2201" s="51">
        <v>43626</v>
      </c>
      <c r="E2201" s="57">
        <v>1.019752</v>
      </c>
      <c r="F2201" s="57">
        <v>2.7734634061472598</v>
      </c>
      <c r="G2201" s="2">
        <v>24.503658439974235</v>
      </c>
    </row>
    <row r="2202" spans="4:7" customFormat="1" x14ac:dyDescent="0.35">
      <c r="D2202" s="51">
        <v>43625</v>
      </c>
      <c r="E2202" s="57">
        <v>1</v>
      </c>
      <c r="F2202" s="57">
        <v>2.7734634061472598</v>
      </c>
      <c r="G2202" s="2">
        <v>24.503658439974235</v>
      </c>
    </row>
    <row r="2203" spans="4:7" customFormat="1" x14ac:dyDescent="0.35">
      <c r="D2203" s="51">
        <v>43624</v>
      </c>
      <c r="E2203" s="57">
        <v>1</v>
      </c>
      <c r="F2203" s="57">
        <v>2.7734634061472598</v>
      </c>
      <c r="G2203" s="2">
        <v>24.503658439974235</v>
      </c>
    </row>
    <row r="2204" spans="4:7" customFormat="1" x14ac:dyDescent="0.35">
      <c r="D2204" s="51">
        <v>43623</v>
      </c>
      <c r="E2204" s="57">
        <v>1.032791</v>
      </c>
      <c r="F2204" s="57">
        <v>2.8644080446982345</v>
      </c>
      <c r="G2204" s="2">
        <v>23.72566999516285</v>
      </c>
    </row>
    <row r="2205" spans="4:7" customFormat="1" x14ac:dyDescent="0.35">
      <c r="D2205" s="51">
        <v>43622</v>
      </c>
      <c r="E2205" s="57">
        <v>1.021352</v>
      </c>
      <c r="F2205" s="57">
        <v>2.9255688852686315</v>
      </c>
      <c r="G2205" s="2">
        <v>23.229670079622743</v>
      </c>
    </row>
    <row r="2206" spans="4:7" customFormat="1" x14ac:dyDescent="0.35">
      <c r="D2206" s="51">
        <v>43621</v>
      </c>
      <c r="E2206" s="57">
        <v>1.042125</v>
      </c>
      <c r="F2206" s="57">
        <v>3.0488084745605724</v>
      </c>
      <c r="G2206" s="2">
        <v>22.290675379270958</v>
      </c>
    </row>
    <row r="2207" spans="4:7" customFormat="1" x14ac:dyDescent="0.35">
      <c r="D2207" s="51">
        <v>43620</v>
      </c>
      <c r="E2207" s="57">
        <v>1.129116</v>
      </c>
      <c r="F2207" s="57">
        <v>3.4424584295619352</v>
      </c>
      <c r="G2207" s="2">
        <v>19.741705351151658</v>
      </c>
    </row>
    <row r="2208" spans="4:7" customFormat="1" x14ac:dyDescent="0.35">
      <c r="D2208" s="51">
        <v>43619</v>
      </c>
      <c r="E2208" s="57">
        <v>0.993008</v>
      </c>
      <c r="F2208" s="57">
        <v>3.4183887602224381</v>
      </c>
      <c r="G2208" s="2">
        <v>19.880711284452552</v>
      </c>
    </row>
    <row r="2209" spans="4:7" customFormat="1" x14ac:dyDescent="0.35">
      <c r="D2209" s="51">
        <v>43618</v>
      </c>
      <c r="E2209" s="57">
        <v>1</v>
      </c>
      <c r="F2209" s="57">
        <v>3.4183887602224381</v>
      </c>
      <c r="G2209" s="2">
        <v>19.880711284452552</v>
      </c>
    </row>
    <row r="2210" spans="4:7" customFormat="1" x14ac:dyDescent="0.35">
      <c r="D2210" s="51">
        <v>43617</v>
      </c>
      <c r="E2210" s="57">
        <v>1</v>
      </c>
      <c r="F2210" s="57">
        <v>3.4183887602224381</v>
      </c>
      <c r="G2210" s="2">
        <v>19.880711284452552</v>
      </c>
    </row>
    <row r="2211" spans="4:7" customFormat="1" x14ac:dyDescent="0.35">
      <c r="D2211" s="51">
        <v>43616</v>
      </c>
      <c r="E2211" s="57">
        <v>0.98474399999999995</v>
      </c>
      <c r="F2211" s="57">
        <v>3.3662378212964845</v>
      </c>
      <c r="G2211" s="2">
        <v>20.188710247995978</v>
      </c>
    </row>
    <row r="2212" spans="4:7" customFormat="1" x14ac:dyDescent="0.35">
      <c r="D2212" s="51">
        <v>43615</v>
      </c>
      <c r="E2212" s="57">
        <v>1.002184</v>
      </c>
      <c r="F2212" s="57">
        <v>3.3735896846981959</v>
      </c>
      <c r="G2212" s="2">
        <v>20.144714192200215</v>
      </c>
    </row>
    <row r="2213" spans="4:7" customFormat="1" x14ac:dyDescent="0.35">
      <c r="D2213" s="51">
        <v>43614</v>
      </c>
      <c r="E2213" s="57">
        <v>0.99683299999999997</v>
      </c>
      <c r="F2213" s="57">
        <v>3.3629055261667564</v>
      </c>
      <c r="G2213" s="2">
        <v>20.208715193217134</v>
      </c>
    </row>
    <row r="2214" spans="4:7" customFormat="1" x14ac:dyDescent="0.35">
      <c r="D2214" s="51">
        <v>43613</v>
      </c>
      <c r="E2214" s="57">
        <v>1.031598</v>
      </c>
      <c r="F2214" s="57">
        <v>3.4691666149825737</v>
      </c>
      <c r="G2214" s="2">
        <v>19.589719244528521</v>
      </c>
    </row>
    <row r="2215" spans="4:7" customFormat="1" x14ac:dyDescent="0.35">
      <c r="D2215" s="51">
        <v>43612</v>
      </c>
      <c r="E2215" s="57">
        <v>1</v>
      </c>
      <c r="F2215" s="57">
        <v>3.4691666149825737</v>
      </c>
      <c r="G2215" s="2">
        <v>19.589719244528521</v>
      </c>
    </row>
    <row r="2216" spans="4:7" customFormat="1" x14ac:dyDescent="0.35">
      <c r="D2216" s="51">
        <v>43611</v>
      </c>
      <c r="E2216" s="57">
        <v>1</v>
      </c>
      <c r="F2216" s="57">
        <v>3.4691666149825737</v>
      </c>
      <c r="G2216" s="2">
        <v>19.589719244528521</v>
      </c>
    </row>
    <row r="2217" spans="4:7" customFormat="1" x14ac:dyDescent="0.35">
      <c r="D2217" s="51">
        <v>43610</v>
      </c>
      <c r="E2217" s="57">
        <v>1</v>
      </c>
      <c r="F2217" s="57">
        <v>3.4691666149825737</v>
      </c>
      <c r="G2217" s="2">
        <v>19.589719244528521</v>
      </c>
    </row>
    <row r="2218" spans="4:7" customFormat="1" x14ac:dyDescent="0.35">
      <c r="D2218" s="51">
        <v>43609</v>
      </c>
      <c r="E2218" s="57">
        <v>1.0031239999999999</v>
      </c>
      <c r="F2218" s="57">
        <v>3.4800042914877789</v>
      </c>
      <c r="G2218" s="2">
        <v>19.528711549647426</v>
      </c>
    </row>
    <row r="2219" spans="4:7" customFormat="1" x14ac:dyDescent="0.35">
      <c r="D2219" s="51">
        <v>43608</v>
      </c>
      <c r="E2219" s="57">
        <v>0.98185</v>
      </c>
      <c r="F2219" s="57">
        <v>3.4168422135972758</v>
      </c>
      <c r="G2219" s="2">
        <v>19.889709782194252</v>
      </c>
    </row>
    <row r="2220" spans="4:7" customFormat="1" x14ac:dyDescent="0.35">
      <c r="D2220" s="51">
        <v>43607</v>
      </c>
      <c r="E2220" s="57">
        <v>0.99934699999999999</v>
      </c>
      <c r="F2220" s="57">
        <v>3.4146110156317966</v>
      </c>
      <c r="G2220" s="2">
        <v>19.902706249375093</v>
      </c>
    </row>
    <row r="2221" spans="4:7" customFormat="1" x14ac:dyDescent="0.35">
      <c r="D2221" s="51">
        <v>43606</v>
      </c>
      <c r="E2221" s="57">
        <v>1.00434</v>
      </c>
      <c r="F2221" s="57">
        <v>3.4294304274396388</v>
      </c>
      <c r="G2221" s="2">
        <v>19.816701763720545</v>
      </c>
    </row>
    <row r="2222" spans="4:7" customFormat="1" x14ac:dyDescent="0.35">
      <c r="D2222" s="51">
        <v>43605</v>
      </c>
      <c r="E2222" s="57">
        <v>1.0007569999999999</v>
      </c>
      <c r="F2222" s="57">
        <v>3.43202650627321</v>
      </c>
      <c r="G2222" s="2">
        <v>19.801711867836595</v>
      </c>
    </row>
    <row r="2223" spans="4:7" customFormat="1" x14ac:dyDescent="0.35">
      <c r="D2223" s="51">
        <v>43604</v>
      </c>
      <c r="E2223" s="57">
        <v>1</v>
      </c>
      <c r="F2223" s="57">
        <v>3.43202650627321</v>
      </c>
      <c r="G2223" s="2">
        <v>19.801711867836595</v>
      </c>
    </row>
    <row r="2224" spans="4:7" customFormat="1" x14ac:dyDescent="0.35">
      <c r="D2224" s="51">
        <v>43603</v>
      </c>
      <c r="E2224" s="57">
        <v>1</v>
      </c>
      <c r="F2224" s="57">
        <v>3.43202650627321</v>
      </c>
      <c r="G2224" s="2">
        <v>19.801711867836595</v>
      </c>
    </row>
    <row r="2225" spans="4:7" customFormat="1" x14ac:dyDescent="0.35">
      <c r="D2225" s="51">
        <v>43602</v>
      </c>
      <c r="E2225" s="57">
        <v>0.98010299999999995</v>
      </c>
      <c r="F2225" s="57">
        <v>3.3637394748778919</v>
      </c>
      <c r="G2225" s="2">
        <v>20.203704985941883</v>
      </c>
    </row>
    <row r="2226" spans="4:7" customFormat="1" x14ac:dyDescent="0.35">
      <c r="D2226" s="51">
        <v>43601</v>
      </c>
      <c r="E2226" s="57">
        <v>1.0108060000000001</v>
      </c>
      <c r="F2226" s="57">
        <v>3.4000880436434229</v>
      </c>
      <c r="G2226" s="2">
        <v>19.98771770838507</v>
      </c>
    </row>
    <row r="2227" spans="4:7" customFormat="1" x14ac:dyDescent="0.35">
      <c r="D2227" s="51">
        <v>43600</v>
      </c>
      <c r="E2227" s="57">
        <v>1.078916</v>
      </c>
      <c r="F2227" s="57">
        <v>3.6684093916955871</v>
      </c>
      <c r="G2227" s="2">
        <v>18.52574038051625</v>
      </c>
    </row>
    <row r="2228" spans="4:7" customFormat="1" x14ac:dyDescent="0.35">
      <c r="D2228" s="51">
        <v>43599</v>
      </c>
      <c r="E2228" s="57">
        <v>1.0480879999999999</v>
      </c>
      <c r="F2228" s="57">
        <v>3.8448158625234443</v>
      </c>
      <c r="G2228" s="2">
        <v>17.675748964320029</v>
      </c>
    </row>
    <row r="2229" spans="4:7" customFormat="1" x14ac:dyDescent="0.35">
      <c r="D2229" s="51">
        <v>43598</v>
      </c>
      <c r="E2229" s="57">
        <v>0.96321699999999999</v>
      </c>
      <c r="F2229" s="57">
        <v>3.7033920006522445</v>
      </c>
      <c r="G2229" s="2">
        <v>18.35074439541664</v>
      </c>
    </row>
    <row r="2230" spans="4:7" customFormat="1" x14ac:dyDescent="0.35">
      <c r="D2230" s="51">
        <v>43597</v>
      </c>
      <c r="E2230" s="57">
        <v>1</v>
      </c>
      <c r="F2230" s="57">
        <v>3.7033920006522445</v>
      </c>
      <c r="G2230" s="2">
        <v>18.35074439541664</v>
      </c>
    </row>
    <row r="2231" spans="4:7" customFormat="1" x14ac:dyDescent="0.35">
      <c r="D2231" s="51">
        <v>43596</v>
      </c>
      <c r="E2231" s="57">
        <v>1</v>
      </c>
      <c r="F2231" s="57">
        <v>3.7033920006522445</v>
      </c>
      <c r="G2231" s="2">
        <v>18.35074439541664</v>
      </c>
    </row>
    <row r="2232" spans="4:7" customFormat="1" x14ac:dyDescent="0.35">
      <c r="D2232" s="51">
        <v>43595</v>
      </c>
      <c r="E2232" s="57">
        <v>0.96624900000000002</v>
      </c>
      <c r="F2232" s="57">
        <v>3.5783988172382308</v>
      </c>
      <c r="G2232" s="2">
        <v>18.991734423959702</v>
      </c>
    </row>
    <row r="2233" spans="4:7" customFormat="1" x14ac:dyDescent="0.35">
      <c r="D2233" s="51">
        <v>43594</v>
      </c>
      <c r="E2233" s="57">
        <v>0.85507200000000005</v>
      </c>
      <c r="F2233" s="57">
        <v>3.0597886334535289</v>
      </c>
      <c r="G2233" s="2">
        <v>22.210684508391925</v>
      </c>
    </row>
    <row r="2234" spans="4:7" customFormat="1" x14ac:dyDescent="0.35">
      <c r="D2234" s="51">
        <v>43593</v>
      </c>
      <c r="E2234" s="57">
        <v>1.020492</v>
      </c>
      <c r="F2234" s="57">
        <v>3.1224898221302584</v>
      </c>
      <c r="G2234" s="2">
        <v>21.764682631899053</v>
      </c>
    </row>
    <row r="2235" spans="4:7" customFormat="1" x14ac:dyDescent="0.35">
      <c r="D2235" s="51">
        <v>43592</v>
      </c>
      <c r="E2235" s="57">
        <v>0.96480299999999997</v>
      </c>
      <c r="F2235" s="57">
        <v>3.0125875478607398</v>
      </c>
      <c r="G2235" s="2">
        <v>22.558680509802571</v>
      </c>
    </row>
    <row r="2236" spans="4:7" customFormat="1" x14ac:dyDescent="0.35">
      <c r="D2236" s="51">
        <v>43591</v>
      </c>
      <c r="E2236" s="57">
        <v>0.97253800000000001</v>
      </c>
      <c r="F2236" s="57">
        <v>2.929855868621388</v>
      </c>
      <c r="G2236" s="2">
        <v>23.195680281698579</v>
      </c>
    </row>
    <row r="2237" spans="4:7" customFormat="1" x14ac:dyDescent="0.35">
      <c r="D2237" s="51">
        <v>43590</v>
      </c>
      <c r="E2237" s="57">
        <v>1</v>
      </c>
      <c r="F2237" s="57">
        <v>2.929855868621388</v>
      </c>
      <c r="G2237" s="2">
        <v>23.195680281698579</v>
      </c>
    </row>
    <row r="2238" spans="4:7" customFormat="1" x14ac:dyDescent="0.35">
      <c r="D2238" s="51">
        <v>43589</v>
      </c>
      <c r="E2238" s="57">
        <v>1</v>
      </c>
      <c r="F2238" s="57">
        <v>2.929855868621388</v>
      </c>
      <c r="G2238" s="2">
        <v>23.195680281698579</v>
      </c>
    </row>
    <row r="2239" spans="4:7" customFormat="1" x14ac:dyDescent="0.35">
      <c r="D2239" s="51">
        <v>43588</v>
      </c>
      <c r="E2239" s="57">
        <v>1.0302009999999999</v>
      </c>
      <c r="F2239" s="57">
        <v>3.0183404457096223</v>
      </c>
      <c r="G2239" s="2">
        <v>22.515684106012888</v>
      </c>
    </row>
    <row r="2240" spans="4:7" customFormat="1" x14ac:dyDescent="0.35">
      <c r="D2240" s="51">
        <v>43587</v>
      </c>
      <c r="E2240" s="57">
        <v>1.0178100000000001</v>
      </c>
      <c r="F2240" s="57">
        <v>3.0720970890477108</v>
      </c>
      <c r="G2240" s="2">
        <v>22.121696687999613</v>
      </c>
    </row>
    <row r="2241" spans="4:7" customFormat="1" x14ac:dyDescent="0.35">
      <c r="D2241" s="51">
        <v>43586</v>
      </c>
      <c r="E2241" s="57">
        <v>0.99882599999999999</v>
      </c>
      <c r="F2241" s="57">
        <v>3.0684904470651686</v>
      </c>
      <c r="G2241" s="2">
        <v>22.147698085552051</v>
      </c>
    </row>
    <row r="2242" spans="4:7" customFormat="1" x14ac:dyDescent="0.35">
      <c r="D2242" s="51">
        <v>43585</v>
      </c>
      <c r="E2242" s="57">
        <v>0.98047700000000004</v>
      </c>
      <c r="F2242" s="57">
        <v>3.0085843080671153</v>
      </c>
      <c r="G2242" s="2">
        <v>22.588697221405553</v>
      </c>
    </row>
    <row r="2243" spans="4:7" customFormat="1" x14ac:dyDescent="0.35">
      <c r="D2243" s="51">
        <v>43584</v>
      </c>
      <c r="E2243" s="57">
        <v>1.04948</v>
      </c>
      <c r="F2243" s="57">
        <v>3.157449059630276</v>
      </c>
      <c r="G2243" s="2">
        <v>21.523704331102596</v>
      </c>
    </row>
    <row r="2244" spans="4:7" customFormat="1" x14ac:dyDescent="0.35">
      <c r="D2244" s="51">
        <v>43583</v>
      </c>
      <c r="E2244" s="57">
        <v>1</v>
      </c>
      <c r="F2244" s="57">
        <v>3.157449059630276</v>
      </c>
      <c r="G2244" s="2">
        <v>21.523704331102596</v>
      </c>
    </row>
    <row r="2245" spans="4:7" customFormat="1" x14ac:dyDescent="0.35">
      <c r="D2245" s="51">
        <v>43582</v>
      </c>
      <c r="E2245" s="57">
        <v>1</v>
      </c>
      <c r="F2245" s="57">
        <v>3.157449059630276</v>
      </c>
      <c r="G2245" s="2">
        <v>21.523704331102596</v>
      </c>
    </row>
    <row r="2246" spans="4:7" customFormat="1" x14ac:dyDescent="0.35">
      <c r="D2246" s="51">
        <v>43581</v>
      </c>
      <c r="E2246" s="57">
        <v>1.0022819999999999</v>
      </c>
      <c r="F2246" s="57">
        <v>3.1646543583843521</v>
      </c>
      <c r="G2246" s="2">
        <v>21.47469906782981</v>
      </c>
    </row>
    <row r="2247" spans="4:7" customFormat="1" x14ac:dyDescent="0.35">
      <c r="D2247" s="51">
        <v>43580</v>
      </c>
      <c r="E2247" s="57">
        <v>1.0334950000000001</v>
      </c>
      <c r="F2247" s="57">
        <v>3.2706544561184363</v>
      </c>
      <c r="G2247" s="2">
        <v>20.778715976206762</v>
      </c>
    </row>
    <row r="2248" spans="4:7" customFormat="1" x14ac:dyDescent="0.35">
      <c r="D2248" s="51">
        <v>43579</v>
      </c>
      <c r="E2248" s="57">
        <v>0.98604800000000004</v>
      </c>
      <c r="F2248" s="57">
        <v>3.2250222851466721</v>
      </c>
      <c r="G2248" s="2">
        <v>21.072722601949156</v>
      </c>
    </row>
    <row r="2249" spans="4:7" customFormat="1" x14ac:dyDescent="0.35">
      <c r="D2249" s="51">
        <v>43578</v>
      </c>
      <c r="E2249" s="57">
        <v>0.99857799999999997</v>
      </c>
      <c r="F2249" s="57">
        <v>3.2204363034571934</v>
      </c>
      <c r="G2249" s="2">
        <v>21.102730684983204</v>
      </c>
    </row>
    <row r="2250" spans="4:7" customFormat="1" x14ac:dyDescent="0.35">
      <c r="D2250" s="51">
        <v>43577</v>
      </c>
      <c r="E2250" s="57">
        <v>1.0618399999999999</v>
      </c>
      <c r="F2250" s="57">
        <v>3.419588084462986</v>
      </c>
      <c r="G2250" s="2">
        <v>19.873738684720113</v>
      </c>
    </row>
    <row r="2251" spans="4:7" customFormat="1" x14ac:dyDescent="0.35">
      <c r="D2251" s="51">
        <v>43576</v>
      </c>
      <c r="E2251" s="57">
        <v>1</v>
      </c>
      <c r="F2251" s="57">
        <v>3.419588084462986</v>
      </c>
      <c r="G2251" s="2">
        <v>19.873738684720113</v>
      </c>
    </row>
    <row r="2252" spans="4:7" customFormat="1" x14ac:dyDescent="0.35">
      <c r="D2252" s="51">
        <v>43575</v>
      </c>
      <c r="E2252" s="57">
        <v>1</v>
      </c>
      <c r="F2252" s="57">
        <v>3.419588084462986</v>
      </c>
      <c r="G2252" s="2">
        <v>19.873738684720113</v>
      </c>
    </row>
    <row r="2253" spans="4:7" customFormat="1" x14ac:dyDescent="0.35">
      <c r="D2253" s="51">
        <v>43574</v>
      </c>
      <c r="E2253" s="57">
        <v>1</v>
      </c>
      <c r="F2253" s="57">
        <v>3.419588084462986</v>
      </c>
      <c r="G2253" s="2">
        <v>19.873738684720113</v>
      </c>
    </row>
    <row r="2254" spans="4:7" customFormat="1" x14ac:dyDescent="0.35">
      <c r="D2254" s="51">
        <v>43573</v>
      </c>
      <c r="E2254" s="57">
        <v>0.999749</v>
      </c>
      <c r="F2254" s="57">
        <v>3.4187297678537858</v>
      </c>
      <c r="G2254" s="2">
        <v>19.878728245509734</v>
      </c>
    </row>
    <row r="2255" spans="4:7" customFormat="1" x14ac:dyDescent="0.35">
      <c r="D2255" s="51">
        <v>43572</v>
      </c>
      <c r="E2255" s="57">
        <v>0.97800799999999999</v>
      </c>
      <c r="F2255" s="57">
        <v>3.3435450627991452</v>
      </c>
      <c r="G2255" s="2">
        <v>20.325731737889399</v>
      </c>
    </row>
    <row r="2256" spans="4:7" customFormat="1" x14ac:dyDescent="0.35">
      <c r="D2256" s="51">
        <v>43571</v>
      </c>
      <c r="E2256" s="57">
        <v>1.005441</v>
      </c>
      <c r="F2256" s="57">
        <v>3.3617372914858357</v>
      </c>
      <c r="G2256" s="2">
        <v>20.21573790793234</v>
      </c>
    </row>
    <row r="2257" spans="4:7" customFormat="1" x14ac:dyDescent="0.35">
      <c r="D2257" s="51">
        <v>43570</v>
      </c>
      <c r="E2257" s="57">
        <v>1.0082789999999999</v>
      </c>
      <c r="F2257" s="57">
        <v>3.3895691145220468</v>
      </c>
      <c r="G2257" s="2">
        <v>20.049746060299121</v>
      </c>
    </row>
    <row r="2258" spans="4:7" customFormat="1" x14ac:dyDescent="0.35">
      <c r="D2258" s="51">
        <v>43569</v>
      </c>
      <c r="E2258" s="57">
        <v>1</v>
      </c>
      <c r="F2258" s="57">
        <v>3.3895691145220468</v>
      </c>
      <c r="G2258" s="2">
        <v>20.049746060299121</v>
      </c>
    </row>
    <row r="2259" spans="4:7" customFormat="1" x14ac:dyDescent="0.35">
      <c r="D2259" s="51">
        <v>43568</v>
      </c>
      <c r="E2259" s="57">
        <v>1</v>
      </c>
      <c r="F2259" s="57">
        <v>3.3895691145220468</v>
      </c>
      <c r="G2259" s="2">
        <v>20.049746060299121</v>
      </c>
    </row>
    <row r="2260" spans="4:7" customFormat="1" x14ac:dyDescent="0.35">
      <c r="D2260" s="51">
        <v>43567</v>
      </c>
      <c r="E2260" s="57">
        <v>1.000699</v>
      </c>
      <c r="F2260" s="57">
        <v>3.3919384233330976</v>
      </c>
      <c r="G2260" s="2">
        <v>20.035741077286101</v>
      </c>
    </row>
    <row r="2261" spans="4:7" customFormat="1" x14ac:dyDescent="0.35">
      <c r="D2261" s="51">
        <v>43566</v>
      </c>
      <c r="E2261" s="57">
        <v>1.0024010000000001</v>
      </c>
      <c r="F2261" s="57">
        <v>3.4000824674875205</v>
      </c>
      <c r="G2261" s="2">
        <v>19.987750488363538</v>
      </c>
    </row>
    <row r="2262" spans="4:7" customFormat="1" x14ac:dyDescent="0.35">
      <c r="D2262" s="51">
        <v>43565</v>
      </c>
      <c r="E2262" s="57">
        <v>1.025973</v>
      </c>
      <c r="F2262" s="57">
        <v>3.4883928094155738</v>
      </c>
      <c r="G2262" s="2">
        <v>19.481750970409102</v>
      </c>
    </row>
    <row r="2263" spans="4:7" customFormat="1" x14ac:dyDescent="0.35">
      <c r="D2263" s="51">
        <v>43564</v>
      </c>
      <c r="E2263" s="57">
        <v>0.98643000000000003</v>
      </c>
      <c r="F2263" s="57">
        <v>3.4410553189918045</v>
      </c>
      <c r="G2263" s="2">
        <v>19.749755147764265</v>
      </c>
    </row>
    <row r="2264" spans="4:7" customFormat="1" x14ac:dyDescent="0.35">
      <c r="D2264" s="51">
        <v>43563</v>
      </c>
      <c r="E2264" s="57">
        <v>1.0049870000000001</v>
      </c>
      <c r="F2264" s="57">
        <v>3.4582158618676169</v>
      </c>
      <c r="G2264" s="2">
        <v>19.651751861232299</v>
      </c>
    </row>
    <row r="2265" spans="4:7" customFormat="1" x14ac:dyDescent="0.35">
      <c r="D2265" s="51">
        <v>43562</v>
      </c>
      <c r="E2265" s="57">
        <v>1</v>
      </c>
      <c r="F2265" s="57">
        <v>3.4582158618676169</v>
      </c>
      <c r="G2265" s="2">
        <v>19.651751861232299</v>
      </c>
    </row>
    <row r="2266" spans="4:7" customFormat="1" x14ac:dyDescent="0.35">
      <c r="D2266" s="51">
        <v>43561</v>
      </c>
      <c r="E2266" s="57">
        <v>1</v>
      </c>
      <c r="F2266" s="57">
        <v>3.4582158618676169</v>
      </c>
      <c r="G2266" s="2">
        <v>19.651751861232299</v>
      </c>
    </row>
    <row r="2267" spans="4:7" customFormat="1" x14ac:dyDescent="0.35">
      <c r="D2267" s="51">
        <v>43560</v>
      </c>
      <c r="E2267" s="57">
        <v>0.99252499999999999</v>
      </c>
      <c r="F2267" s="57">
        <v>3.4323656983001563</v>
      </c>
      <c r="G2267" s="2">
        <v>19.799755030082164</v>
      </c>
    </row>
    <row r="2268" spans="4:7" customFormat="1" x14ac:dyDescent="0.35">
      <c r="D2268" s="51">
        <v>43559</v>
      </c>
      <c r="E2268" s="57">
        <v>0.95555199999999996</v>
      </c>
      <c r="F2268" s="57">
        <v>3.2798039077421106</v>
      </c>
      <c r="G2268" s="2">
        <v>20.720750969159361</v>
      </c>
    </row>
    <row r="2269" spans="4:7" customFormat="1" x14ac:dyDescent="0.35">
      <c r="D2269" s="51">
        <v>43558</v>
      </c>
      <c r="E2269" s="57">
        <v>1.001789</v>
      </c>
      <c r="F2269" s="57">
        <v>3.2856714769330613</v>
      </c>
      <c r="G2269" s="2">
        <v>20.683747744444549</v>
      </c>
    </row>
    <row r="2270" spans="4:7" customFormat="1" x14ac:dyDescent="0.35">
      <c r="D2270" s="51">
        <v>43557</v>
      </c>
      <c r="E2270" s="57">
        <v>1.003444</v>
      </c>
      <c r="F2270" s="57">
        <v>3.2969873294996188</v>
      </c>
      <c r="G2270" s="2">
        <v>20.612757407931632</v>
      </c>
    </row>
    <row r="2271" spans="4:7" customFormat="1" x14ac:dyDescent="0.35">
      <c r="D2271" s="51">
        <v>43556</v>
      </c>
      <c r="E2271" s="57">
        <v>1.0413239999999999</v>
      </c>
      <c r="F2271" s="57">
        <v>3.4332320339038609</v>
      </c>
      <c r="G2271" s="2">
        <v>19.794758795467725</v>
      </c>
    </row>
    <row r="2272" spans="4:7" customFormat="1" x14ac:dyDescent="0.35">
      <c r="D2272" s="51">
        <v>43555</v>
      </c>
      <c r="E2272" s="57">
        <v>1</v>
      </c>
      <c r="F2272" s="57">
        <v>3.4332320339038609</v>
      </c>
      <c r="G2272" s="2">
        <v>19.794758795467725</v>
      </c>
    </row>
    <row r="2273" spans="4:7" customFormat="1" x14ac:dyDescent="0.35">
      <c r="D2273" s="51">
        <v>43554</v>
      </c>
      <c r="E2273" s="57">
        <v>1</v>
      </c>
      <c r="F2273" s="57">
        <v>3.4332320339038609</v>
      </c>
      <c r="G2273" s="2">
        <v>19.794758795467725</v>
      </c>
    </row>
    <row r="2274" spans="4:7" customFormat="1" x14ac:dyDescent="0.35">
      <c r="D2274" s="51">
        <v>43553</v>
      </c>
      <c r="E2274" s="57">
        <v>1.061337</v>
      </c>
      <c r="F2274" s="57">
        <v>3.6438161871674217</v>
      </c>
      <c r="G2274" s="2">
        <v>18.650776139405039</v>
      </c>
    </row>
    <row r="2275" spans="4:7" customFormat="1" x14ac:dyDescent="0.35">
      <c r="D2275" s="51">
        <v>43552</v>
      </c>
      <c r="E2275" s="57">
        <v>1.033984</v>
      </c>
      <c r="F2275" s="57">
        <v>3.7676476364721196</v>
      </c>
      <c r="G2275" s="2">
        <v>18.037780216526599</v>
      </c>
    </row>
    <row r="2276" spans="4:7" customFormat="1" x14ac:dyDescent="0.35">
      <c r="D2276" s="51">
        <v>43551</v>
      </c>
      <c r="E2276" s="57">
        <v>0.96490900000000002</v>
      </c>
      <c r="F2276" s="57">
        <v>3.6354371132606764</v>
      </c>
      <c r="G2276" s="2">
        <v>18.693763055921956</v>
      </c>
    </row>
    <row r="2277" spans="4:7" customFormat="1" x14ac:dyDescent="0.35">
      <c r="D2277" s="51">
        <v>43550</v>
      </c>
      <c r="E2277" s="57">
        <v>0.94874100000000006</v>
      </c>
      <c r="F2277" s="57">
        <v>3.4490882422720475</v>
      </c>
      <c r="G2277" s="2">
        <v>19.703757986554766</v>
      </c>
    </row>
    <row r="2278" spans="4:7" customFormat="1" x14ac:dyDescent="0.35">
      <c r="D2278" s="51">
        <v>43549</v>
      </c>
      <c r="E2278" s="57">
        <v>0.97107100000000002</v>
      </c>
      <c r="F2278" s="57">
        <v>3.3493095685113596</v>
      </c>
      <c r="G2278" s="2">
        <v>20.290749066293571</v>
      </c>
    </row>
    <row r="2279" spans="4:7" customFormat="1" x14ac:dyDescent="0.35">
      <c r="D2279" s="51">
        <v>43548</v>
      </c>
      <c r="E2279" s="57">
        <v>1</v>
      </c>
      <c r="F2279" s="57">
        <v>3.3493095685113596</v>
      </c>
      <c r="G2279" s="2">
        <v>20.290749066293571</v>
      </c>
    </row>
    <row r="2280" spans="4:7" customFormat="1" x14ac:dyDescent="0.35">
      <c r="D2280" s="51">
        <v>43547</v>
      </c>
      <c r="E2280" s="57">
        <v>1</v>
      </c>
      <c r="F2280" s="57">
        <v>3.3493095685113596</v>
      </c>
      <c r="G2280" s="2">
        <v>20.290749066293571</v>
      </c>
    </row>
    <row r="2281" spans="4:7" customFormat="1" x14ac:dyDescent="0.35">
      <c r="D2281" s="51">
        <v>43546</v>
      </c>
      <c r="E2281" s="57">
        <v>0.95008700000000001</v>
      </c>
      <c r="F2281" s="57">
        <v>3.182135480018252</v>
      </c>
      <c r="G2281" s="2">
        <v>21.35672740106282</v>
      </c>
    </row>
    <row r="2282" spans="4:7" customFormat="1" x14ac:dyDescent="0.35">
      <c r="D2282" s="51">
        <v>43545</v>
      </c>
      <c r="E2282" s="57">
        <v>1.0369489999999999</v>
      </c>
      <c r="F2282" s="57">
        <v>3.2997122038694462</v>
      </c>
      <c r="G2282" s="2">
        <v>20.59573556757644</v>
      </c>
    </row>
    <row r="2283" spans="4:7" customFormat="1" x14ac:dyDescent="0.35">
      <c r="D2283" s="51">
        <v>43544</v>
      </c>
      <c r="E2283" s="57">
        <v>1.0014099999999999</v>
      </c>
      <c r="F2283" s="57">
        <v>3.304364798076902</v>
      </c>
      <c r="G2283" s="2">
        <v>20.566736469154932</v>
      </c>
    </row>
    <row r="2284" spans="4:7" customFormat="1" x14ac:dyDescent="0.35">
      <c r="D2284" s="51">
        <v>43543</v>
      </c>
      <c r="E2284" s="57">
        <v>1.009423</v>
      </c>
      <c r="F2284" s="57">
        <v>3.3355018275691806</v>
      </c>
      <c r="G2284" s="2">
        <v>20.374745244713992</v>
      </c>
    </row>
    <row r="2285" spans="4:7" customFormat="1" x14ac:dyDescent="0.35">
      <c r="D2285" s="51">
        <v>43542</v>
      </c>
      <c r="E2285" s="57">
        <v>0.98429999999999995</v>
      </c>
      <c r="F2285" s="57">
        <v>3.2831344488763441</v>
      </c>
      <c r="G2285" s="2">
        <v>20.699731021755557</v>
      </c>
    </row>
    <row r="2286" spans="4:7" customFormat="1" x14ac:dyDescent="0.35">
      <c r="D2286" s="51">
        <v>43541</v>
      </c>
      <c r="E2286" s="57">
        <v>1</v>
      </c>
      <c r="F2286" s="57">
        <v>3.2831344488763441</v>
      </c>
      <c r="G2286" s="2">
        <v>20.699731021755557</v>
      </c>
    </row>
    <row r="2287" spans="4:7" customFormat="1" x14ac:dyDescent="0.35">
      <c r="D2287" s="51">
        <v>43540</v>
      </c>
      <c r="E2287" s="57">
        <v>1</v>
      </c>
      <c r="F2287" s="57">
        <v>3.2831344488763441</v>
      </c>
      <c r="G2287" s="2">
        <v>20.699731021755557</v>
      </c>
    </row>
    <row r="2288" spans="4:7" customFormat="1" x14ac:dyDescent="0.35">
      <c r="D2288" s="51">
        <v>43539</v>
      </c>
      <c r="E2288" s="57">
        <v>0.994093</v>
      </c>
      <c r="F2288" s="57">
        <v>3.2637409736868315</v>
      </c>
      <c r="G2288" s="2">
        <v>20.822730893141344</v>
      </c>
    </row>
    <row r="2289" spans="4:7" customFormat="1" x14ac:dyDescent="0.35">
      <c r="D2289" s="51">
        <v>43538</v>
      </c>
      <c r="E2289" s="57">
        <v>1.0148159999999999</v>
      </c>
      <c r="F2289" s="57">
        <v>3.3120965599529755</v>
      </c>
      <c r="G2289" s="2">
        <v>20.518725456773783</v>
      </c>
    </row>
    <row r="2290" spans="4:7" customFormat="1" x14ac:dyDescent="0.35">
      <c r="D2290" s="51">
        <v>43537</v>
      </c>
      <c r="E2290" s="57">
        <v>0.98743999999999998</v>
      </c>
      <c r="F2290" s="57">
        <v>3.2704966271599663</v>
      </c>
      <c r="G2290" s="2">
        <v>20.779718723946552</v>
      </c>
    </row>
    <row r="2291" spans="4:7" customFormat="1" x14ac:dyDescent="0.35">
      <c r="D2291" s="51">
        <v>43536</v>
      </c>
      <c r="E2291" s="57">
        <v>1.016734</v>
      </c>
      <c r="F2291" s="57">
        <v>3.3252251177188614</v>
      </c>
      <c r="G2291" s="2">
        <v>20.437714017576425</v>
      </c>
    </row>
    <row r="2292" spans="4:7" customFormat="1" x14ac:dyDescent="0.35">
      <c r="D2292" s="51">
        <v>43535</v>
      </c>
      <c r="E2292" s="57">
        <v>1.0516080000000001</v>
      </c>
      <c r="F2292" s="57">
        <v>3.4968333355940966</v>
      </c>
      <c r="G2292" s="2">
        <v>19.434726644887093</v>
      </c>
    </row>
    <row r="2293" spans="4:7" customFormat="1" x14ac:dyDescent="0.35">
      <c r="D2293" s="51">
        <v>43534</v>
      </c>
      <c r="E2293" s="57">
        <v>1</v>
      </c>
      <c r="F2293" s="57">
        <v>3.4968333355940966</v>
      </c>
      <c r="G2293" s="2">
        <v>19.434726644887093</v>
      </c>
    </row>
    <row r="2294" spans="4:7" customFormat="1" x14ac:dyDescent="0.35">
      <c r="D2294" s="51">
        <v>43533</v>
      </c>
      <c r="E2294" s="57">
        <v>1</v>
      </c>
      <c r="F2294" s="57">
        <v>3.4968333355940966</v>
      </c>
      <c r="G2294" s="2">
        <v>19.434726644887093</v>
      </c>
    </row>
    <row r="2295" spans="4:7" customFormat="1" x14ac:dyDescent="0.35">
      <c r="D2295" s="51">
        <v>43532</v>
      </c>
      <c r="E2295" s="57">
        <v>1.029396</v>
      </c>
      <c r="F2295" s="57">
        <v>3.5996262483272208</v>
      </c>
      <c r="G2295" s="2">
        <v>18.879737870447418</v>
      </c>
    </row>
    <row r="2296" spans="4:7" customFormat="1" x14ac:dyDescent="0.35">
      <c r="D2296" s="51">
        <v>43531</v>
      </c>
      <c r="E2296" s="57">
        <v>1.013147</v>
      </c>
      <c r="F2296" s="57">
        <v>3.6469505346139788</v>
      </c>
      <c r="G2296" s="2">
        <v>18.634746853563616</v>
      </c>
    </row>
    <row r="2297" spans="4:7" customFormat="1" x14ac:dyDescent="0.35">
      <c r="D2297" s="51">
        <v>43530</v>
      </c>
      <c r="E2297" s="57">
        <v>0.97448100000000004</v>
      </c>
      <c r="F2297" s="57">
        <v>3.5538840039211648</v>
      </c>
      <c r="G2297" s="2">
        <v>19.122740057080247</v>
      </c>
    </row>
    <row r="2298" spans="4:7" customFormat="1" x14ac:dyDescent="0.35">
      <c r="D2298" s="51">
        <v>43529</v>
      </c>
      <c r="E2298" s="57">
        <v>1.0097689999999999</v>
      </c>
      <c r="F2298" s="57">
        <v>3.5886018967554705</v>
      </c>
      <c r="G2298" s="2">
        <v>18.937737301383038</v>
      </c>
    </row>
    <row r="2299" spans="4:7" customFormat="1" x14ac:dyDescent="0.35">
      <c r="D2299" s="51">
        <v>43528</v>
      </c>
      <c r="E2299" s="57">
        <v>0.97058199999999994</v>
      </c>
      <c r="F2299" s="57">
        <v>3.4830324061567177</v>
      </c>
      <c r="G2299" s="2">
        <v>19.511733476803649</v>
      </c>
    </row>
    <row r="2300" spans="4:7" customFormat="1" x14ac:dyDescent="0.35">
      <c r="D2300" s="51">
        <v>43527</v>
      </c>
      <c r="E2300" s="57">
        <v>1</v>
      </c>
      <c r="F2300" s="57">
        <v>3.4830324061567177</v>
      </c>
      <c r="G2300" s="2">
        <v>19.511733476803649</v>
      </c>
    </row>
    <row r="2301" spans="4:7" customFormat="1" x14ac:dyDescent="0.35">
      <c r="D2301" s="51">
        <v>43526</v>
      </c>
      <c r="E2301" s="57">
        <v>1</v>
      </c>
      <c r="F2301" s="57">
        <v>3.4830324061567177</v>
      </c>
      <c r="G2301" s="2">
        <v>19.511733476803649</v>
      </c>
    </row>
    <row r="2302" spans="4:7" customFormat="1" x14ac:dyDescent="0.35">
      <c r="D2302" s="51">
        <v>43525</v>
      </c>
      <c r="E2302" s="57">
        <v>0.98774899999999999</v>
      </c>
      <c r="F2302" s="57">
        <v>3.4403617761488916</v>
      </c>
      <c r="G2302" s="2">
        <v>19.753736502698207</v>
      </c>
    </row>
    <row r="2303" spans="4:7" customFormat="1" x14ac:dyDescent="0.35">
      <c r="D2303" s="51">
        <v>43524</v>
      </c>
      <c r="E2303" s="57">
        <v>1.013026</v>
      </c>
      <c r="F2303" s="57">
        <v>3.485175928645007</v>
      </c>
      <c r="G2303" s="2">
        <v>19.499732980889146</v>
      </c>
    </row>
    <row r="2304" spans="4:7" customFormat="1" x14ac:dyDescent="0.35">
      <c r="D2304" s="51">
        <v>43523</v>
      </c>
      <c r="E2304" s="57">
        <v>0.99744200000000005</v>
      </c>
      <c r="F2304" s="57">
        <v>3.4762608486195332</v>
      </c>
      <c r="G2304" s="2">
        <v>19.54974121892716</v>
      </c>
    </row>
    <row r="2305" spans="4:7" customFormat="1" x14ac:dyDescent="0.35">
      <c r="D2305" s="51">
        <v>43522</v>
      </c>
      <c r="E2305" s="57">
        <v>0.98927200000000004</v>
      </c>
      <c r="F2305" s="57">
        <v>3.4389675222355431</v>
      </c>
      <c r="G2305" s="2">
        <v>19.76174522166518</v>
      </c>
    </row>
    <row r="2306" spans="4:7" customFormat="1" x14ac:dyDescent="0.35">
      <c r="D2306" s="51">
        <v>43521</v>
      </c>
      <c r="E2306" s="57">
        <v>0.999444</v>
      </c>
      <c r="F2306" s="57">
        <v>3.4370554562931801</v>
      </c>
      <c r="G2306" s="2">
        <v>19.77273886447383</v>
      </c>
    </row>
    <row r="2307" spans="4:7" customFormat="1" x14ac:dyDescent="0.35">
      <c r="D2307" s="51">
        <v>43520</v>
      </c>
      <c r="E2307" s="57">
        <v>1</v>
      </c>
      <c r="F2307" s="57">
        <v>3.4370554562931801</v>
      </c>
      <c r="G2307" s="2">
        <v>19.77273886447383</v>
      </c>
    </row>
    <row r="2308" spans="4:7" customFormat="1" x14ac:dyDescent="0.35">
      <c r="D2308" s="51">
        <v>43519</v>
      </c>
      <c r="E2308" s="57">
        <v>1</v>
      </c>
      <c r="F2308" s="57">
        <v>3.4370554562931801</v>
      </c>
      <c r="G2308" s="2">
        <v>19.77273886447383</v>
      </c>
    </row>
    <row r="2309" spans="4:7" customFormat="1" x14ac:dyDescent="0.35">
      <c r="D2309" s="51">
        <v>43518</v>
      </c>
      <c r="E2309" s="57">
        <v>1.3139080000000001</v>
      </c>
      <c r="F2309" s="57">
        <v>4.5159746604672604</v>
      </c>
      <c r="G2309" s="2">
        <v>15.048800117263786</v>
      </c>
    </row>
    <row r="2310" spans="4:7" customFormat="1" x14ac:dyDescent="0.35">
      <c r="D2310" s="51">
        <v>43517</v>
      </c>
      <c r="E2310" s="57">
        <v>1.0026649999999999</v>
      </c>
      <c r="F2310" s="57">
        <v>4.5280097329374049</v>
      </c>
      <c r="G2310" s="2">
        <v>15.008801660837657</v>
      </c>
    </row>
    <row r="2311" spans="4:7" customFormat="1" x14ac:dyDescent="0.35">
      <c r="D2311" s="51">
        <v>43516</v>
      </c>
      <c r="E2311" s="57">
        <v>0.92820000000000003</v>
      </c>
      <c r="F2311" s="57">
        <v>4.2028986341124996</v>
      </c>
      <c r="G2311" s="2">
        <v>16.169792782630527</v>
      </c>
    </row>
    <row r="2312" spans="4:7" customFormat="1" x14ac:dyDescent="0.35">
      <c r="D2312" s="51">
        <v>43515</v>
      </c>
      <c r="E2312" s="57">
        <v>1.0226409999999999</v>
      </c>
      <c r="F2312" s="57">
        <v>4.2980564620874402</v>
      </c>
      <c r="G2312" s="2">
        <v>15.81179786712104</v>
      </c>
    </row>
    <row r="2313" spans="4:7" customFormat="1" x14ac:dyDescent="0.35">
      <c r="D2313" s="51">
        <v>43514</v>
      </c>
      <c r="E2313" s="57">
        <v>1</v>
      </c>
      <c r="F2313" s="57">
        <v>4.2980564620874402</v>
      </c>
      <c r="G2313" s="2">
        <v>15.81179786712104</v>
      </c>
    </row>
    <row r="2314" spans="4:7" customFormat="1" x14ac:dyDescent="0.35">
      <c r="D2314" s="51">
        <v>43513</v>
      </c>
      <c r="E2314" s="57">
        <v>1</v>
      </c>
      <c r="F2314" s="57">
        <v>4.2980564620874402</v>
      </c>
      <c r="G2314" s="2">
        <v>15.81179786712104</v>
      </c>
    </row>
    <row r="2315" spans="4:7" customFormat="1" x14ac:dyDescent="0.35">
      <c r="D2315" s="51">
        <v>43512</v>
      </c>
      <c r="E2315" s="57">
        <v>1</v>
      </c>
      <c r="F2315" s="57">
        <v>4.2980564620874402</v>
      </c>
      <c r="G2315" s="2">
        <v>15.81179786712104</v>
      </c>
    </row>
    <row r="2316" spans="4:7" customFormat="1" x14ac:dyDescent="0.35">
      <c r="D2316" s="51">
        <v>43511</v>
      </c>
      <c r="E2316" s="57">
        <v>1.0305679999999999</v>
      </c>
      <c r="F2316" s="57">
        <v>4.4294394520205289</v>
      </c>
      <c r="G2316" s="2">
        <v>15.342799181733803</v>
      </c>
    </row>
    <row r="2317" spans="4:7" customFormat="1" x14ac:dyDescent="0.35">
      <c r="D2317" s="51">
        <v>43510</v>
      </c>
      <c r="E2317" s="57">
        <v>1.0138100000000001</v>
      </c>
      <c r="F2317" s="57">
        <v>4.490610010852933</v>
      </c>
      <c r="G2317" s="2">
        <v>15.133801384612305</v>
      </c>
    </row>
    <row r="2318" spans="4:7" customFormat="1" x14ac:dyDescent="0.35">
      <c r="D2318" s="51">
        <v>43509</v>
      </c>
      <c r="E2318" s="57">
        <v>0.98928000000000005</v>
      </c>
      <c r="F2318" s="57">
        <v>4.44247067153659</v>
      </c>
      <c r="G2318" s="2">
        <v>15.297793733434723</v>
      </c>
    </row>
    <row r="2319" spans="4:7" customFormat="1" x14ac:dyDescent="0.35">
      <c r="D2319" s="51">
        <v>43508</v>
      </c>
      <c r="E2319" s="57">
        <v>1.027401</v>
      </c>
      <c r="F2319" s="57">
        <v>4.5641988104073645</v>
      </c>
      <c r="G2319" s="2">
        <v>14.889798368343735</v>
      </c>
    </row>
    <row r="2320" spans="4:7" customFormat="1" x14ac:dyDescent="0.35">
      <c r="D2320" s="51">
        <v>43507</v>
      </c>
      <c r="E2320" s="57">
        <v>1.018607</v>
      </c>
      <c r="F2320" s="57">
        <v>4.6491248576726143</v>
      </c>
      <c r="G2320" s="2">
        <v>14.617804873070513</v>
      </c>
    </row>
    <row r="2321" spans="4:7" customFormat="1" x14ac:dyDescent="0.35">
      <c r="D2321" s="51">
        <v>43506</v>
      </c>
      <c r="E2321" s="57">
        <v>1</v>
      </c>
      <c r="F2321" s="57">
        <v>4.6491248576726143</v>
      </c>
      <c r="G2321" s="2">
        <v>14.617804873070513</v>
      </c>
    </row>
    <row r="2322" spans="4:7" customFormat="1" x14ac:dyDescent="0.35">
      <c r="D2322" s="51">
        <v>43505</v>
      </c>
      <c r="E2322" s="57">
        <v>1</v>
      </c>
      <c r="F2322" s="57">
        <v>4.6491248576726143</v>
      </c>
      <c r="G2322" s="2">
        <v>14.617804873070513</v>
      </c>
    </row>
    <row r="2323" spans="4:7" customFormat="1" x14ac:dyDescent="0.35">
      <c r="D2323" s="51">
        <v>43504</v>
      </c>
      <c r="E2323" s="57">
        <v>1.029147</v>
      </c>
      <c r="F2323" s="57">
        <v>4.784632899899198</v>
      </c>
      <c r="G2323" s="2">
        <v>14.203806524306549</v>
      </c>
    </row>
    <row r="2324" spans="4:7" customFormat="1" x14ac:dyDescent="0.35">
      <c r="D2324" s="51">
        <v>43503</v>
      </c>
      <c r="E2324" s="57">
        <v>0.96298300000000003</v>
      </c>
      <c r="F2324" s="57">
        <v>4.6075201438436295</v>
      </c>
      <c r="G2324" s="2">
        <v>14.749799865944206</v>
      </c>
    </row>
    <row r="2325" spans="4:7" customFormat="1" x14ac:dyDescent="0.35">
      <c r="D2325" s="51">
        <v>43502</v>
      </c>
      <c r="E2325" s="57">
        <v>0.95063200000000003</v>
      </c>
      <c r="F2325" s="57">
        <v>4.3800560893823572</v>
      </c>
      <c r="G2325" s="2">
        <v>15.515783043221989</v>
      </c>
    </row>
    <row r="2326" spans="4:7" customFormat="1" x14ac:dyDescent="0.35">
      <c r="D2326" s="51">
        <v>43501</v>
      </c>
      <c r="E2326" s="57">
        <v>1.0230109999999999</v>
      </c>
      <c r="F2326" s="57">
        <v>4.4808455600551342</v>
      </c>
      <c r="G2326" s="2">
        <v>15.166780262599318</v>
      </c>
    </row>
    <row r="2327" spans="4:7" customFormat="1" x14ac:dyDescent="0.35">
      <c r="D2327" s="51">
        <v>43500</v>
      </c>
      <c r="E2327" s="57">
        <v>1.0441279999999999</v>
      </c>
      <c r="F2327" s="57">
        <v>4.6785763129292466</v>
      </c>
      <c r="G2327" s="2">
        <v>14.525786362016266</v>
      </c>
    </row>
    <row r="2328" spans="4:7" customFormat="1" x14ac:dyDescent="0.35">
      <c r="D2328" s="51">
        <v>43499</v>
      </c>
      <c r="E2328" s="57">
        <v>1</v>
      </c>
      <c r="F2328" s="57">
        <v>4.6785763129292466</v>
      </c>
      <c r="G2328" s="2">
        <v>14.525786362016266</v>
      </c>
    </row>
    <row r="2329" spans="4:7" customFormat="1" x14ac:dyDescent="0.35">
      <c r="D2329" s="51">
        <v>43498</v>
      </c>
      <c r="E2329" s="57">
        <v>1</v>
      </c>
      <c r="F2329" s="57">
        <v>4.6785763129292466</v>
      </c>
      <c r="G2329" s="2">
        <v>14.525786362016266</v>
      </c>
    </row>
    <row r="2330" spans="4:7" customFormat="1" x14ac:dyDescent="0.35">
      <c r="D2330" s="51">
        <v>43497</v>
      </c>
      <c r="E2330" s="57">
        <v>1.0180819999999999</v>
      </c>
      <c r="F2330" s="57">
        <v>4.7631743298196332</v>
      </c>
      <c r="G2330" s="2">
        <v>14.267796073416743</v>
      </c>
    </row>
    <row r="2331" spans="4:7" customFormat="1" x14ac:dyDescent="0.35">
      <c r="D2331" s="51">
        <v>43496</v>
      </c>
      <c r="E2331" s="57">
        <v>1.0187790000000001</v>
      </c>
      <c r="F2331" s="57">
        <v>4.8526219805593165</v>
      </c>
      <c r="G2331" s="2">
        <v>14.004799935429316</v>
      </c>
    </row>
    <row r="2332" spans="4:7" customFormat="1" x14ac:dyDescent="0.35">
      <c r="D2332" s="51">
        <v>43495</v>
      </c>
      <c r="E2332" s="57">
        <v>1.0407999999999999</v>
      </c>
      <c r="F2332" s="57">
        <v>5.0506089573661361</v>
      </c>
      <c r="G2332" s="2">
        <v>13.455803166246461</v>
      </c>
    </row>
    <row r="2333" spans="4:7" customFormat="1" x14ac:dyDescent="0.35">
      <c r="D2333" s="51">
        <v>43494</v>
      </c>
      <c r="E2333" s="57">
        <v>0.991672</v>
      </c>
      <c r="F2333" s="57">
        <v>5.0085474859691912</v>
      </c>
      <c r="G2333" s="2">
        <v>13.56880416735217</v>
      </c>
    </row>
    <row r="2334" spans="4:7" customFormat="1" x14ac:dyDescent="0.35">
      <c r="D2334" s="51">
        <v>43493</v>
      </c>
      <c r="E2334" s="57">
        <v>0.98483100000000001</v>
      </c>
      <c r="F2334" s="57">
        <v>4.932572829154525</v>
      </c>
      <c r="G2334" s="2">
        <v>13.777799609630655</v>
      </c>
    </row>
    <row r="2335" spans="4:7" customFormat="1" x14ac:dyDescent="0.35">
      <c r="D2335" s="51">
        <v>43492</v>
      </c>
      <c r="E2335" s="57">
        <v>1</v>
      </c>
      <c r="F2335" s="57">
        <v>4.932572829154525</v>
      </c>
      <c r="G2335" s="2">
        <v>13.777799609630655</v>
      </c>
    </row>
    <row r="2336" spans="4:7" customFormat="1" x14ac:dyDescent="0.35">
      <c r="D2336" s="51">
        <v>43491</v>
      </c>
      <c r="E2336" s="57">
        <v>1</v>
      </c>
      <c r="F2336" s="57">
        <v>4.932572829154525</v>
      </c>
      <c r="G2336" s="2">
        <v>13.777799609630655</v>
      </c>
    </row>
    <row r="2337" spans="4:7" customFormat="1" x14ac:dyDescent="0.35">
      <c r="D2337" s="51">
        <v>43490</v>
      </c>
      <c r="E2337" s="57">
        <v>1.0202899999999999</v>
      </c>
      <c r="F2337" s="57">
        <v>5.0326547318580701</v>
      </c>
      <c r="G2337" s="2">
        <v>13.503807358330137</v>
      </c>
    </row>
    <row r="2338" spans="4:7" customFormat="1" x14ac:dyDescent="0.35">
      <c r="D2338" s="51">
        <v>43489</v>
      </c>
      <c r="E2338" s="57">
        <v>1.008966</v>
      </c>
      <c r="F2338" s="57">
        <v>5.0777775141839099</v>
      </c>
      <c r="G2338" s="2">
        <v>13.383808134595355</v>
      </c>
    </row>
    <row r="2339" spans="4:7" customFormat="1" x14ac:dyDescent="0.35">
      <c r="D2339" s="51">
        <v>43488</v>
      </c>
      <c r="E2339" s="57">
        <v>0.99865700000000002</v>
      </c>
      <c r="F2339" s="57">
        <v>5.0709580589823613</v>
      </c>
      <c r="G2339" s="2">
        <v>13.401806761075479</v>
      </c>
    </row>
    <row r="2340" spans="4:7" customFormat="1" x14ac:dyDescent="0.35">
      <c r="D2340" s="51">
        <v>43487</v>
      </c>
      <c r="E2340" s="57">
        <v>0.96424200000000004</v>
      </c>
      <c r="F2340" s="57">
        <v>4.8896307407092703</v>
      </c>
      <c r="G2340" s="2">
        <v>13.898800053384397</v>
      </c>
    </row>
    <row r="2341" spans="4:7" customFormat="1" x14ac:dyDescent="0.35">
      <c r="D2341" s="51">
        <v>43486</v>
      </c>
      <c r="E2341" s="57">
        <v>1</v>
      </c>
      <c r="F2341" s="57">
        <v>4.8896307407092703</v>
      </c>
      <c r="G2341" s="2">
        <v>13.898800053384397</v>
      </c>
    </row>
    <row r="2342" spans="4:7" customFormat="1" x14ac:dyDescent="0.35">
      <c r="D2342" s="51">
        <v>43485</v>
      </c>
      <c r="E2342" s="57">
        <v>1</v>
      </c>
      <c r="F2342" s="57">
        <v>4.8896307407092703</v>
      </c>
      <c r="G2342" s="2">
        <v>13.898800053384397</v>
      </c>
    </row>
    <row r="2343" spans="4:7" customFormat="1" x14ac:dyDescent="0.35">
      <c r="D2343" s="51">
        <v>43484</v>
      </c>
      <c r="E2343" s="57">
        <v>1</v>
      </c>
      <c r="F2343" s="57">
        <v>4.8896307407092703</v>
      </c>
      <c r="G2343" s="2">
        <v>13.898800053384397</v>
      </c>
    </row>
    <row r="2344" spans="4:7" customFormat="1" x14ac:dyDescent="0.35">
      <c r="D2344" s="51">
        <v>43483</v>
      </c>
      <c r="E2344" s="57">
        <v>1.043625</v>
      </c>
      <c r="F2344" s="57">
        <v>5.102940881772712</v>
      </c>
      <c r="G2344" s="2">
        <v>13.317810567382343</v>
      </c>
    </row>
    <row r="2345" spans="4:7" customFormat="1" x14ac:dyDescent="0.35">
      <c r="D2345" s="51">
        <v>43482</v>
      </c>
      <c r="E2345" s="57">
        <v>1.0204580000000001</v>
      </c>
      <c r="F2345" s="57">
        <v>5.2073368463320184</v>
      </c>
      <c r="G2345" s="2">
        <v>13.050816954134655</v>
      </c>
    </row>
    <row r="2346" spans="4:7" customFormat="1" x14ac:dyDescent="0.35">
      <c r="D2346" s="51">
        <v>43481</v>
      </c>
      <c r="E2346" s="57">
        <v>1.000767</v>
      </c>
      <c r="F2346" s="57">
        <v>5.2113308736931545</v>
      </c>
      <c r="G2346" s="2">
        <v>13.040814649298644</v>
      </c>
    </row>
    <row r="2347" spans="4:7" customFormat="1" x14ac:dyDescent="0.35">
      <c r="D2347" s="51">
        <v>43480</v>
      </c>
      <c r="E2347" s="57">
        <v>1.0149429999999999</v>
      </c>
      <c r="F2347" s="57">
        <v>5.2892037909387506</v>
      </c>
      <c r="G2347" s="2">
        <v>12.848814809598812</v>
      </c>
    </row>
    <row r="2348" spans="4:7" customFormat="1" x14ac:dyDescent="0.35">
      <c r="D2348" s="51">
        <v>43479</v>
      </c>
      <c r="E2348" s="57">
        <v>1.0093479999999999</v>
      </c>
      <c r="F2348" s="57">
        <v>5.3386472679764454</v>
      </c>
      <c r="G2348" s="2">
        <v>12.729816485096134</v>
      </c>
    </row>
    <row r="2349" spans="4:7" customFormat="1" x14ac:dyDescent="0.35">
      <c r="D2349" s="51">
        <v>43478</v>
      </c>
      <c r="E2349" s="57">
        <v>1</v>
      </c>
      <c r="F2349" s="57">
        <v>5.3386472679764454</v>
      </c>
      <c r="G2349" s="2">
        <v>12.729816485096134</v>
      </c>
    </row>
    <row r="2350" spans="4:7" customFormat="1" x14ac:dyDescent="0.35">
      <c r="D2350" s="51">
        <v>43477</v>
      </c>
      <c r="E2350" s="57">
        <v>1</v>
      </c>
      <c r="F2350" s="57">
        <v>5.3386472679764454</v>
      </c>
      <c r="G2350" s="2">
        <v>12.729816485096134</v>
      </c>
    </row>
    <row r="2351" spans="4:7" customFormat="1" x14ac:dyDescent="0.35">
      <c r="D2351" s="51">
        <v>43476</v>
      </c>
      <c r="E2351" s="57">
        <v>0.98172300000000001</v>
      </c>
      <c r="F2351" s="57">
        <v>5.2410728118596399</v>
      </c>
      <c r="G2351" s="2">
        <v>12.966810887690453</v>
      </c>
    </row>
    <row r="2352" spans="4:7" customFormat="1" x14ac:dyDescent="0.35">
      <c r="D2352" s="51">
        <v>43475</v>
      </c>
      <c r="E2352" s="57">
        <v>1.0067550000000001</v>
      </c>
      <c r="F2352" s="57">
        <v>5.2764762587037524</v>
      </c>
      <c r="G2352" s="2">
        <v>12.879807786095377</v>
      </c>
    </row>
    <row r="2353" spans="4:7" customFormat="1" x14ac:dyDescent="0.35">
      <c r="D2353" s="51">
        <v>43474</v>
      </c>
      <c r="E2353" s="57">
        <v>1.005857</v>
      </c>
      <c r="F2353" s="57">
        <v>5.3073805801509799</v>
      </c>
      <c r="G2353" s="2">
        <v>12.804810013844291</v>
      </c>
    </row>
    <row r="2354" spans="4:7" customFormat="1" x14ac:dyDescent="0.35">
      <c r="D2354" s="51">
        <v>43473</v>
      </c>
      <c r="E2354" s="57">
        <v>1.027936</v>
      </c>
      <c r="F2354" s="57">
        <v>5.4556475640380775</v>
      </c>
      <c r="G2354" s="2">
        <v>12.456816391141366</v>
      </c>
    </row>
    <row r="2355" spans="4:7" customFormat="1" x14ac:dyDescent="0.35">
      <c r="D2355" s="51">
        <v>43472</v>
      </c>
      <c r="E2355" s="57">
        <v>1.0563940000000001</v>
      </c>
      <c r="F2355" s="57">
        <v>5.7633133527644409</v>
      </c>
      <c r="G2355" s="2">
        <v>11.791828040618714</v>
      </c>
    </row>
    <row r="2356" spans="4:7" customFormat="1" x14ac:dyDescent="0.35">
      <c r="D2356" s="51">
        <v>43471</v>
      </c>
      <c r="E2356" s="57">
        <v>1</v>
      </c>
      <c r="F2356" s="57">
        <v>5.7633133527644409</v>
      </c>
      <c r="G2356" s="2">
        <v>11.791828040618714</v>
      </c>
    </row>
    <row r="2357" spans="4:7" customFormat="1" x14ac:dyDescent="0.35">
      <c r="D2357" s="51">
        <v>43470</v>
      </c>
      <c r="E2357" s="57">
        <v>1</v>
      </c>
      <c r="F2357" s="57">
        <v>5.7633133527644409</v>
      </c>
      <c r="G2357" s="2">
        <v>11.791828040618714</v>
      </c>
    </row>
    <row r="2358" spans="4:7" customFormat="1" x14ac:dyDescent="0.35">
      <c r="D2358" s="51">
        <v>43469</v>
      </c>
      <c r="E2358" s="57">
        <v>1.0763050000000001</v>
      </c>
      <c r="F2358" s="57">
        <v>6.2030829781471324</v>
      </c>
      <c r="G2358" s="2">
        <v>10.955842480169387</v>
      </c>
    </row>
    <row r="2359" spans="4:7" customFormat="1" x14ac:dyDescent="0.35">
      <c r="D2359" s="51">
        <v>43468</v>
      </c>
      <c r="E2359" s="57">
        <v>0.94318199999999996</v>
      </c>
      <c r="F2359" s="57">
        <v>5.8506362094947688</v>
      </c>
      <c r="G2359" s="2">
        <v>11.615830751826676</v>
      </c>
    </row>
    <row r="2360" spans="4:7" customFormat="1" x14ac:dyDescent="0.35">
      <c r="D2360" s="51">
        <v>43467</v>
      </c>
      <c r="E2360" s="57">
        <v>1.0008619999999999</v>
      </c>
      <c r="F2360" s="57">
        <v>5.8556794579073532</v>
      </c>
      <c r="G2360" s="2">
        <v>11.605826529358369</v>
      </c>
    </row>
    <row r="2361" spans="4:7" customFormat="1" x14ac:dyDescent="0.35">
      <c r="D2361" s="51">
        <v>43466</v>
      </c>
      <c r="E2361" s="57">
        <v>1</v>
      </c>
      <c r="F2361" s="57">
        <v>5.8556794579073532</v>
      </c>
      <c r="G2361" s="2">
        <v>11.605826529358369</v>
      </c>
    </row>
    <row r="2362" spans="4:7" customFormat="1" x14ac:dyDescent="0.35">
      <c r="D2362" s="51">
        <v>43465</v>
      </c>
      <c r="E2362" s="57">
        <v>1.0140670000000001</v>
      </c>
      <c r="F2362" s="57">
        <v>5.9380513008417362</v>
      </c>
      <c r="G2362" s="2">
        <v>11.444832076537713</v>
      </c>
    </row>
    <row r="2363" spans="4:7" customFormat="1" x14ac:dyDescent="0.35">
      <c r="D2363" s="51">
        <v>43464</v>
      </c>
      <c r="E2363" s="57">
        <v>1</v>
      </c>
      <c r="F2363" s="57">
        <v>5.9380513008417362</v>
      </c>
      <c r="G2363" s="2">
        <v>11.444832076537713</v>
      </c>
    </row>
    <row r="2364" spans="4:7" customFormat="1" x14ac:dyDescent="0.35">
      <c r="D2364" s="51">
        <v>43463</v>
      </c>
      <c r="E2364" s="57">
        <v>1</v>
      </c>
      <c r="F2364" s="57">
        <v>5.9380513008417362</v>
      </c>
      <c r="G2364" s="2">
        <v>11.444832076537713</v>
      </c>
    </row>
    <row r="2365" spans="4:7" customFormat="1" x14ac:dyDescent="0.35">
      <c r="D2365" s="51">
        <v>43462</v>
      </c>
      <c r="E2365" s="57">
        <v>1.0043</v>
      </c>
      <c r="F2365" s="57">
        <v>5.9635849214353556</v>
      </c>
      <c r="G2365" s="2">
        <v>11.39583000750544</v>
      </c>
    </row>
    <row r="2366" spans="4:7" customFormat="1" x14ac:dyDescent="0.35">
      <c r="D2366" s="51">
        <v>43461</v>
      </c>
      <c r="E2366" s="57">
        <v>1.028427</v>
      </c>
      <c r="F2366" s="57">
        <v>6.1331117499969983</v>
      </c>
      <c r="G2366" s="2">
        <v>11.080835107893355</v>
      </c>
    </row>
    <row r="2367" spans="4:7" customFormat="1" x14ac:dyDescent="0.35">
      <c r="D2367" s="51">
        <v>43460</v>
      </c>
      <c r="E2367" s="57">
        <v>1.0615000000000001</v>
      </c>
      <c r="F2367" s="57">
        <v>6.5102981226218146</v>
      </c>
      <c r="G2367" s="2">
        <v>10.43884607432252</v>
      </c>
    </row>
    <row r="2368" spans="4:7" customFormat="1" x14ac:dyDescent="0.35">
      <c r="D2368" s="51">
        <v>43459</v>
      </c>
      <c r="E2368" s="57">
        <v>1</v>
      </c>
      <c r="F2368" s="57">
        <v>6.5102981226218146</v>
      </c>
      <c r="G2368" s="2">
        <v>10.43884607432252</v>
      </c>
    </row>
    <row r="2369" spans="4:7" customFormat="1" x14ac:dyDescent="0.35">
      <c r="D2369" s="51">
        <v>43458</v>
      </c>
      <c r="E2369" s="57">
        <v>0.97972800000000004</v>
      </c>
      <c r="F2369" s="57">
        <v>6.3783213590800258</v>
      </c>
      <c r="G2369" s="2">
        <v>10.654841011303665</v>
      </c>
    </row>
    <row r="2370" spans="4:7" customFormat="1" x14ac:dyDescent="0.35">
      <c r="D2370" s="51">
        <v>43457</v>
      </c>
      <c r="E2370" s="57">
        <v>1</v>
      </c>
      <c r="F2370" s="57">
        <v>6.3783213590800258</v>
      </c>
      <c r="G2370" s="2">
        <v>10.654841011303665</v>
      </c>
    </row>
    <row r="2371" spans="4:7" customFormat="1" x14ac:dyDescent="0.35">
      <c r="D2371" s="51">
        <v>43456</v>
      </c>
      <c r="E2371" s="57">
        <v>1</v>
      </c>
      <c r="F2371" s="57">
        <v>6.3783213590800258</v>
      </c>
      <c r="G2371" s="2">
        <v>10.654841011303665</v>
      </c>
    </row>
    <row r="2372" spans="4:7" customFormat="1" x14ac:dyDescent="0.35">
      <c r="D2372" s="51">
        <v>43455</v>
      </c>
      <c r="E2372" s="57">
        <v>0.90998400000000002</v>
      </c>
      <c r="F2372" s="57">
        <v>5.8041703836210781</v>
      </c>
      <c r="G2372" s="2">
        <v>11.70882236534232</v>
      </c>
    </row>
    <row r="2373" spans="4:7" customFormat="1" x14ac:dyDescent="0.35">
      <c r="D2373" s="51">
        <v>43454</v>
      </c>
      <c r="E2373" s="57">
        <v>0.96330700000000002</v>
      </c>
      <c r="F2373" s="57">
        <v>5.5911979597348695</v>
      </c>
      <c r="G2373" s="2">
        <v>12.154819144200468</v>
      </c>
    </row>
    <row r="2374" spans="4:7" customFormat="1" x14ac:dyDescent="0.35">
      <c r="D2374" s="51">
        <v>43453</v>
      </c>
      <c r="E2374" s="57">
        <v>0.98166699999999996</v>
      </c>
      <c r="F2374" s="57">
        <v>5.4886945275390495</v>
      </c>
      <c r="G2374" s="2">
        <v>12.381814957822225</v>
      </c>
    </row>
    <row r="2375" spans="4:7" customFormat="1" x14ac:dyDescent="0.35">
      <c r="D2375" s="51">
        <v>43452</v>
      </c>
      <c r="E2375" s="57">
        <v>0.99469799999999997</v>
      </c>
      <c r="F2375" s="57">
        <v>5.4595934691540373</v>
      </c>
      <c r="G2375" s="2">
        <v>12.44781326374661</v>
      </c>
    </row>
    <row r="2376" spans="4:7" customFormat="1" x14ac:dyDescent="0.35">
      <c r="D2376" s="51">
        <v>43451</v>
      </c>
      <c r="E2376" s="57">
        <v>0.91174100000000002</v>
      </c>
      <c r="F2376" s="57">
        <v>4.9777352091599711</v>
      </c>
      <c r="G2376" s="2">
        <v>13.652795326465093</v>
      </c>
    </row>
    <row r="2377" spans="4:7" customFormat="1" x14ac:dyDescent="0.35">
      <c r="D2377" s="51">
        <v>43450</v>
      </c>
      <c r="E2377" s="57">
        <v>1</v>
      </c>
      <c r="F2377" s="57">
        <v>4.9777352091599711</v>
      </c>
      <c r="G2377" s="2">
        <v>13.652795326465093</v>
      </c>
    </row>
    <row r="2378" spans="4:7" customFormat="1" x14ac:dyDescent="0.35">
      <c r="D2378" s="51">
        <v>43449</v>
      </c>
      <c r="E2378" s="57">
        <v>1</v>
      </c>
      <c r="F2378" s="57">
        <v>4.9777352091599711</v>
      </c>
      <c r="G2378" s="2">
        <v>13.652795326465093</v>
      </c>
    </row>
    <row r="2379" spans="4:7" customFormat="1" x14ac:dyDescent="0.35">
      <c r="D2379" s="51">
        <v>43448</v>
      </c>
      <c r="E2379" s="57">
        <v>0.98223000000000005</v>
      </c>
      <c r="F2379" s="57">
        <v>4.8892808544931983</v>
      </c>
      <c r="G2379" s="2">
        <v>13.89979467789122</v>
      </c>
    </row>
    <row r="2380" spans="4:7" customFormat="1" x14ac:dyDescent="0.35">
      <c r="D2380" s="51">
        <v>43447</v>
      </c>
      <c r="E2380" s="57">
        <v>0.96931699999999998</v>
      </c>
      <c r="F2380" s="57">
        <v>4.7392630500347837</v>
      </c>
      <c r="G2380" s="2">
        <v>14.339782215612869</v>
      </c>
    </row>
    <row r="2381" spans="4:7" customFormat="1" x14ac:dyDescent="0.35">
      <c r="D2381" s="51">
        <v>43446</v>
      </c>
      <c r="E2381" s="57">
        <v>1.0405629999999999</v>
      </c>
      <c r="F2381" s="57">
        <v>4.9315017771333443</v>
      </c>
      <c r="G2381" s="2">
        <v>13.780791951676996</v>
      </c>
    </row>
    <row r="2382" spans="4:7" customFormat="1" x14ac:dyDescent="0.35">
      <c r="D2382" s="51">
        <v>43445</v>
      </c>
      <c r="E2382" s="57">
        <v>1.0227090000000001</v>
      </c>
      <c r="F2382" s="57">
        <v>5.0434912509902654</v>
      </c>
      <c r="G2382" s="2">
        <v>13.474792880161411</v>
      </c>
    </row>
    <row r="2383" spans="4:7" customFormat="1" x14ac:dyDescent="0.35">
      <c r="D2383" s="51">
        <v>43444</v>
      </c>
      <c r="E2383" s="57">
        <v>1.008834</v>
      </c>
      <c r="F2383" s="57">
        <v>5.0880454527015138</v>
      </c>
      <c r="G2383" s="2">
        <v>13.356798918515246</v>
      </c>
    </row>
    <row r="2384" spans="4:7" customFormat="1" x14ac:dyDescent="0.35">
      <c r="D2384" s="51">
        <v>43443</v>
      </c>
      <c r="E2384" s="57">
        <v>1</v>
      </c>
      <c r="F2384" s="57">
        <v>5.0880454527015138</v>
      </c>
      <c r="G2384" s="2">
        <v>13.356798918515246</v>
      </c>
    </row>
    <row r="2385" spans="4:7" customFormat="1" x14ac:dyDescent="0.35">
      <c r="D2385" s="51">
        <v>43442</v>
      </c>
      <c r="E2385" s="57">
        <v>1</v>
      </c>
      <c r="F2385" s="57">
        <v>5.0880454527015138</v>
      </c>
      <c r="G2385" s="2">
        <v>13.356798918515246</v>
      </c>
    </row>
    <row r="2386" spans="4:7" customFormat="1" x14ac:dyDescent="0.35">
      <c r="D2386" s="51">
        <v>43441</v>
      </c>
      <c r="E2386" s="57">
        <v>0.941496</v>
      </c>
      <c r="F2386" s="57">
        <v>4.790374441536664</v>
      </c>
      <c r="G2386" s="2">
        <v>14.186782438284652</v>
      </c>
    </row>
    <row r="2387" spans="4:7" customFormat="1" x14ac:dyDescent="0.35">
      <c r="D2387" s="51">
        <v>43440</v>
      </c>
      <c r="E2387" s="57">
        <v>1.012562</v>
      </c>
      <c r="F2387" s="57">
        <v>4.850551125271247</v>
      </c>
      <c r="G2387" s="2">
        <v>14.010779032083619</v>
      </c>
    </row>
    <row r="2388" spans="4:7" customFormat="1" x14ac:dyDescent="0.35">
      <c r="D2388" s="51">
        <v>43439</v>
      </c>
      <c r="E2388" s="57">
        <v>1</v>
      </c>
      <c r="F2388" s="57">
        <v>4.850551125271247</v>
      </c>
      <c r="G2388" s="2">
        <v>14.010779032083619</v>
      </c>
    </row>
    <row r="2389" spans="4:7" customFormat="1" x14ac:dyDescent="0.35">
      <c r="D2389" s="51">
        <v>43438</v>
      </c>
      <c r="E2389" s="57">
        <v>0.94280300000000006</v>
      </c>
      <c r="F2389" s="57">
        <v>4.5731141525591079</v>
      </c>
      <c r="G2389" s="2">
        <v>14.860770523729366</v>
      </c>
    </row>
    <row r="2390" spans="4:7" customFormat="1" x14ac:dyDescent="0.35">
      <c r="D2390" s="51">
        <v>43437</v>
      </c>
      <c r="E2390" s="57">
        <v>1.0432429999999999</v>
      </c>
      <c r="F2390" s="57">
        <v>4.7708693278582208</v>
      </c>
      <c r="G2390" s="2">
        <v>14.24478335702168</v>
      </c>
    </row>
    <row r="2391" spans="4:7" customFormat="1" x14ac:dyDescent="0.35">
      <c r="D2391" s="51">
        <v>43436</v>
      </c>
      <c r="E2391" s="57">
        <v>1</v>
      </c>
      <c r="F2391" s="57">
        <v>4.7708693278582208</v>
      </c>
      <c r="G2391" s="2">
        <v>14.24478335702168</v>
      </c>
    </row>
    <row r="2392" spans="4:7" customFormat="1" x14ac:dyDescent="0.35">
      <c r="D2392" s="51">
        <v>43435</v>
      </c>
      <c r="E2392" s="57">
        <v>1</v>
      </c>
      <c r="F2392" s="57">
        <v>4.7708693278582208</v>
      </c>
      <c r="G2392" s="2">
        <v>14.24478335702168</v>
      </c>
    </row>
    <row r="2393" spans="4:7" customFormat="1" x14ac:dyDescent="0.35">
      <c r="D2393" s="51">
        <v>43434</v>
      </c>
      <c r="E2393" s="57">
        <v>1.011647</v>
      </c>
      <c r="F2393" s="57">
        <v>4.826435642919785</v>
      </c>
      <c r="G2393" s="2">
        <v>14.080784460411271</v>
      </c>
    </row>
    <row r="2394" spans="4:7" customFormat="1" x14ac:dyDescent="0.35">
      <c r="D2394" s="51">
        <v>43433</v>
      </c>
      <c r="E2394" s="57">
        <v>1.037963</v>
      </c>
      <c r="F2394" s="57">
        <v>5.0096616192319487</v>
      </c>
      <c r="G2394" s="2">
        <v>13.565786507237032</v>
      </c>
    </row>
    <row r="2395" spans="4:7" customFormat="1" x14ac:dyDescent="0.35">
      <c r="D2395" s="51">
        <v>43432</v>
      </c>
      <c r="E2395" s="57">
        <v>1.0481339999999999</v>
      </c>
      <c r="F2395" s="57">
        <v>5.2507966716120587</v>
      </c>
      <c r="G2395" s="2">
        <v>12.94279787435293</v>
      </c>
    </row>
    <row r="2396" spans="4:7" customFormat="1" x14ac:dyDescent="0.35">
      <c r="D2396" s="51">
        <v>43431</v>
      </c>
      <c r="E2396" s="57">
        <v>1.000232</v>
      </c>
      <c r="F2396" s="57">
        <v>5.2520148564398728</v>
      </c>
      <c r="G2396" s="2">
        <v>12.939795841717652</v>
      </c>
    </row>
    <row r="2397" spans="4:7" customFormat="1" x14ac:dyDescent="0.35">
      <c r="D2397" s="51">
        <v>43430</v>
      </c>
      <c r="E2397" s="57">
        <v>1.084206</v>
      </c>
      <c r="F2397" s="57">
        <v>5.6942660194412484</v>
      </c>
      <c r="G2397" s="2">
        <v>11.934812979929692</v>
      </c>
    </row>
    <row r="2398" spans="4:7" customFormat="1" x14ac:dyDescent="0.35">
      <c r="D2398" s="51">
        <v>43429</v>
      </c>
      <c r="E2398" s="57">
        <v>1</v>
      </c>
      <c r="F2398" s="57">
        <v>5.6942660194412484</v>
      </c>
      <c r="G2398" s="2">
        <v>11.934812979929692</v>
      </c>
    </row>
    <row r="2399" spans="4:7" customFormat="1" x14ac:dyDescent="0.35">
      <c r="D2399" s="51">
        <v>43428</v>
      </c>
      <c r="E2399" s="57">
        <v>1</v>
      </c>
      <c r="F2399" s="57">
        <v>5.6942660194412484</v>
      </c>
      <c r="G2399" s="2">
        <v>11.934812979929692</v>
      </c>
    </row>
    <row r="2400" spans="4:7" customFormat="1" x14ac:dyDescent="0.35">
      <c r="D2400" s="51">
        <v>43427</v>
      </c>
      <c r="E2400" s="57">
        <v>1.006918</v>
      </c>
      <c r="F2400" s="57">
        <v>5.7336589517637426</v>
      </c>
      <c r="G2400" s="2">
        <v>11.852815204346028</v>
      </c>
    </row>
    <row r="2401" spans="4:7" customFormat="1" x14ac:dyDescent="0.35">
      <c r="D2401" s="51">
        <v>43426</v>
      </c>
      <c r="E2401" s="57">
        <v>1</v>
      </c>
      <c r="F2401" s="57">
        <v>5.7336589517637426</v>
      </c>
      <c r="G2401" s="2">
        <v>11.852815204346028</v>
      </c>
    </row>
    <row r="2402" spans="4:7" customFormat="1" x14ac:dyDescent="0.35">
      <c r="D2402" s="51">
        <v>43425</v>
      </c>
      <c r="E2402" s="57">
        <v>1.046438</v>
      </c>
      <c r="F2402" s="57">
        <v>5.999918606165747</v>
      </c>
      <c r="G2402" s="2">
        <v>11.326820322222652</v>
      </c>
    </row>
    <row r="2403" spans="4:7" customFormat="1" x14ac:dyDescent="0.35">
      <c r="D2403" s="51">
        <v>43424</v>
      </c>
      <c r="E2403" s="57">
        <v>0.99595500000000003</v>
      </c>
      <c r="F2403" s="57">
        <v>5.9756489354038065</v>
      </c>
      <c r="G2403" s="2">
        <v>11.372823392846717</v>
      </c>
    </row>
    <row r="2404" spans="4:7" customFormat="1" x14ac:dyDescent="0.35">
      <c r="D2404" s="51">
        <v>43423</v>
      </c>
      <c r="E2404" s="57">
        <v>0.908169</v>
      </c>
      <c r="F2404" s="57">
        <v>5.4268991180167392</v>
      </c>
      <c r="G2404" s="2">
        <v>12.522805108792216</v>
      </c>
    </row>
    <row r="2405" spans="4:7" customFormat="1" x14ac:dyDescent="0.35">
      <c r="D2405" s="51">
        <v>43422</v>
      </c>
      <c r="E2405" s="57">
        <v>1</v>
      </c>
      <c r="F2405" s="57">
        <v>5.4268991180167392</v>
      </c>
      <c r="G2405" s="2">
        <v>12.522805108792216</v>
      </c>
    </row>
    <row r="2406" spans="4:7" customFormat="1" x14ac:dyDescent="0.35">
      <c r="D2406" s="51">
        <v>43421</v>
      </c>
      <c r="E2406" s="57">
        <v>1</v>
      </c>
      <c r="F2406" s="57">
        <v>5.4268991180167392</v>
      </c>
      <c r="G2406" s="2">
        <v>12.522805108792216</v>
      </c>
    </row>
    <row r="2407" spans="4:7" customFormat="1" x14ac:dyDescent="0.35">
      <c r="D2407" s="51">
        <v>43420</v>
      </c>
      <c r="E2407" s="57">
        <v>1.0153239999999999</v>
      </c>
      <c r="F2407" s="57">
        <v>5.5100609201012274</v>
      </c>
      <c r="G2407" s="2">
        <v>12.333801928046828</v>
      </c>
    </row>
    <row r="2408" spans="4:7" customFormat="1" x14ac:dyDescent="0.35">
      <c r="D2408" s="51">
        <v>43419</v>
      </c>
      <c r="E2408" s="57">
        <v>1.058622</v>
      </c>
      <c r="F2408" s="57">
        <v>5.8330717113594011</v>
      </c>
      <c r="G2408" s="2">
        <v>11.650808246991682</v>
      </c>
    </row>
    <row r="2409" spans="4:7" customFormat="1" x14ac:dyDescent="0.35">
      <c r="D2409" s="51">
        <v>43418</v>
      </c>
      <c r="E2409" s="57">
        <v>1.0397110000000001</v>
      </c>
      <c r="F2409" s="57">
        <v>6.0647088220891945</v>
      </c>
      <c r="G2409" s="2">
        <v>11.20581416085016</v>
      </c>
    </row>
    <row r="2410" spans="4:7" customFormat="1" x14ac:dyDescent="0.35">
      <c r="D2410" s="51">
        <v>43417</v>
      </c>
      <c r="E2410" s="57">
        <v>1.0101869999999999</v>
      </c>
      <c r="F2410" s="57">
        <v>6.1264900108598166</v>
      </c>
      <c r="G2410" s="2">
        <v>11.092811688182644</v>
      </c>
    </row>
    <row r="2411" spans="4:7" customFormat="1" x14ac:dyDescent="0.35">
      <c r="D2411" s="51">
        <v>43416</v>
      </c>
      <c r="E2411" s="57">
        <v>0.90503400000000001</v>
      </c>
      <c r="F2411" s="57">
        <v>5.544681760488503</v>
      </c>
      <c r="G2411" s="2">
        <v>12.256790008091016</v>
      </c>
    </row>
    <row r="2412" spans="4:7" customFormat="1" x14ac:dyDescent="0.35">
      <c r="D2412" s="51">
        <v>43415</v>
      </c>
      <c r="E2412" s="57">
        <v>1</v>
      </c>
      <c r="F2412" s="57">
        <v>5.544681760488503</v>
      </c>
      <c r="G2412" s="2">
        <v>12.256790008091016</v>
      </c>
    </row>
    <row r="2413" spans="4:7" customFormat="1" x14ac:dyDescent="0.35">
      <c r="D2413" s="51">
        <v>43414</v>
      </c>
      <c r="E2413" s="57">
        <v>1</v>
      </c>
      <c r="F2413" s="57">
        <v>5.544681760488503</v>
      </c>
      <c r="G2413" s="2">
        <v>12.256790008091016</v>
      </c>
    </row>
    <row r="2414" spans="4:7" customFormat="1" x14ac:dyDescent="0.35">
      <c r="D2414" s="51">
        <v>43413</v>
      </c>
      <c r="E2414" s="57">
        <v>1.003028</v>
      </c>
      <c r="F2414" s="57">
        <v>5.5614710568592622</v>
      </c>
      <c r="G2414" s="2">
        <v>12.219788488547694</v>
      </c>
    </row>
    <row r="2415" spans="4:7" customFormat="1" x14ac:dyDescent="0.35">
      <c r="D2415" s="51">
        <v>43412</v>
      </c>
      <c r="E2415" s="57">
        <v>0.92659999999999998</v>
      </c>
      <c r="F2415" s="57">
        <v>5.1532590812857926</v>
      </c>
      <c r="G2415" s="2">
        <v>13.187770870437831</v>
      </c>
    </row>
    <row r="2416" spans="4:7" customFormat="1" x14ac:dyDescent="0.35">
      <c r="D2416" s="51">
        <v>43411</v>
      </c>
      <c r="E2416" s="57">
        <v>1.0800099999999999</v>
      </c>
      <c r="F2416" s="57">
        <v>5.565571340379468</v>
      </c>
      <c r="G2416" s="2">
        <v>12.210785891276778</v>
      </c>
    </row>
    <row r="2417" spans="4:7" customFormat="1" x14ac:dyDescent="0.35">
      <c r="D2417" s="51">
        <v>43410</v>
      </c>
      <c r="E2417" s="57">
        <v>0.99276399999999998</v>
      </c>
      <c r="F2417" s="57">
        <v>5.5252988661604823</v>
      </c>
      <c r="G2417" s="2">
        <v>12.299787151102153</v>
      </c>
    </row>
    <row r="2418" spans="4:7" customFormat="1" x14ac:dyDescent="0.35">
      <c r="D2418" s="51">
        <v>43409</v>
      </c>
      <c r="E2418" s="57">
        <v>0.96131299999999997</v>
      </c>
      <c r="F2418" s="57">
        <v>5.3115416289253314</v>
      </c>
      <c r="G2418" s="2">
        <v>12.79477875686915</v>
      </c>
    </row>
    <row r="2419" spans="4:7" customFormat="1" x14ac:dyDescent="0.35">
      <c r="D2419" s="51">
        <v>43408</v>
      </c>
      <c r="E2419" s="57">
        <v>1</v>
      </c>
      <c r="F2419" s="57">
        <v>5.3115416289253314</v>
      </c>
      <c r="G2419" s="2">
        <v>12.79477875686915</v>
      </c>
    </row>
    <row r="2420" spans="4:7" customFormat="1" x14ac:dyDescent="0.35">
      <c r="D2420" s="51">
        <v>43407</v>
      </c>
      <c r="E2420" s="57">
        <v>1</v>
      </c>
      <c r="F2420" s="57">
        <v>5.3115416289253314</v>
      </c>
      <c r="G2420" s="2">
        <v>12.79477875686915</v>
      </c>
    </row>
    <row r="2421" spans="4:7" customFormat="1" x14ac:dyDescent="0.35">
      <c r="D2421" s="51">
        <v>43406</v>
      </c>
      <c r="E2421" s="57">
        <v>1.0106630000000001</v>
      </c>
      <c r="F2421" s="57">
        <v>5.3681785973145626</v>
      </c>
      <c r="G2421" s="2">
        <v>12.659787443360596</v>
      </c>
    </row>
    <row r="2422" spans="4:7" customFormat="1" x14ac:dyDescent="0.35">
      <c r="D2422" s="51">
        <v>43405</v>
      </c>
      <c r="E2422" s="57">
        <v>1.024686</v>
      </c>
      <c r="F2422" s="57">
        <v>5.5006974541678701</v>
      </c>
      <c r="G2422" s="2">
        <v>12.354796926434629</v>
      </c>
    </row>
    <row r="2423" spans="4:7" customFormat="1" x14ac:dyDescent="0.35">
      <c r="D2423" s="51">
        <v>43404</v>
      </c>
      <c r="E2423" s="57">
        <v>1.0717380000000001</v>
      </c>
      <c r="F2423" s="57">
        <v>5.8953064881349651</v>
      </c>
      <c r="G2423" s="2">
        <v>11.527814565159236</v>
      </c>
    </row>
    <row r="2424" spans="4:7" customFormat="1" x14ac:dyDescent="0.35">
      <c r="D2424" s="51">
        <v>43403</v>
      </c>
      <c r="E2424" s="57">
        <v>1.0564519999999999</v>
      </c>
      <c r="F2424" s="57">
        <v>6.2281083300031597</v>
      </c>
      <c r="G2424" s="2">
        <v>10.91182047566689</v>
      </c>
    </row>
    <row r="2425" spans="4:7" customFormat="1" x14ac:dyDescent="0.35">
      <c r="D2425" s="51">
        <v>43402</v>
      </c>
      <c r="E2425" s="57">
        <v>0.98921199999999998</v>
      </c>
      <c r="F2425" s="57">
        <v>6.1609194973390853</v>
      </c>
      <c r="G2425" s="2">
        <v>11.030820972316237</v>
      </c>
    </row>
    <row r="2426" spans="4:7" customFormat="1" x14ac:dyDescent="0.35">
      <c r="D2426" s="51">
        <v>43401</v>
      </c>
      <c r="E2426" s="57">
        <v>1</v>
      </c>
      <c r="F2426" s="57">
        <v>6.1609194973390853</v>
      </c>
      <c r="G2426" s="2">
        <v>11.030820972316237</v>
      </c>
    </row>
    <row r="2427" spans="4:7" customFormat="1" x14ac:dyDescent="0.35">
      <c r="D2427" s="51">
        <v>43400</v>
      </c>
      <c r="E2427" s="57">
        <v>1</v>
      </c>
      <c r="F2427" s="57">
        <v>6.1609194973390853</v>
      </c>
      <c r="G2427" s="2">
        <v>11.030820972316237</v>
      </c>
    </row>
    <row r="2428" spans="4:7" customFormat="1" x14ac:dyDescent="0.35">
      <c r="D2428" s="51">
        <v>43399</v>
      </c>
      <c r="E2428" s="57">
        <v>0.94898499999999997</v>
      </c>
      <c r="F2428" s="57">
        <v>5.8466201891823317</v>
      </c>
      <c r="G2428" s="2">
        <v>11.623809620084867</v>
      </c>
    </row>
    <row r="2429" spans="4:7" customFormat="1" x14ac:dyDescent="0.35">
      <c r="D2429" s="51">
        <v>43398</v>
      </c>
      <c r="E2429" s="57">
        <v>1.021441</v>
      </c>
      <c r="F2429" s="57">
        <v>5.9719775726585906</v>
      </c>
      <c r="G2429" s="2">
        <v>11.37981500652986</v>
      </c>
    </row>
    <row r="2430" spans="4:7" customFormat="1" x14ac:dyDescent="0.35">
      <c r="D2430" s="51">
        <v>43397</v>
      </c>
      <c r="E2430" s="57">
        <v>0.92708800000000002</v>
      </c>
      <c r="F2430" s="57">
        <v>5.5365487438809078</v>
      </c>
      <c r="G2430" s="2">
        <v>12.274794848525554</v>
      </c>
    </row>
    <row r="2431" spans="4:7" customFormat="1" x14ac:dyDescent="0.35">
      <c r="D2431" s="51">
        <v>43396</v>
      </c>
      <c r="E2431" s="57">
        <v>0.98673599999999995</v>
      </c>
      <c r="F2431" s="57">
        <v>5.4631119613420713</v>
      </c>
      <c r="G2431" s="2">
        <v>12.439796306738129</v>
      </c>
    </row>
    <row r="2432" spans="4:7" customFormat="1" x14ac:dyDescent="0.35">
      <c r="D2432" s="51">
        <v>43395</v>
      </c>
      <c r="E2432" s="57">
        <v>1.0255559999999999</v>
      </c>
      <c r="F2432" s="57">
        <v>5.6027272506261285</v>
      </c>
      <c r="G2432" s="2">
        <v>12.129806960066666</v>
      </c>
    </row>
    <row r="2433" spans="4:7" customFormat="1" x14ac:dyDescent="0.35">
      <c r="D2433" s="51">
        <v>43394</v>
      </c>
      <c r="E2433" s="57">
        <v>1</v>
      </c>
      <c r="F2433" s="57">
        <v>5.6027272506261285</v>
      </c>
      <c r="G2433" s="2">
        <v>12.129806960066666</v>
      </c>
    </row>
    <row r="2434" spans="4:7" customFormat="1" x14ac:dyDescent="0.35">
      <c r="D2434" s="51">
        <v>43393</v>
      </c>
      <c r="E2434" s="57">
        <v>1</v>
      </c>
      <c r="F2434" s="57">
        <v>5.6027272506261285</v>
      </c>
      <c r="G2434" s="2">
        <v>12.129806960066666</v>
      </c>
    </row>
    <row r="2435" spans="4:7" customFormat="1" x14ac:dyDescent="0.35">
      <c r="D2435" s="51">
        <v>43392</v>
      </c>
      <c r="E2435" s="57">
        <v>0.97257899999999997</v>
      </c>
      <c r="F2435" s="57">
        <v>5.4490948666867096</v>
      </c>
      <c r="G2435" s="2">
        <v>12.471796080386957</v>
      </c>
    </row>
    <row r="2436" spans="4:7" customFormat="1" x14ac:dyDescent="0.35">
      <c r="D2436" s="51">
        <v>43391</v>
      </c>
      <c r="E2436" s="57">
        <v>0.972248</v>
      </c>
      <c r="F2436" s="57">
        <v>5.29787158594642</v>
      </c>
      <c r="G2436" s="2">
        <v>12.827792991486696</v>
      </c>
    </row>
    <row r="2437" spans="4:7" customFormat="1" x14ac:dyDescent="0.35">
      <c r="D2437" s="51">
        <v>43390</v>
      </c>
      <c r="E2437" s="57">
        <v>0.98760499999999996</v>
      </c>
      <c r="F2437" s="57">
        <v>5.2322044676386144</v>
      </c>
      <c r="G2437" s="2">
        <v>12.988789031532541</v>
      </c>
    </row>
    <row r="2438" spans="4:7" customFormat="1" x14ac:dyDescent="0.35">
      <c r="D2438" s="51">
        <v>43389</v>
      </c>
      <c r="E2438" s="57">
        <v>1.0485990000000001</v>
      </c>
      <c r="F2438" s="57">
        <v>5.4864843725613834</v>
      </c>
      <c r="G2438" s="2">
        <v>12.386802802150815</v>
      </c>
    </row>
    <row r="2439" spans="4:7" customFormat="1" x14ac:dyDescent="0.35">
      <c r="D2439" s="51">
        <v>43388</v>
      </c>
      <c r="E2439" s="57">
        <v>1.0065820000000001</v>
      </c>
      <c r="F2439" s="57">
        <v>5.5225964127015832</v>
      </c>
      <c r="G2439" s="2">
        <v>12.305805987143435</v>
      </c>
    </row>
    <row r="2440" spans="4:7" customFormat="1" x14ac:dyDescent="0.35">
      <c r="D2440" s="51">
        <v>43387</v>
      </c>
      <c r="E2440" s="57">
        <v>1</v>
      </c>
      <c r="F2440" s="57">
        <v>5.5225964127015832</v>
      </c>
      <c r="G2440" s="2">
        <v>12.305805987143435</v>
      </c>
    </row>
    <row r="2441" spans="4:7" customFormat="1" x14ac:dyDescent="0.35">
      <c r="D2441" s="51">
        <v>43386</v>
      </c>
      <c r="E2441" s="57">
        <v>1</v>
      </c>
      <c r="F2441" s="57">
        <v>5.5225964127015832</v>
      </c>
      <c r="G2441" s="2">
        <v>12.305805987143435</v>
      </c>
    </row>
    <row r="2442" spans="4:7" customFormat="1" x14ac:dyDescent="0.35">
      <c r="D2442" s="51">
        <v>43385</v>
      </c>
      <c r="E2442" s="57">
        <v>1.0452729999999999</v>
      </c>
      <c r="F2442" s="57">
        <v>5.7726209200938214</v>
      </c>
      <c r="G2442" s="2">
        <v>11.772815319197411</v>
      </c>
    </row>
    <row r="2443" spans="4:7" customFormat="1" x14ac:dyDescent="0.35">
      <c r="D2443" s="51">
        <v>43384</v>
      </c>
      <c r="E2443" s="57">
        <v>0.99224599999999996</v>
      </c>
      <c r="F2443" s="57">
        <v>5.7278600174794141</v>
      </c>
      <c r="G2443" s="2">
        <v>11.864815095447511</v>
      </c>
    </row>
    <row r="2444" spans="4:7" customFormat="1" x14ac:dyDescent="0.35">
      <c r="D2444" s="51">
        <v>43383</v>
      </c>
      <c r="E2444" s="57">
        <v>0.92033799999999999</v>
      </c>
      <c r="F2444" s="57">
        <v>5.2715672327669694</v>
      </c>
      <c r="G2444" s="2">
        <v>12.891801811342692</v>
      </c>
    </row>
    <row r="2445" spans="4:7" customFormat="1" x14ac:dyDescent="0.35">
      <c r="D2445" s="51">
        <v>43382</v>
      </c>
      <c r="E2445" s="57">
        <v>0.97740700000000003</v>
      </c>
      <c r="F2445" s="57">
        <v>5.1524667142770655</v>
      </c>
      <c r="G2445" s="2">
        <v>13.189798938766236</v>
      </c>
    </row>
    <row r="2446" spans="4:7" customFormat="1" x14ac:dyDescent="0.35">
      <c r="D2446" s="51">
        <v>43381</v>
      </c>
      <c r="E2446" s="57">
        <v>0.98875599999999997</v>
      </c>
      <c r="F2446" s="57">
        <v>5.094532378541734</v>
      </c>
      <c r="G2446" s="2">
        <v>13.339791555010777</v>
      </c>
    </row>
    <row r="2447" spans="4:7" customFormat="1" x14ac:dyDescent="0.35">
      <c r="D2447" s="51">
        <v>43380</v>
      </c>
      <c r="E2447" s="57">
        <v>1</v>
      </c>
      <c r="F2447" s="57">
        <v>5.094532378541734</v>
      </c>
      <c r="G2447" s="2">
        <v>13.339791555010777</v>
      </c>
    </row>
    <row r="2448" spans="4:7" customFormat="1" x14ac:dyDescent="0.35">
      <c r="D2448" s="51">
        <v>43379</v>
      </c>
      <c r="E2448" s="57">
        <v>1</v>
      </c>
      <c r="F2448" s="57">
        <v>5.094532378541734</v>
      </c>
      <c r="G2448" s="2">
        <v>13.339791555010777</v>
      </c>
    </row>
    <row r="2449" spans="4:7" customFormat="1" x14ac:dyDescent="0.35">
      <c r="D2449" s="51">
        <v>43378</v>
      </c>
      <c r="E2449" s="57">
        <v>0.97922600000000004</v>
      </c>
      <c r="F2449" s="57">
        <v>4.9886985629099083</v>
      </c>
      <c r="G2449" s="2">
        <v>13.622791424054077</v>
      </c>
    </row>
    <row r="2450" spans="4:7" customFormat="1" x14ac:dyDescent="0.35">
      <c r="D2450" s="51">
        <v>43377</v>
      </c>
      <c r="E2450" s="57">
        <v>0.98113099999999998</v>
      </c>
      <c r="F2450" s="57">
        <v>4.8945668097263608</v>
      </c>
      <c r="G2450" s="2">
        <v>13.884783402067693</v>
      </c>
    </row>
    <row r="2451" spans="4:7" customFormat="1" x14ac:dyDescent="0.35">
      <c r="D2451" s="51">
        <v>43376</v>
      </c>
      <c r="E2451" s="57">
        <v>1.0410889999999999</v>
      </c>
      <c r="F2451" s="57">
        <v>5.0956796653712066</v>
      </c>
      <c r="G2451" s="2">
        <v>13.336788115202154</v>
      </c>
    </row>
    <row r="2452" spans="4:7" customFormat="1" x14ac:dyDescent="0.35">
      <c r="D2452" s="51">
        <v>43375</v>
      </c>
      <c r="E2452" s="57">
        <v>0.92927800000000005</v>
      </c>
      <c r="F2452" s="57">
        <v>4.7353030080768246</v>
      </c>
      <c r="G2452" s="2">
        <v>14.351774297037219</v>
      </c>
    </row>
    <row r="2453" spans="4:7" customFormat="1" x14ac:dyDescent="0.35">
      <c r="D2453" s="51">
        <v>43374</v>
      </c>
      <c r="E2453" s="57">
        <v>0.95103000000000004</v>
      </c>
      <c r="F2453" s="57">
        <v>4.5034152197713029</v>
      </c>
      <c r="G2453" s="2">
        <v>15.090769268095872</v>
      </c>
    </row>
    <row r="2454" spans="4:7" customFormat="1" x14ac:dyDescent="0.35">
      <c r="D2454" s="51">
        <v>43373</v>
      </c>
      <c r="E2454" s="57">
        <v>1</v>
      </c>
      <c r="F2454" s="57">
        <v>4.5034152197713029</v>
      </c>
      <c r="G2454" s="2">
        <v>15.090769268095872</v>
      </c>
    </row>
    <row r="2455" spans="4:7" customFormat="1" x14ac:dyDescent="0.35">
      <c r="D2455" s="51">
        <v>43372</v>
      </c>
      <c r="E2455" s="57">
        <v>1</v>
      </c>
      <c r="F2455" s="57">
        <v>4.5034152197713029</v>
      </c>
      <c r="G2455" s="2">
        <v>15.090769268095872</v>
      </c>
    </row>
    <row r="2456" spans="4:7" customFormat="1" x14ac:dyDescent="0.35">
      <c r="D2456" s="51">
        <v>43371</v>
      </c>
      <c r="E2456" s="57">
        <v>0.97411599999999998</v>
      </c>
      <c r="F2456" s="57">
        <v>4.3868488202227427</v>
      </c>
      <c r="G2456" s="2">
        <v>15.49175793036545</v>
      </c>
    </row>
    <row r="2457" spans="4:7" customFormat="1" x14ac:dyDescent="0.35">
      <c r="D2457" s="51">
        <v>43370</v>
      </c>
      <c r="E2457" s="57">
        <v>0.99467099999999997</v>
      </c>
      <c r="F2457" s="57">
        <v>4.3634713028597751</v>
      </c>
      <c r="G2457" s="2">
        <v>15.574755804045209</v>
      </c>
    </row>
    <row r="2458" spans="4:7" customFormat="1" x14ac:dyDescent="0.35">
      <c r="D2458" s="51">
        <v>43369</v>
      </c>
      <c r="E2458" s="57">
        <v>1.006918</v>
      </c>
      <c r="F2458" s="57">
        <v>4.3936577973329589</v>
      </c>
      <c r="G2458" s="2">
        <v>15.467749910166678</v>
      </c>
    </row>
    <row r="2459" spans="4:7" customFormat="1" x14ac:dyDescent="0.35">
      <c r="D2459" s="51">
        <v>43368</v>
      </c>
      <c r="E2459" s="57">
        <v>1.11009</v>
      </c>
      <c r="F2459" s="57">
        <v>4.8773555842413447</v>
      </c>
      <c r="G2459" s="2">
        <v>13.93378006302793</v>
      </c>
    </row>
    <row r="2460" spans="4:7" customFormat="1" x14ac:dyDescent="0.35">
      <c r="D2460" s="51">
        <v>43367</v>
      </c>
      <c r="E2460" s="57">
        <v>0.982236</v>
      </c>
      <c r="F2460" s="57">
        <v>4.7907142396428819</v>
      </c>
      <c r="G2460" s="2">
        <v>14.185776191290005</v>
      </c>
    </row>
    <row r="2461" spans="4:7" customFormat="1" x14ac:dyDescent="0.35">
      <c r="D2461" s="51">
        <v>43366</v>
      </c>
      <c r="E2461" s="57">
        <v>1</v>
      </c>
      <c r="F2461" s="57">
        <v>4.7907142396428819</v>
      </c>
      <c r="G2461" s="2">
        <v>14.185776191290005</v>
      </c>
    </row>
    <row r="2462" spans="4:7" customFormat="1" x14ac:dyDescent="0.35">
      <c r="D2462" s="51">
        <v>43365</v>
      </c>
      <c r="E2462" s="57">
        <v>1</v>
      </c>
      <c r="F2462" s="57">
        <v>4.7907142396428819</v>
      </c>
      <c r="G2462" s="2">
        <v>14.185776191290005</v>
      </c>
    </row>
    <row r="2463" spans="4:7" customFormat="1" x14ac:dyDescent="0.35">
      <c r="D2463" s="51">
        <v>43364</v>
      </c>
      <c r="E2463" s="57">
        <v>0.99043499999999995</v>
      </c>
      <c r="F2463" s="57">
        <v>4.7448910579406975</v>
      </c>
      <c r="G2463" s="2">
        <v>14.322773520008891</v>
      </c>
    </row>
    <row r="2464" spans="4:7" customFormat="1" x14ac:dyDescent="0.35">
      <c r="D2464" s="51">
        <v>43363</v>
      </c>
      <c r="E2464" s="57">
        <v>0.98881600000000003</v>
      </c>
      <c r="F2464" s="57">
        <v>4.6918241963486889</v>
      </c>
      <c r="G2464" s="2">
        <v>14.484771201122241</v>
      </c>
    </row>
    <row r="2465" spans="4:7" customFormat="1" x14ac:dyDescent="0.35">
      <c r="D2465" s="51">
        <v>43362</v>
      </c>
      <c r="E2465" s="57">
        <v>1.000829</v>
      </c>
      <c r="F2465" s="57">
        <v>4.695713718607462</v>
      </c>
      <c r="G2465" s="2">
        <v>14.472773272079687</v>
      </c>
    </row>
    <row r="2466" spans="4:7" customFormat="1" x14ac:dyDescent="0.35">
      <c r="D2466" s="51">
        <v>43361</v>
      </c>
      <c r="E2466" s="57">
        <v>1.014581</v>
      </c>
      <c r="F2466" s="57">
        <v>4.7641819203384772</v>
      </c>
      <c r="G2466" s="2">
        <v>14.264778536242732</v>
      </c>
    </row>
    <row r="2467" spans="4:7" customFormat="1" x14ac:dyDescent="0.35">
      <c r="D2467" s="51">
        <v>43360</v>
      </c>
      <c r="E2467" s="57">
        <v>0.97645300000000002</v>
      </c>
      <c r="F2467" s="57">
        <v>4.6519997286602672</v>
      </c>
      <c r="G2467" s="2">
        <v>14.608771273417904</v>
      </c>
    </row>
    <row r="2468" spans="4:7" customFormat="1" x14ac:dyDescent="0.35">
      <c r="D2468" s="51">
        <v>43359</v>
      </c>
      <c r="E2468" s="57">
        <v>1</v>
      </c>
      <c r="F2468" s="57">
        <v>4.6519997286602672</v>
      </c>
      <c r="G2468" s="2">
        <v>14.608771273417904</v>
      </c>
    </row>
    <row r="2469" spans="4:7" customFormat="1" x14ac:dyDescent="0.35">
      <c r="D2469" s="51">
        <v>43358</v>
      </c>
      <c r="E2469" s="57">
        <v>1</v>
      </c>
      <c r="F2469" s="57">
        <v>4.6519997286602672</v>
      </c>
      <c r="G2469" s="2">
        <v>14.608771273417904</v>
      </c>
    </row>
    <row r="2470" spans="4:7" customFormat="1" x14ac:dyDescent="0.35">
      <c r="D2470" s="51">
        <v>43357</v>
      </c>
      <c r="E2470" s="57">
        <v>1.003228</v>
      </c>
      <c r="F2470" s="57">
        <v>4.6670163837843823</v>
      </c>
      <c r="G2470" s="2">
        <v>14.561765893114929</v>
      </c>
    </row>
    <row r="2471" spans="4:7" customFormat="1" x14ac:dyDescent="0.35">
      <c r="D2471" s="51">
        <v>43356</v>
      </c>
      <c r="E2471" s="57">
        <v>0.99849100000000002</v>
      </c>
      <c r="F2471" s="57">
        <v>4.659973856061252</v>
      </c>
      <c r="G2471" s="2">
        <v>14.583772806279605</v>
      </c>
    </row>
    <row r="2472" spans="4:7" customFormat="1" x14ac:dyDescent="0.35">
      <c r="D2472" s="51">
        <v>43355</v>
      </c>
      <c r="E2472" s="57">
        <v>0.98727299999999996</v>
      </c>
      <c r="F2472" s="57">
        <v>4.6006663687951601</v>
      </c>
      <c r="G2472" s="2">
        <v>14.771773163329298</v>
      </c>
    </row>
    <row r="2473" spans="4:7" customFormat="1" x14ac:dyDescent="0.35">
      <c r="D2473" s="51">
        <v>43354</v>
      </c>
      <c r="E2473" s="57">
        <v>1.0370680000000001</v>
      </c>
      <c r="F2473" s="57">
        <v>4.7712038697536592</v>
      </c>
      <c r="G2473" s="2">
        <v>14.243784557357181</v>
      </c>
    </row>
    <row r="2474" spans="4:7" customFormat="1" x14ac:dyDescent="0.35">
      <c r="D2474" s="51">
        <v>43353</v>
      </c>
      <c r="E2474" s="57">
        <v>1.0033110000000001</v>
      </c>
      <c r="F2474" s="57">
        <v>4.7870013257664139</v>
      </c>
      <c r="G2474" s="2">
        <v>14.196779022015287</v>
      </c>
    </row>
    <row r="2475" spans="4:7" customFormat="1" x14ac:dyDescent="0.35">
      <c r="D2475" s="51">
        <v>43352</v>
      </c>
      <c r="E2475" s="57">
        <v>1</v>
      </c>
      <c r="F2475" s="57">
        <v>4.7870013257664139</v>
      </c>
      <c r="G2475" s="2">
        <v>14.196779022015287</v>
      </c>
    </row>
    <row r="2476" spans="4:7" customFormat="1" x14ac:dyDescent="0.35">
      <c r="D2476" s="51">
        <v>43351</v>
      </c>
      <c r="E2476" s="57">
        <v>1</v>
      </c>
      <c r="F2476" s="57">
        <v>4.7870013257664139</v>
      </c>
      <c r="G2476" s="2">
        <v>14.196779022015287</v>
      </c>
    </row>
    <row r="2477" spans="4:7" customFormat="1" x14ac:dyDescent="0.35">
      <c r="D2477" s="51">
        <v>43350</v>
      </c>
      <c r="E2477" s="57">
        <v>1.019533</v>
      </c>
      <c r="F2477" s="57">
        <v>4.8805058226626095</v>
      </c>
      <c r="G2477" s="2">
        <v>13.924786173684703</v>
      </c>
    </row>
    <row r="2478" spans="4:7" customFormat="1" x14ac:dyDescent="0.35">
      <c r="D2478" s="51">
        <v>43349</v>
      </c>
      <c r="E2478" s="57">
        <v>0.98139399999999999</v>
      </c>
      <c r="F2478" s="57">
        <v>4.7896991313261488</v>
      </c>
      <c r="G2478" s="2">
        <v>14.188782663929782</v>
      </c>
    </row>
    <row r="2479" spans="4:7" customFormat="1" x14ac:dyDescent="0.35">
      <c r="D2479" s="51">
        <v>43348</v>
      </c>
      <c r="E2479" s="57">
        <v>0.96727799999999997</v>
      </c>
      <c r="F2479" s="57">
        <v>4.6329705963508943</v>
      </c>
      <c r="G2479" s="2">
        <v>14.668774296458498</v>
      </c>
    </row>
    <row r="2480" spans="4:7" customFormat="1" x14ac:dyDescent="0.35">
      <c r="D2480" s="51">
        <v>43347</v>
      </c>
      <c r="E2480" s="57">
        <v>1.0339020000000001</v>
      </c>
      <c r="F2480" s="57">
        <v>4.7900375655083831</v>
      </c>
      <c r="G2480" s="2">
        <v>14.187780173032351</v>
      </c>
    </row>
    <row r="2481" spans="4:7" customFormat="1" x14ac:dyDescent="0.35">
      <c r="D2481" s="51">
        <v>43346</v>
      </c>
      <c r="E2481" s="57">
        <v>1</v>
      </c>
      <c r="F2481" s="57">
        <v>4.7900375655083831</v>
      </c>
      <c r="G2481" s="2">
        <v>14.187780173032351</v>
      </c>
    </row>
    <row r="2482" spans="4:7" customFormat="1" x14ac:dyDescent="0.35">
      <c r="D2482" s="51">
        <v>43345</v>
      </c>
      <c r="E2482" s="57">
        <v>1</v>
      </c>
      <c r="F2482" s="57">
        <v>4.7900375655083831</v>
      </c>
      <c r="G2482" s="2">
        <v>14.187780173032351</v>
      </c>
    </row>
    <row r="2483" spans="4:7" customFormat="1" x14ac:dyDescent="0.35">
      <c r="D2483" s="51">
        <v>43344</v>
      </c>
      <c r="E2483" s="57">
        <v>1</v>
      </c>
      <c r="F2483" s="57">
        <v>4.7900375655083831</v>
      </c>
      <c r="G2483" s="2">
        <v>14.187780173032351</v>
      </c>
    </row>
    <row r="2484" spans="4:7" customFormat="1" x14ac:dyDescent="0.35">
      <c r="D2484" s="51">
        <v>43343</v>
      </c>
      <c r="E2484" s="57">
        <v>1.007814</v>
      </c>
      <c r="F2484" s="57">
        <v>4.8274669190452659</v>
      </c>
      <c r="G2484" s="2">
        <v>14.077776428023773</v>
      </c>
    </row>
    <row r="2485" spans="4:7" customFormat="1" x14ac:dyDescent="0.35">
      <c r="D2485" s="51">
        <v>43342</v>
      </c>
      <c r="E2485" s="57">
        <v>0.993788</v>
      </c>
      <c r="F2485" s="57">
        <v>4.7974786945441563</v>
      </c>
      <c r="G2485" s="2">
        <v>14.165774217462653</v>
      </c>
    </row>
    <row r="2486" spans="4:7" customFormat="1" x14ac:dyDescent="0.35">
      <c r="D2486" s="51">
        <v>43341</v>
      </c>
      <c r="E2486" s="57">
        <v>1.011207</v>
      </c>
      <c r="F2486" s="57">
        <v>4.8512440382739124</v>
      </c>
      <c r="G2486" s="2">
        <v>14.008777844163117</v>
      </c>
    </row>
    <row r="2487" spans="4:7" customFormat="1" x14ac:dyDescent="0.35">
      <c r="D2487" s="51">
        <v>43340</v>
      </c>
      <c r="E2487" s="57">
        <v>1.002648</v>
      </c>
      <c r="F2487" s="57">
        <v>4.8640901324872612</v>
      </c>
      <c r="G2487" s="2">
        <v>13.971780569215836</v>
      </c>
    </row>
    <row r="2488" spans="4:7" customFormat="1" x14ac:dyDescent="0.35">
      <c r="D2488" s="51">
        <v>43339</v>
      </c>
      <c r="E2488" s="57">
        <v>1.0099020000000001</v>
      </c>
      <c r="F2488" s="57">
        <v>4.9122543529791507</v>
      </c>
      <c r="G2488" s="2">
        <v>13.834788493552676</v>
      </c>
    </row>
    <row r="2489" spans="4:7" customFormat="1" x14ac:dyDescent="0.35">
      <c r="D2489" s="51">
        <v>43338</v>
      </c>
      <c r="E2489" s="57">
        <v>1</v>
      </c>
      <c r="F2489" s="57">
        <v>4.9122543529791507</v>
      </c>
      <c r="G2489" s="2">
        <v>13.834788493552676</v>
      </c>
    </row>
    <row r="2490" spans="4:7" customFormat="1" x14ac:dyDescent="0.35">
      <c r="D2490" s="51">
        <v>43337</v>
      </c>
      <c r="E2490" s="57">
        <v>1</v>
      </c>
      <c r="F2490" s="57">
        <v>4.9122543529791507</v>
      </c>
      <c r="G2490" s="2">
        <v>13.834788493552676</v>
      </c>
    </row>
    <row r="2491" spans="4:7" customFormat="1" x14ac:dyDescent="0.35">
      <c r="D2491" s="51">
        <v>43336</v>
      </c>
      <c r="E2491" s="57">
        <v>1.01207</v>
      </c>
      <c r="F2491" s="57">
        <v>4.9715452630196095</v>
      </c>
      <c r="G2491" s="2">
        <v>13.669794079018915</v>
      </c>
    </row>
    <row r="2492" spans="4:7" customFormat="1" x14ac:dyDescent="0.35">
      <c r="D2492" s="51">
        <v>43335</v>
      </c>
      <c r="E2492" s="57">
        <v>1.054133</v>
      </c>
      <c r="F2492" s="57">
        <v>5.2406699227426499</v>
      </c>
      <c r="G2492" s="2">
        <v>12.967807742494463</v>
      </c>
    </row>
    <row r="2493" spans="4:7" customFormat="1" x14ac:dyDescent="0.35">
      <c r="D2493" s="51">
        <v>43334</v>
      </c>
      <c r="E2493" s="57">
        <v>1.0050380000000001</v>
      </c>
      <c r="F2493" s="57">
        <v>5.2670724178134281</v>
      </c>
      <c r="G2493" s="2">
        <v>12.902803418870192</v>
      </c>
    </row>
    <row r="2494" spans="4:7" customFormat="1" x14ac:dyDescent="0.35">
      <c r="D2494" s="51">
        <v>43333</v>
      </c>
      <c r="E2494" s="57">
        <v>1.0292760000000001</v>
      </c>
      <c r="F2494" s="57">
        <v>5.421271229917334</v>
      </c>
      <c r="G2494" s="2">
        <v>12.535805186237893</v>
      </c>
    </row>
    <row r="2495" spans="4:7" customFormat="1" x14ac:dyDescent="0.35">
      <c r="D2495" s="51">
        <v>43332</v>
      </c>
      <c r="E2495" s="57">
        <v>0.99800999999999995</v>
      </c>
      <c r="F2495" s="57">
        <v>5.4104829001697983</v>
      </c>
      <c r="G2495" s="2">
        <v>12.560801180587262</v>
      </c>
    </row>
    <row r="2496" spans="4:7" customFormat="1" x14ac:dyDescent="0.35">
      <c r="D2496" s="51">
        <v>43331</v>
      </c>
      <c r="E2496" s="57">
        <v>1</v>
      </c>
      <c r="F2496" s="57">
        <v>5.4104829001697983</v>
      </c>
      <c r="G2496" s="2">
        <v>12.560801180587262</v>
      </c>
    </row>
    <row r="2497" spans="4:7" customFormat="1" x14ac:dyDescent="0.35">
      <c r="D2497" s="51">
        <v>43330</v>
      </c>
      <c r="E2497" s="57">
        <v>1</v>
      </c>
      <c r="F2497" s="57">
        <v>5.4104829001697983</v>
      </c>
      <c r="G2497" s="2">
        <v>12.560801180587262</v>
      </c>
    </row>
    <row r="2498" spans="4:7" customFormat="1" x14ac:dyDescent="0.35">
      <c r="D2498" s="51">
        <v>43329</v>
      </c>
      <c r="E2498" s="57">
        <v>0.98719000000000001</v>
      </c>
      <c r="F2498" s="57">
        <v>5.3411746142186232</v>
      </c>
      <c r="G2498" s="2">
        <v>12.723792968513925</v>
      </c>
    </row>
    <row r="2499" spans="4:7" customFormat="1" x14ac:dyDescent="0.35">
      <c r="D2499" s="51">
        <v>43328</v>
      </c>
      <c r="E2499" s="57">
        <v>1.0043409999999999</v>
      </c>
      <c r="F2499" s="57">
        <v>5.3643606532189461</v>
      </c>
      <c r="G2499" s="2">
        <v>12.668797717621729</v>
      </c>
    </row>
    <row r="2500" spans="4:7" customFormat="1" x14ac:dyDescent="0.35">
      <c r="D2500" s="51">
        <v>43327</v>
      </c>
      <c r="E2500" s="57">
        <v>0.95255599999999996</v>
      </c>
      <c r="F2500" s="57">
        <v>5.1098539263876264</v>
      </c>
      <c r="G2500" s="2">
        <v>13.299793101530755</v>
      </c>
    </row>
    <row r="2501" spans="4:7" customFormat="1" x14ac:dyDescent="0.35">
      <c r="D2501" s="51">
        <v>43326</v>
      </c>
      <c r="E2501" s="57">
        <v>1.0581590000000001</v>
      </c>
      <c r="F2501" s="57">
        <v>5.4070379208924049</v>
      </c>
      <c r="G2501" s="2">
        <v>12.568804028062658</v>
      </c>
    </row>
    <row r="2502" spans="4:7" customFormat="1" x14ac:dyDescent="0.35">
      <c r="D2502" s="51">
        <v>43325</v>
      </c>
      <c r="E2502" s="57">
        <v>0.98248999999999997</v>
      </c>
      <c r="F2502" s="57">
        <v>5.3123606868975788</v>
      </c>
      <c r="G2502" s="2">
        <v>12.792806062211989</v>
      </c>
    </row>
    <row r="2503" spans="4:7" customFormat="1" x14ac:dyDescent="0.35">
      <c r="D2503" s="51">
        <v>43324</v>
      </c>
      <c r="E2503" s="57">
        <v>1</v>
      </c>
      <c r="F2503" s="57">
        <v>5.3123606868975788</v>
      </c>
      <c r="G2503" s="2">
        <v>12.792806062211989</v>
      </c>
    </row>
    <row r="2504" spans="4:7" customFormat="1" x14ac:dyDescent="0.35">
      <c r="D2504" s="51">
        <v>43323</v>
      </c>
      <c r="E2504" s="57">
        <v>1</v>
      </c>
      <c r="F2504" s="57">
        <v>5.3123606868975788</v>
      </c>
      <c r="G2504" s="2">
        <v>12.792806062211989</v>
      </c>
    </row>
    <row r="2505" spans="4:7" customFormat="1" x14ac:dyDescent="0.35">
      <c r="D2505" s="51">
        <v>43322</v>
      </c>
      <c r="E2505" s="57">
        <v>1.3713150000000001</v>
      </c>
      <c r="F2505" s="57">
        <v>7.2849198953529539</v>
      </c>
      <c r="G2505" s="2">
        <v>9.32886029993983</v>
      </c>
    </row>
    <row r="2506" spans="4:7" customFormat="1" x14ac:dyDescent="0.35">
      <c r="D2506" s="51">
        <v>43321</v>
      </c>
      <c r="E2506" s="57">
        <v>1.0210129999999999</v>
      </c>
      <c r="F2506" s="57">
        <v>7.4379979171140054</v>
      </c>
      <c r="G2506" s="2">
        <v>9.1368673072133557</v>
      </c>
    </row>
    <row r="2507" spans="4:7" customFormat="1" x14ac:dyDescent="0.35">
      <c r="D2507" s="51">
        <v>43320</v>
      </c>
      <c r="E2507" s="57">
        <v>1.0137579999999999</v>
      </c>
      <c r="F2507" s="57">
        <v>7.5403298924576596</v>
      </c>
      <c r="G2507" s="2">
        <v>9.0128682656150243</v>
      </c>
    </row>
    <row r="2508" spans="4:7" customFormat="1" x14ac:dyDescent="0.35">
      <c r="D2508" s="51">
        <v>43319</v>
      </c>
      <c r="E2508" s="57">
        <v>1.0111060000000001</v>
      </c>
      <c r="F2508" s="57">
        <v>7.6240727962432953</v>
      </c>
      <c r="G2508" s="2">
        <v>8.9138708163288758</v>
      </c>
    </row>
    <row r="2509" spans="4:7" customFormat="1" x14ac:dyDescent="0.35">
      <c r="D2509" s="51">
        <v>43318</v>
      </c>
      <c r="E2509" s="57">
        <v>1.0261309999999999</v>
      </c>
      <c r="F2509" s="57">
        <v>7.8232974424819277</v>
      </c>
      <c r="G2509" s="2">
        <v>8.6868741089869381</v>
      </c>
    </row>
    <row r="2510" spans="4:7" customFormat="1" x14ac:dyDescent="0.35">
      <c r="D2510" s="51">
        <v>43317</v>
      </c>
      <c r="E2510" s="57">
        <v>1</v>
      </c>
      <c r="F2510" s="57">
        <v>7.8232974424819277</v>
      </c>
      <c r="G2510" s="2">
        <v>8.6868741089869381</v>
      </c>
    </row>
    <row r="2511" spans="4:7" customFormat="1" x14ac:dyDescent="0.35">
      <c r="D2511" s="51">
        <v>43316</v>
      </c>
      <c r="E2511" s="57">
        <v>1</v>
      </c>
      <c r="F2511" s="57">
        <v>7.8232974424819277</v>
      </c>
      <c r="G2511" s="2">
        <v>8.6868741089869381</v>
      </c>
    </row>
    <row r="2512" spans="4:7" customFormat="1" x14ac:dyDescent="0.35">
      <c r="D2512" s="51">
        <v>43315</v>
      </c>
      <c r="E2512" s="57">
        <v>0.98169300000000004</v>
      </c>
      <c r="F2512" s="57">
        <v>7.6800763362024114</v>
      </c>
      <c r="G2512" s="2">
        <v>8.848870379015576</v>
      </c>
    </row>
    <row r="2513" spans="4:7" customFormat="1" x14ac:dyDescent="0.35">
      <c r="D2513" s="51">
        <v>43314</v>
      </c>
      <c r="E2513" s="57">
        <v>1.0189999999999999</v>
      </c>
      <c r="F2513" s="57">
        <v>7.8259977865902561</v>
      </c>
      <c r="G2513" s="2">
        <v>8.6838767213106749</v>
      </c>
    </row>
    <row r="2514" spans="4:7" customFormat="1" x14ac:dyDescent="0.35">
      <c r="D2514" s="51">
        <v>43313</v>
      </c>
      <c r="E2514" s="57">
        <v>1.0298860000000001</v>
      </c>
      <c r="F2514" s="57">
        <v>8.0598855564402925</v>
      </c>
      <c r="G2514" s="2">
        <v>8.4318815104882248</v>
      </c>
    </row>
    <row r="2515" spans="4:7" customFormat="1" x14ac:dyDescent="0.35">
      <c r="D2515" s="51">
        <v>43312</v>
      </c>
      <c r="E2515" s="57">
        <v>0.98092100000000004</v>
      </c>
      <c r="F2515" s="57">
        <v>7.906110999908968</v>
      </c>
      <c r="G2515" s="2">
        <v>8.5958823498408368</v>
      </c>
    </row>
    <row r="2516" spans="4:7" customFormat="1" x14ac:dyDescent="0.35">
      <c r="D2516" s="51">
        <v>43311</v>
      </c>
      <c r="E2516" s="57">
        <v>0.96044700000000005</v>
      </c>
      <c r="F2516" s="57">
        <v>7.5934005915295693</v>
      </c>
      <c r="G2516" s="2">
        <v>8.9498768280194909</v>
      </c>
    </row>
    <row r="2517" spans="4:7" customFormat="1" x14ac:dyDescent="0.35">
      <c r="D2517" s="51">
        <v>43310</v>
      </c>
      <c r="E2517" s="57">
        <v>1</v>
      </c>
      <c r="F2517" s="57">
        <v>7.5934005915295693</v>
      </c>
      <c r="G2517" s="2">
        <v>8.9498768280194909</v>
      </c>
    </row>
    <row r="2518" spans="4:7" customFormat="1" x14ac:dyDescent="0.35">
      <c r="D2518" s="51">
        <v>43309</v>
      </c>
      <c r="E2518" s="57">
        <v>1</v>
      </c>
      <c r="F2518" s="57">
        <v>7.5934005915295693</v>
      </c>
      <c r="G2518" s="2">
        <v>8.9498768280194909</v>
      </c>
    </row>
    <row r="2519" spans="4:7" customFormat="1" x14ac:dyDescent="0.35">
      <c r="D2519" s="51">
        <v>43308</v>
      </c>
      <c r="E2519" s="57">
        <v>0.96454399999999996</v>
      </c>
      <c r="F2519" s="57">
        <v>7.3241689801562968</v>
      </c>
      <c r="G2519" s="2">
        <v>9.278868385495624</v>
      </c>
    </row>
    <row r="2520" spans="4:7" customFormat="1" x14ac:dyDescent="0.35">
      <c r="D2520" s="51">
        <v>43307</v>
      </c>
      <c r="E2520" s="57">
        <v>0.99624199999999996</v>
      </c>
      <c r="F2520" s="57">
        <v>7.2966447531288692</v>
      </c>
      <c r="G2520" s="2">
        <v>9.3138699086121903</v>
      </c>
    </row>
    <row r="2521" spans="4:7" customFormat="1" x14ac:dyDescent="0.35">
      <c r="D2521" s="51">
        <v>43306</v>
      </c>
      <c r="E2521" s="57">
        <v>1.032022</v>
      </c>
      <c r="F2521" s="57">
        <v>7.5302979114135615</v>
      </c>
      <c r="G2521" s="2">
        <v>9.0248753501496957</v>
      </c>
    </row>
    <row r="2522" spans="4:7" customFormat="1" x14ac:dyDescent="0.35">
      <c r="D2522" s="51">
        <v>43305</v>
      </c>
      <c r="E2522" s="57">
        <v>0.95120199999999999</v>
      </c>
      <c r="F2522" s="57">
        <v>7.1628344339324022</v>
      </c>
      <c r="G2522" s="2">
        <v>9.4878641446818843</v>
      </c>
    </row>
    <row r="2523" spans="4:7" customFormat="1" x14ac:dyDescent="0.35">
      <c r="D2523" s="51">
        <v>43304</v>
      </c>
      <c r="E2523" s="57">
        <v>0.97512799999999999</v>
      </c>
      <c r="F2523" s="57">
        <v>6.9846804158916358</v>
      </c>
      <c r="G2523" s="2">
        <v>9.7298653558116293</v>
      </c>
    </row>
    <row r="2524" spans="4:7" customFormat="1" x14ac:dyDescent="0.35">
      <c r="D2524" s="51">
        <v>43303</v>
      </c>
      <c r="E2524" s="57">
        <v>1</v>
      </c>
      <c r="F2524" s="57">
        <v>6.9846804158916358</v>
      </c>
      <c r="G2524" s="2">
        <v>9.7298653558116293</v>
      </c>
    </row>
    <row r="2525" spans="4:7" customFormat="1" x14ac:dyDescent="0.35">
      <c r="D2525" s="51">
        <v>43302</v>
      </c>
      <c r="E2525" s="57">
        <v>1</v>
      </c>
      <c r="F2525" s="57">
        <v>6.9846804158916358</v>
      </c>
      <c r="G2525" s="2">
        <v>9.7298653558116293</v>
      </c>
    </row>
    <row r="2526" spans="4:7" customFormat="1" x14ac:dyDescent="0.35">
      <c r="D2526" s="51">
        <v>43301</v>
      </c>
      <c r="E2526" s="57">
        <v>1.027455</v>
      </c>
      <c r="F2526" s="57">
        <v>7.1764448167099406</v>
      </c>
      <c r="G2526" s="2">
        <v>9.4698700729585532</v>
      </c>
    </row>
    <row r="2527" spans="4:7" customFormat="1" x14ac:dyDescent="0.35">
      <c r="D2527" s="51">
        <v>43300</v>
      </c>
      <c r="E2527" s="57">
        <v>0.99495699999999998</v>
      </c>
      <c r="F2527" s="57">
        <v>7.1402540054992718</v>
      </c>
      <c r="G2527" s="2">
        <v>9.5178686847356762</v>
      </c>
    </row>
    <row r="2528" spans="4:7" customFormat="1" x14ac:dyDescent="0.35">
      <c r="D2528" s="51">
        <v>43299</v>
      </c>
      <c r="E2528" s="57">
        <v>1.00295</v>
      </c>
      <c r="F2528" s="57">
        <v>7.1613177548154949</v>
      </c>
      <c r="G2528" s="2">
        <v>9.4898735577403421</v>
      </c>
    </row>
    <row r="2529" spans="4:7" customFormat="1" x14ac:dyDescent="0.35">
      <c r="D2529" s="51">
        <v>43298</v>
      </c>
      <c r="E2529" s="57">
        <v>1.0168219999999999</v>
      </c>
      <c r="F2529" s="57">
        <v>7.2817854420870001</v>
      </c>
      <c r="G2529" s="2">
        <v>9.3328759190304122</v>
      </c>
    </row>
    <row r="2530" spans="4:7" customFormat="1" x14ac:dyDescent="0.35">
      <c r="D2530" s="51">
        <v>43297</v>
      </c>
      <c r="E2530" s="57">
        <v>0.99139599999999994</v>
      </c>
      <c r="F2530" s="57">
        <v>7.2191329601432832</v>
      </c>
      <c r="G2530" s="2">
        <v>9.4138728813011276</v>
      </c>
    </row>
    <row r="2531" spans="4:7" customFormat="1" x14ac:dyDescent="0.35">
      <c r="D2531" s="51">
        <v>43296</v>
      </c>
      <c r="E2531" s="57">
        <v>1</v>
      </c>
      <c r="F2531" s="57">
        <v>7.2191329601432832</v>
      </c>
      <c r="G2531" s="2">
        <v>9.4138728813011276</v>
      </c>
    </row>
    <row r="2532" spans="4:7" customFormat="1" x14ac:dyDescent="0.35">
      <c r="D2532" s="51">
        <v>43295</v>
      </c>
      <c r="E2532" s="57">
        <v>1</v>
      </c>
      <c r="F2532" s="57">
        <v>7.2191329601432832</v>
      </c>
      <c r="G2532" s="2">
        <v>9.4138728813011276</v>
      </c>
    </row>
    <row r="2533" spans="4:7" customFormat="1" x14ac:dyDescent="0.35">
      <c r="D2533" s="51">
        <v>43294</v>
      </c>
      <c r="E2533" s="57">
        <v>0.99272400000000005</v>
      </c>
      <c r="F2533" s="57">
        <v>7.166606548725281</v>
      </c>
      <c r="G2533" s="2">
        <v>9.4828702452052411</v>
      </c>
    </row>
    <row r="2534" spans="4:7" customFormat="1" x14ac:dyDescent="0.35">
      <c r="D2534" s="51">
        <v>43293</v>
      </c>
      <c r="E2534" s="57">
        <v>1.03481</v>
      </c>
      <c r="F2534" s="57">
        <v>7.416076122686408</v>
      </c>
      <c r="G2534" s="2">
        <v>9.1638757310088241</v>
      </c>
    </row>
    <row r="2535" spans="4:7" customFormat="1" x14ac:dyDescent="0.35">
      <c r="D2535" s="51">
        <v>43292</v>
      </c>
      <c r="E2535" s="57">
        <v>0.988672</v>
      </c>
      <c r="F2535" s="57">
        <v>7.3320668123686161</v>
      </c>
      <c r="G2535" s="2">
        <v>9.2688735303607519</v>
      </c>
    </row>
    <row r="2536" spans="4:7" customFormat="1" x14ac:dyDescent="0.35">
      <c r="D2536" s="51">
        <v>43291</v>
      </c>
      <c r="E2536" s="57">
        <v>0.98032799999999998</v>
      </c>
      <c r="F2536" s="57">
        <v>7.1878303940357009</v>
      </c>
      <c r="G2536" s="2">
        <v>9.4548697276429436</v>
      </c>
    </row>
    <row r="2537" spans="4:7" customFormat="1" x14ac:dyDescent="0.35">
      <c r="D2537" s="51">
        <v>43290</v>
      </c>
      <c r="E2537" s="57">
        <v>1.0058510000000001</v>
      </c>
      <c r="F2537" s="57">
        <v>7.2298863896712042</v>
      </c>
      <c r="G2537" s="2">
        <v>9.3998710819424964</v>
      </c>
    </row>
    <row r="2538" spans="4:7" customFormat="1" x14ac:dyDescent="0.35">
      <c r="D2538" s="51">
        <v>43289</v>
      </c>
      <c r="E2538" s="57">
        <v>1</v>
      </c>
      <c r="F2538" s="57">
        <v>7.2298863896712042</v>
      </c>
      <c r="G2538" s="2">
        <v>9.3998710819424964</v>
      </c>
    </row>
    <row r="2539" spans="4:7" customFormat="1" x14ac:dyDescent="0.35">
      <c r="D2539" s="51">
        <v>43288</v>
      </c>
      <c r="E2539" s="57">
        <v>1</v>
      </c>
      <c r="F2539" s="57">
        <v>7.2298863896712042</v>
      </c>
      <c r="G2539" s="2">
        <v>9.3998710819424964</v>
      </c>
    </row>
    <row r="2540" spans="4:7" customFormat="1" x14ac:dyDescent="0.35">
      <c r="D2540" s="51">
        <v>43287</v>
      </c>
      <c r="E2540" s="57">
        <v>1.0132589999999999</v>
      </c>
      <c r="F2540" s="57">
        <v>7.3257474533118545</v>
      </c>
      <c r="G2540" s="2">
        <v>9.2768690748786806</v>
      </c>
    </row>
    <row r="2541" spans="4:7" customFormat="1" x14ac:dyDescent="0.35">
      <c r="D2541" s="51">
        <v>43286</v>
      </c>
      <c r="E2541" s="57">
        <v>1.0194510000000001</v>
      </c>
      <c r="F2541" s="57">
        <v>7.468240567026224</v>
      </c>
      <c r="G2541" s="2">
        <v>9.0998675511414273</v>
      </c>
    </row>
    <row r="2542" spans="4:7" customFormat="1" x14ac:dyDescent="0.35">
      <c r="D2542" s="51">
        <v>43285</v>
      </c>
      <c r="E2542" s="57">
        <v>1</v>
      </c>
      <c r="F2542" s="57">
        <v>7.468240567026224</v>
      </c>
      <c r="G2542" s="2">
        <v>9.0998675511414273</v>
      </c>
    </row>
    <row r="2543" spans="4:7" customFormat="1" x14ac:dyDescent="0.35">
      <c r="D2543" s="51">
        <v>43284</v>
      </c>
      <c r="E2543" s="57">
        <v>0.96602999999999994</v>
      </c>
      <c r="F2543" s="57">
        <v>7.2145444349643428</v>
      </c>
      <c r="G2543" s="2">
        <v>9.4198602022105202</v>
      </c>
    </row>
    <row r="2544" spans="4:7" customFormat="1" x14ac:dyDescent="0.35">
      <c r="D2544" s="51">
        <v>43283</v>
      </c>
      <c r="E2544" s="57">
        <v>1.004264</v>
      </c>
      <c r="F2544" s="57">
        <v>7.2453072524350315</v>
      </c>
      <c r="G2544" s="2">
        <v>9.3798644601524295</v>
      </c>
    </row>
    <row r="2545" spans="4:7" customFormat="1" x14ac:dyDescent="0.35">
      <c r="D2545" s="51">
        <v>43282</v>
      </c>
      <c r="E2545" s="57">
        <v>1</v>
      </c>
      <c r="F2545" s="57">
        <v>7.2453072524350315</v>
      </c>
      <c r="G2545" s="2">
        <v>9.3798644601524295</v>
      </c>
    </row>
    <row r="2546" spans="4:7" customFormat="1" x14ac:dyDescent="0.35">
      <c r="D2546" s="51">
        <v>43281</v>
      </c>
      <c r="E2546" s="57">
        <v>1</v>
      </c>
      <c r="F2546" s="57">
        <v>7.2453072524350315</v>
      </c>
      <c r="G2546" s="2">
        <v>9.3798644601524295</v>
      </c>
    </row>
    <row r="2547" spans="4:7" customFormat="1" x14ac:dyDescent="0.35">
      <c r="D2547" s="51">
        <v>43280</v>
      </c>
      <c r="E2547" s="57">
        <v>1.0172429999999999</v>
      </c>
      <c r="F2547" s="57">
        <v>7.3702380853887677</v>
      </c>
      <c r="G2547" s="2">
        <v>9.2208690157144648</v>
      </c>
    </row>
    <row r="2548" spans="4:7" customFormat="1" x14ac:dyDescent="0.35">
      <c r="D2548" s="51">
        <v>43279</v>
      </c>
      <c r="E2548" s="57">
        <v>1.0293589999999999</v>
      </c>
      <c r="F2548" s="57">
        <v>7.5866209053376963</v>
      </c>
      <c r="G2548" s="2">
        <v>8.9578747703322801</v>
      </c>
    </row>
    <row r="2549" spans="4:7" customFormat="1" x14ac:dyDescent="0.35">
      <c r="D2549" s="51">
        <v>43278</v>
      </c>
      <c r="E2549" s="57">
        <v>0.97741400000000001</v>
      </c>
      <c r="F2549" s="57">
        <v>7.4152694855697394</v>
      </c>
      <c r="G2549" s="2">
        <v>9.1648725824801769</v>
      </c>
    </row>
    <row r="2550" spans="4:7" customFormat="1" x14ac:dyDescent="0.35">
      <c r="D2550" s="51">
        <v>43277</v>
      </c>
      <c r="E2550" s="57">
        <v>1.0258560000000001</v>
      </c>
      <c r="F2550" s="57">
        <v>7.6069986933886318</v>
      </c>
      <c r="G2550" s="2">
        <v>8.9338782270417827</v>
      </c>
    </row>
    <row r="2551" spans="4:7" customFormat="1" x14ac:dyDescent="0.35">
      <c r="D2551" s="51">
        <v>43276</v>
      </c>
      <c r="E2551" s="57">
        <v>0.97045400000000004</v>
      </c>
      <c r="F2551" s="57">
        <v>7.3822423099937717</v>
      </c>
      <c r="G2551" s="2">
        <v>9.2058750100898994</v>
      </c>
    </row>
    <row r="2552" spans="4:7" customFormat="1" x14ac:dyDescent="0.35">
      <c r="D2552" s="51">
        <v>43275</v>
      </c>
      <c r="E2552" s="57">
        <v>1</v>
      </c>
      <c r="F2552" s="57">
        <v>7.3822423099937717</v>
      </c>
      <c r="G2552" s="2">
        <v>9.2058750100898994</v>
      </c>
    </row>
    <row r="2553" spans="4:7" customFormat="1" x14ac:dyDescent="0.35">
      <c r="D2553" s="51">
        <v>43274</v>
      </c>
      <c r="E2553" s="57">
        <v>1</v>
      </c>
      <c r="F2553" s="57">
        <v>7.3822423099937717</v>
      </c>
      <c r="G2553" s="2">
        <v>9.2058750100898994</v>
      </c>
    </row>
    <row r="2554" spans="4:7" customFormat="1" x14ac:dyDescent="0.35">
      <c r="D2554" s="51">
        <v>43273</v>
      </c>
      <c r="E2554" s="57">
        <v>1.005681</v>
      </c>
      <c r="F2554" s="57">
        <v>7.4241808285568469</v>
      </c>
      <c r="G2554" s="2">
        <v>9.1538718640303429</v>
      </c>
    </row>
    <row r="2555" spans="4:7" customFormat="1" x14ac:dyDescent="0.35">
      <c r="D2555" s="51">
        <v>43272</v>
      </c>
      <c r="E2555" s="57">
        <v>0.98050599999999999</v>
      </c>
      <c r="F2555" s="57">
        <v>7.2794538474849597</v>
      </c>
      <c r="G2555" s="2">
        <v>9.3358652206415282</v>
      </c>
    </row>
    <row r="2556" spans="4:7" customFormat="1" x14ac:dyDescent="0.35">
      <c r="D2556" s="51">
        <v>43271</v>
      </c>
      <c r="E2556" s="57">
        <v>1.0204390000000001</v>
      </c>
      <c r="F2556" s="57">
        <v>7.4282386046737052</v>
      </c>
      <c r="G2556" s="2">
        <v>9.1488714373338613</v>
      </c>
    </row>
    <row r="2557" spans="4:7" customFormat="1" x14ac:dyDescent="0.35">
      <c r="D2557" s="51">
        <v>43270</v>
      </c>
      <c r="E2557" s="57">
        <v>0.98460999999999999</v>
      </c>
      <c r="F2557" s="57">
        <v>7.3139180125477772</v>
      </c>
      <c r="G2557" s="2">
        <v>9.2918733684746861</v>
      </c>
    </row>
    <row r="2558" spans="4:7" customFormat="1" x14ac:dyDescent="0.35">
      <c r="D2558" s="51">
        <v>43269</v>
      </c>
      <c r="E2558" s="57">
        <v>1.0310699999999999</v>
      </c>
      <c r="F2558" s="57">
        <v>7.5411614451976359</v>
      </c>
      <c r="G2558" s="2">
        <v>9.0118744299365581</v>
      </c>
    </row>
    <row r="2559" spans="4:7" customFormat="1" x14ac:dyDescent="0.35">
      <c r="D2559" s="51">
        <v>43268</v>
      </c>
      <c r="E2559" s="57">
        <v>1</v>
      </c>
      <c r="F2559" s="57">
        <v>7.5411614451976359</v>
      </c>
      <c r="G2559" s="2">
        <v>9.0118744299365581</v>
      </c>
    </row>
    <row r="2560" spans="4:7" customFormat="1" x14ac:dyDescent="0.35">
      <c r="D2560" s="51">
        <v>43267</v>
      </c>
      <c r="E2560" s="57">
        <v>1</v>
      </c>
      <c r="F2560" s="57">
        <v>7.5411614451976359</v>
      </c>
      <c r="G2560" s="2">
        <v>9.0118744299365581</v>
      </c>
    </row>
    <row r="2561" spans="4:7" customFormat="1" x14ac:dyDescent="0.35">
      <c r="D2561" s="51">
        <v>43266</v>
      </c>
      <c r="E2561" s="57">
        <v>0.99547099999999999</v>
      </c>
      <c r="F2561" s="57">
        <v>7.5070075250123356</v>
      </c>
      <c r="G2561" s="2">
        <v>9.0528749003602904</v>
      </c>
    </row>
    <row r="2562" spans="4:7" customFormat="1" x14ac:dyDescent="0.35">
      <c r="D2562" s="51">
        <v>43265</v>
      </c>
      <c r="E2562" s="57">
        <v>1.0052190000000001</v>
      </c>
      <c r="F2562" s="57">
        <v>7.5461865972853754</v>
      </c>
      <c r="G2562" s="2">
        <v>9.005873247879606</v>
      </c>
    </row>
    <row r="2563" spans="4:7" customFormat="1" x14ac:dyDescent="0.35">
      <c r="D2563" s="51">
        <v>43264</v>
      </c>
      <c r="E2563" s="57">
        <v>0.992178</v>
      </c>
      <c r="F2563" s="57">
        <v>7.4871603257214092</v>
      </c>
      <c r="G2563" s="2">
        <v>9.076872544926017</v>
      </c>
    </row>
    <row r="2564" spans="4:7" customFormat="1" x14ac:dyDescent="0.35">
      <c r="D2564" s="51">
        <v>43263</v>
      </c>
      <c r="E2564" s="57">
        <v>1.021954</v>
      </c>
      <c r="F2564" s="57">
        <v>7.6515334435122977</v>
      </c>
      <c r="G2564" s="2">
        <v>8.8818797567464056</v>
      </c>
    </row>
    <row r="2565" spans="4:7" customFormat="1" x14ac:dyDescent="0.35">
      <c r="D2565" s="51">
        <v>43262</v>
      </c>
      <c r="E2565" s="57">
        <v>1.002257</v>
      </c>
      <c r="F2565" s="57">
        <v>7.6688029544943044</v>
      </c>
      <c r="G2565" s="2">
        <v>8.8618784969787257</v>
      </c>
    </row>
    <row r="2566" spans="4:7" customFormat="1" x14ac:dyDescent="0.35">
      <c r="D2566" s="51">
        <v>43261</v>
      </c>
      <c r="E2566" s="57">
        <v>1</v>
      </c>
      <c r="F2566" s="57">
        <v>7.6688029544943044</v>
      </c>
      <c r="G2566" s="2">
        <v>8.8618784969787257</v>
      </c>
    </row>
    <row r="2567" spans="4:7" customFormat="1" x14ac:dyDescent="0.35">
      <c r="D2567" s="51">
        <v>43260</v>
      </c>
      <c r="E2567" s="57">
        <v>1</v>
      </c>
      <c r="F2567" s="57">
        <v>7.6688029544943044</v>
      </c>
      <c r="G2567" s="2">
        <v>8.8618784969787257</v>
      </c>
    </row>
    <row r="2568" spans="4:7" customFormat="1" x14ac:dyDescent="0.35">
      <c r="D2568" s="51">
        <v>43259</v>
      </c>
      <c r="E2568" s="57">
        <v>1.023917</v>
      </c>
      <c r="F2568" s="57">
        <v>7.8522177147569447</v>
      </c>
      <c r="G2568" s="2">
        <v>8.6548797382783231</v>
      </c>
    </row>
    <row r="2569" spans="4:7" customFormat="1" x14ac:dyDescent="0.35">
      <c r="D2569" s="51">
        <v>43258</v>
      </c>
      <c r="E2569" s="57">
        <v>1.0032460000000001</v>
      </c>
      <c r="F2569" s="57">
        <v>7.8777060134590462</v>
      </c>
      <c r="G2569" s="2">
        <v>8.6268768958743145</v>
      </c>
    </row>
    <row r="2570" spans="4:7" customFormat="1" x14ac:dyDescent="0.35">
      <c r="D2570" s="51">
        <v>43257</v>
      </c>
      <c r="E2570" s="57">
        <v>0.98112100000000002</v>
      </c>
      <c r="F2570" s="57">
        <v>7.728982801630953</v>
      </c>
      <c r="G2570" s="2">
        <v>8.7928776327020977</v>
      </c>
    </row>
    <row r="2571" spans="4:7" customFormat="1" x14ac:dyDescent="0.35">
      <c r="D2571" s="51">
        <v>43256</v>
      </c>
      <c r="E2571" s="57">
        <v>1.056851</v>
      </c>
      <c r="F2571" s="57">
        <v>8.1683832028864742</v>
      </c>
      <c r="G2571" s="2">
        <v>8.319883912398339</v>
      </c>
    </row>
    <row r="2572" spans="4:7" customFormat="1" x14ac:dyDescent="0.35">
      <c r="D2572" s="51">
        <v>43255</v>
      </c>
      <c r="E2572" s="57">
        <v>0.96029500000000001</v>
      </c>
      <c r="F2572" s="57">
        <v>7.8440575478158667</v>
      </c>
      <c r="G2572" s="2">
        <v>8.6638834029109173</v>
      </c>
    </row>
    <row r="2573" spans="4:7" customFormat="1" x14ac:dyDescent="0.35">
      <c r="D2573" s="51">
        <v>43254</v>
      </c>
      <c r="E2573" s="57">
        <v>1</v>
      </c>
      <c r="F2573" s="57">
        <v>7.8440575478158667</v>
      </c>
      <c r="G2573" s="2">
        <v>8.6638834029109173</v>
      </c>
    </row>
    <row r="2574" spans="4:7" customFormat="1" x14ac:dyDescent="0.35">
      <c r="D2574" s="51">
        <v>43253</v>
      </c>
      <c r="E2574" s="57">
        <v>1</v>
      </c>
      <c r="F2574" s="57">
        <v>7.8440575478158667</v>
      </c>
      <c r="G2574" s="2">
        <v>8.6638834029109173</v>
      </c>
    </row>
    <row r="2575" spans="4:7" customFormat="1" x14ac:dyDescent="0.35">
      <c r="D2575" s="51">
        <v>43252</v>
      </c>
      <c r="E2575" s="57">
        <v>1.0129779999999999</v>
      </c>
      <c r="F2575" s="57">
        <v>7.9458577266714201</v>
      </c>
      <c r="G2575" s="2">
        <v>8.5528840734062523</v>
      </c>
    </row>
    <row r="2576" spans="4:7" customFormat="1" x14ac:dyDescent="0.35">
      <c r="D2576" s="51">
        <v>43251</v>
      </c>
      <c r="E2576" s="57">
        <v>1.0117100000000001</v>
      </c>
      <c r="F2576" s="57">
        <v>8.0389037206507439</v>
      </c>
      <c r="G2576" s="2">
        <v>8.4538890328317891</v>
      </c>
    </row>
    <row r="2577" spans="4:7" customFormat="1" x14ac:dyDescent="0.35">
      <c r="D2577" s="51">
        <v>43250</v>
      </c>
      <c r="E2577" s="57">
        <v>1.0218780000000001</v>
      </c>
      <c r="F2577" s="57">
        <v>8.2147788562511419</v>
      </c>
      <c r="G2577" s="2">
        <v>8.2728946438144177</v>
      </c>
    </row>
    <row r="2578" spans="4:7" customFormat="1" x14ac:dyDescent="0.35">
      <c r="D2578" s="51">
        <v>43249</v>
      </c>
      <c r="E2578" s="57">
        <v>1.002059</v>
      </c>
      <c r="F2578" s="57">
        <v>8.231693085916163</v>
      </c>
      <c r="G2578" s="2">
        <v>8.2558957544559917</v>
      </c>
    </row>
    <row r="2579" spans="4:7" customFormat="1" x14ac:dyDescent="0.35">
      <c r="D2579" s="51">
        <v>43248</v>
      </c>
      <c r="E2579" s="57">
        <v>1</v>
      </c>
      <c r="F2579" s="57">
        <v>8.231693085916163</v>
      </c>
      <c r="G2579" s="2">
        <v>8.2558957544559917</v>
      </c>
    </row>
    <row r="2580" spans="4:7" customFormat="1" x14ac:dyDescent="0.35">
      <c r="D2580" s="51">
        <v>43247</v>
      </c>
      <c r="E2580" s="57">
        <v>1</v>
      </c>
      <c r="F2580" s="57">
        <v>8.231693085916163</v>
      </c>
      <c r="G2580" s="2">
        <v>8.2558957544559917</v>
      </c>
    </row>
    <row r="2581" spans="4:7" customFormat="1" x14ac:dyDescent="0.35">
      <c r="D2581" s="51">
        <v>43246</v>
      </c>
      <c r="E2581" s="57">
        <v>1</v>
      </c>
      <c r="F2581" s="57">
        <v>8.231693085916163</v>
      </c>
      <c r="G2581" s="2">
        <v>8.2558957544559917</v>
      </c>
    </row>
    <row r="2582" spans="4:7" customFormat="1" x14ac:dyDescent="0.35">
      <c r="D2582" s="51">
        <v>43245</v>
      </c>
      <c r="E2582" s="57">
        <v>0.99481900000000001</v>
      </c>
      <c r="F2582" s="57">
        <v>8.1890446840380307</v>
      </c>
      <c r="G2582" s="2">
        <v>8.2988923155428207</v>
      </c>
    </row>
    <row r="2583" spans="4:7" customFormat="1" x14ac:dyDescent="0.35">
      <c r="D2583" s="51">
        <v>43244</v>
      </c>
      <c r="E2583" s="57">
        <v>1.000362</v>
      </c>
      <c r="F2583" s="57">
        <v>8.1920091182136527</v>
      </c>
      <c r="G2583" s="2">
        <v>8.2958892036510985</v>
      </c>
    </row>
    <row r="2584" spans="4:7" customFormat="1" x14ac:dyDescent="0.35">
      <c r="D2584" s="51">
        <v>43243</v>
      </c>
      <c r="E2584" s="57">
        <v>1.008877</v>
      </c>
      <c r="F2584" s="57">
        <v>8.2647295831560363</v>
      </c>
      <c r="G2584" s="2">
        <v>8.2228945685659376</v>
      </c>
    </row>
    <row r="2585" spans="4:7" customFormat="1" x14ac:dyDescent="0.35">
      <c r="D2585" s="51">
        <v>43242</v>
      </c>
      <c r="E2585" s="57">
        <v>0.991201</v>
      </c>
      <c r="F2585" s="57">
        <v>8.1920082275538455</v>
      </c>
      <c r="G2585" s="2">
        <v>8.2958901056051584</v>
      </c>
    </row>
    <row r="2586" spans="4:7" customFormat="1" x14ac:dyDescent="0.35">
      <c r="D2586" s="51">
        <v>43241</v>
      </c>
      <c r="E2586" s="57">
        <v>0.96881899999999999</v>
      </c>
      <c r="F2586" s="57">
        <v>7.936573219010489</v>
      </c>
      <c r="G2586" s="2">
        <v>8.5628895651356522</v>
      </c>
    </row>
    <row r="2587" spans="4:7" customFormat="1" x14ac:dyDescent="0.35">
      <c r="D2587" s="51">
        <v>43240</v>
      </c>
      <c r="E2587" s="57">
        <v>1</v>
      </c>
      <c r="F2587" s="57">
        <v>7.936573219010489</v>
      </c>
      <c r="G2587" s="2">
        <v>8.5628895651356522</v>
      </c>
    </row>
    <row r="2588" spans="4:7" customFormat="1" x14ac:dyDescent="0.35">
      <c r="D2588" s="51">
        <v>43239</v>
      </c>
      <c r="E2588" s="57">
        <v>1</v>
      </c>
      <c r="F2588" s="57">
        <v>7.936573219010489</v>
      </c>
      <c r="G2588" s="2">
        <v>8.5628895651356522</v>
      </c>
    </row>
    <row r="2589" spans="4:7" customFormat="1" x14ac:dyDescent="0.35">
      <c r="D2589" s="51">
        <v>43238</v>
      </c>
      <c r="E2589" s="57">
        <v>1.0645199999999999</v>
      </c>
      <c r="F2589" s="57">
        <v>8.4486409231010455</v>
      </c>
      <c r="G2589" s="2">
        <v>8.0438973106523619</v>
      </c>
    </row>
    <row r="2590" spans="4:7" customFormat="1" x14ac:dyDescent="0.35">
      <c r="D2590" s="51">
        <v>43237</v>
      </c>
      <c r="E2590" s="57">
        <v>0.99616099999999996</v>
      </c>
      <c r="F2590" s="57">
        <v>8.4162065905972607</v>
      </c>
      <c r="G2590" s="2">
        <v>8.0748968396196616</v>
      </c>
    </row>
    <row r="2591" spans="4:7" customFormat="1" x14ac:dyDescent="0.35">
      <c r="D2591" s="51">
        <v>43236</v>
      </c>
      <c r="E2591" s="57">
        <v>1.006607</v>
      </c>
      <c r="F2591" s="57">
        <v>8.4718124675413371</v>
      </c>
      <c r="G2591" s="2">
        <v>8.0218961716138093</v>
      </c>
    </row>
    <row r="2592" spans="4:7" customFormat="1" x14ac:dyDescent="0.35">
      <c r="D2592" s="51">
        <v>43235</v>
      </c>
      <c r="E2592" s="57">
        <v>1.0707420000000001</v>
      </c>
      <c r="F2592" s="57">
        <v>9.0711254251201474</v>
      </c>
      <c r="G2592" s="2">
        <v>7.4919039055288845</v>
      </c>
    </row>
    <row r="2593" spans="4:7" customFormat="1" x14ac:dyDescent="0.35">
      <c r="D2593" s="51">
        <v>43234</v>
      </c>
      <c r="E2593" s="57">
        <v>0.99087400000000003</v>
      </c>
      <c r="F2593" s="57">
        <v>8.9883423344905005</v>
      </c>
      <c r="G2593" s="2">
        <v>7.560904722022058</v>
      </c>
    </row>
    <row r="2594" spans="4:7" customFormat="1" x14ac:dyDescent="0.35">
      <c r="D2594" s="51">
        <v>43233</v>
      </c>
      <c r="E2594" s="57">
        <v>1</v>
      </c>
      <c r="F2594" s="57">
        <v>8.9883423344905005</v>
      </c>
      <c r="G2594" s="2">
        <v>7.560904722022058</v>
      </c>
    </row>
    <row r="2595" spans="4:7" customFormat="1" x14ac:dyDescent="0.35">
      <c r="D2595" s="51">
        <v>43232</v>
      </c>
      <c r="E2595" s="57">
        <v>1</v>
      </c>
      <c r="F2595" s="57">
        <v>8.9883423344905005</v>
      </c>
      <c r="G2595" s="2">
        <v>7.560904722022058</v>
      </c>
    </row>
    <row r="2596" spans="4:7" customFormat="1" x14ac:dyDescent="0.35">
      <c r="D2596" s="51">
        <v>43231</v>
      </c>
      <c r="E2596" s="57">
        <v>1.4339090000000001</v>
      </c>
      <c r="F2596" s="57">
        <v>12.888464968506939</v>
      </c>
      <c r="G2596" s="2">
        <v>5.2729320493992704</v>
      </c>
    </row>
    <row r="2597" spans="4:7" customFormat="1" x14ac:dyDescent="0.35">
      <c r="D2597" s="51">
        <v>43230</v>
      </c>
      <c r="E2597" s="57">
        <v>1.0234859999999999</v>
      </c>
      <c r="F2597" s="57">
        <v>13.191163456757293</v>
      </c>
      <c r="G2597" s="2">
        <v>5.1519337337289128</v>
      </c>
    </row>
    <row r="2598" spans="4:7" customFormat="1" x14ac:dyDescent="0.35">
      <c r="D2598" s="51">
        <v>43229</v>
      </c>
      <c r="E2598" s="57">
        <v>1.0113859999999999</v>
      </c>
      <c r="F2598" s="57">
        <v>13.34135804387593</v>
      </c>
      <c r="G2598" s="2">
        <v>5.0939341989397855</v>
      </c>
    </row>
    <row r="2599" spans="4:7" customFormat="1" x14ac:dyDescent="0.35">
      <c r="D2599" s="51">
        <v>43228</v>
      </c>
      <c r="E2599" s="57">
        <v>1.000982</v>
      </c>
      <c r="F2599" s="57">
        <v>13.354459257475018</v>
      </c>
      <c r="G2599" s="2">
        <v>5.0889368629403773</v>
      </c>
    </row>
    <row r="2600" spans="4:7" customFormat="1" x14ac:dyDescent="0.35">
      <c r="D2600" s="51">
        <v>43227</v>
      </c>
      <c r="E2600" s="57">
        <v>1.0295369999999999</v>
      </c>
      <c r="F2600" s="57">
        <v>13.748909920563056</v>
      </c>
      <c r="G2600" s="2">
        <v>4.9429373232243012</v>
      </c>
    </row>
    <row r="2601" spans="4:7" customFormat="1" x14ac:dyDescent="0.35">
      <c r="D2601" s="51">
        <v>43226</v>
      </c>
      <c r="E2601" s="57">
        <v>1</v>
      </c>
      <c r="F2601" s="57">
        <v>13.748909920563056</v>
      </c>
      <c r="G2601" s="2">
        <v>4.9429373232243012</v>
      </c>
    </row>
    <row r="2602" spans="4:7" customFormat="1" x14ac:dyDescent="0.35">
      <c r="D2602" s="51">
        <v>43225</v>
      </c>
      <c r="E2602" s="57">
        <v>1</v>
      </c>
      <c r="F2602" s="57">
        <v>13.748909920563056</v>
      </c>
      <c r="G2602" s="2">
        <v>4.9429373232243012</v>
      </c>
    </row>
    <row r="2603" spans="4:7" customFormat="1" x14ac:dyDescent="0.35">
      <c r="D2603" s="51">
        <v>43224</v>
      </c>
      <c r="E2603" s="57">
        <v>0.99979799999999996</v>
      </c>
      <c r="F2603" s="57">
        <v>13.746132640759102</v>
      </c>
      <c r="G2603" s="2">
        <v>4.9439359982959576</v>
      </c>
    </row>
    <row r="2604" spans="4:7" customFormat="1" x14ac:dyDescent="0.35">
      <c r="D2604" s="51">
        <v>43223</v>
      </c>
      <c r="E2604" s="57">
        <v>1.002027</v>
      </c>
      <c r="F2604" s="57">
        <v>13.773996051621921</v>
      </c>
      <c r="G2604" s="2">
        <v>4.9339349122288692</v>
      </c>
    </row>
    <row r="2605" spans="4:7" customFormat="1" x14ac:dyDescent="0.35">
      <c r="D2605" s="51">
        <v>43222</v>
      </c>
      <c r="E2605" s="57">
        <v>0.997776</v>
      </c>
      <c r="F2605" s="57">
        <v>13.743362684403115</v>
      </c>
      <c r="G2605" s="2">
        <v>4.9449324419798319</v>
      </c>
    </row>
    <row r="2606" spans="4:7" customFormat="1" x14ac:dyDescent="0.35">
      <c r="D2606" s="51">
        <v>43221</v>
      </c>
      <c r="E2606" s="57">
        <v>0.966387</v>
      </c>
      <c r="F2606" s="57">
        <v>13.281407034492274</v>
      </c>
      <c r="G2606" s="2">
        <v>5.1169277338993924</v>
      </c>
    </row>
    <row r="2607" spans="4:7" customFormat="1" x14ac:dyDescent="0.35">
      <c r="D2607" s="51">
        <v>43220</v>
      </c>
      <c r="E2607" s="57">
        <v>0.98898299999999995</v>
      </c>
      <c r="F2607" s="57">
        <v>13.135085773193271</v>
      </c>
      <c r="G2607" s="2">
        <v>5.1739289086863902</v>
      </c>
    </row>
    <row r="2608" spans="4:7" customFormat="1" x14ac:dyDescent="0.35">
      <c r="D2608" s="51">
        <v>43219</v>
      </c>
      <c r="E2608" s="57">
        <v>1</v>
      </c>
      <c r="F2608" s="57">
        <v>13.135085773193271</v>
      </c>
      <c r="G2608" s="2">
        <v>5.1739289086863902</v>
      </c>
    </row>
    <row r="2609" spans="4:7" customFormat="1" x14ac:dyDescent="0.35">
      <c r="D2609" s="51">
        <v>43218</v>
      </c>
      <c r="E2609" s="57">
        <v>1</v>
      </c>
      <c r="F2609" s="57">
        <v>13.135085773193271</v>
      </c>
      <c r="G2609" s="2">
        <v>5.1739289086863902</v>
      </c>
    </row>
    <row r="2610" spans="4:7" customFormat="1" x14ac:dyDescent="0.35">
      <c r="D2610" s="51">
        <v>43217</v>
      </c>
      <c r="E2610" s="57">
        <v>0.9929</v>
      </c>
      <c r="F2610" s="57">
        <v>13.041826664203599</v>
      </c>
      <c r="G2610" s="2">
        <v>5.2109264867422604</v>
      </c>
    </row>
    <row r="2611" spans="4:7" customFormat="1" x14ac:dyDescent="0.35">
      <c r="D2611" s="51">
        <v>43216</v>
      </c>
      <c r="E2611" s="57">
        <v>1.0215639999999999</v>
      </c>
      <c r="F2611" s="57">
        <v>13.323060614390485</v>
      </c>
      <c r="G2611" s="2">
        <v>5.1009300315420871</v>
      </c>
    </row>
    <row r="2612" spans="4:7" customFormat="1" x14ac:dyDescent="0.35">
      <c r="D2612" s="51">
        <v>43215</v>
      </c>
      <c r="E2612" s="57">
        <v>0.97161900000000001</v>
      </c>
      <c r="F2612" s="57">
        <v>12.944938831093468</v>
      </c>
      <c r="G2612" s="2">
        <v>5.2499282450652851</v>
      </c>
    </row>
    <row r="2613" spans="4:7" customFormat="1" x14ac:dyDescent="0.35">
      <c r="D2613" s="51">
        <v>43214</v>
      </c>
      <c r="E2613" s="57">
        <v>0.97728999999999999</v>
      </c>
      <c r="F2613" s="57">
        <v>12.650959270239335</v>
      </c>
      <c r="G2613" s="2">
        <v>5.3719246539566408</v>
      </c>
    </row>
    <row r="2614" spans="4:7" customFormat="1" x14ac:dyDescent="0.35">
      <c r="D2614" s="51">
        <v>43213</v>
      </c>
      <c r="E2614" s="57">
        <v>0.99242600000000003</v>
      </c>
      <c r="F2614" s="57">
        <v>12.555140904726542</v>
      </c>
      <c r="G2614" s="2">
        <v>5.4129221261400247</v>
      </c>
    </row>
    <row r="2615" spans="4:7" customFormat="1" x14ac:dyDescent="0.35">
      <c r="D2615" s="51">
        <v>43212</v>
      </c>
      <c r="E2615" s="57">
        <v>1</v>
      </c>
      <c r="F2615" s="57">
        <v>12.555140904726542</v>
      </c>
      <c r="G2615" s="2">
        <v>5.4129221261400247</v>
      </c>
    </row>
    <row r="2616" spans="4:7" customFormat="1" x14ac:dyDescent="0.35">
      <c r="D2616" s="51">
        <v>43211</v>
      </c>
      <c r="E2616" s="57">
        <v>1</v>
      </c>
      <c r="F2616" s="57">
        <v>12.555140904726542</v>
      </c>
      <c r="G2616" s="2">
        <v>5.4129221261400247</v>
      </c>
    </row>
    <row r="2617" spans="4:7" customFormat="1" x14ac:dyDescent="0.35">
      <c r="D2617" s="51">
        <v>43210</v>
      </c>
      <c r="E2617" s="57">
        <v>1.0027790000000001</v>
      </c>
      <c r="F2617" s="57">
        <v>12.590031641300779</v>
      </c>
      <c r="G2617" s="2">
        <v>5.3979213028394337</v>
      </c>
    </row>
    <row r="2618" spans="4:7" customFormat="1" x14ac:dyDescent="0.35">
      <c r="D2618" s="51">
        <v>43209</v>
      </c>
      <c r="E2618" s="57">
        <v>0.99870499999999995</v>
      </c>
      <c r="F2618" s="57">
        <v>12.573727550325295</v>
      </c>
      <c r="G2618" s="2">
        <v>5.404920675113706</v>
      </c>
    </row>
    <row r="2619" spans="4:7" customFormat="1" x14ac:dyDescent="0.35">
      <c r="D2619" s="51">
        <v>43208</v>
      </c>
      <c r="E2619" s="57">
        <v>0.99704899999999996</v>
      </c>
      <c r="F2619" s="57">
        <v>12.536622480324285</v>
      </c>
      <c r="G2619" s="2">
        <v>5.4209178035519878</v>
      </c>
    </row>
    <row r="2620" spans="4:7" customFormat="1" x14ac:dyDescent="0.35">
      <c r="D2620" s="51">
        <v>43207</v>
      </c>
      <c r="E2620" s="57">
        <v>1.031393</v>
      </c>
      <c r="F2620" s="57">
        <v>12.930184669849105</v>
      </c>
      <c r="G2620" s="2">
        <v>5.2559187463478887</v>
      </c>
    </row>
    <row r="2621" spans="4:7" customFormat="1" x14ac:dyDescent="0.35">
      <c r="D2621" s="51">
        <v>43206</v>
      </c>
      <c r="E2621" s="57">
        <v>1.0051639999999999</v>
      </c>
      <c r="F2621" s="57">
        <v>12.996956143484205</v>
      </c>
      <c r="G2621" s="2">
        <v>5.2289166209174711</v>
      </c>
    </row>
    <row r="2622" spans="4:7" customFormat="1" x14ac:dyDescent="0.35">
      <c r="D2622" s="51">
        <v>43205</v>
      </c>
      <c r="E2622" s="57">
        <v>1</v>
      </c>
      <c r="F2622" s="57">
        <v>12.996956143484205</v>
      </c>
      <c r="G2622" s="2">
        <v>5.2289166209174711</v>
      </c>
    </row>
    <row r="2623" spans="4:7" customFormat="1" x14ac:dyDescent="0.35">
      <c r="D2623" s="51">
        <v>43204</v>
      </c>
      <c r="E2623" s="57">
        <v>1</v>
      </c>
      <c r="F2623" s="57">
        <v>12.996956143484205</v>
      </c>
      <c r="G2623" s="2">
        <v>5.2289166209174711</v>
      </c>
    </row>
    <row r="2624" spans="4:7" customFormat="1" x14ac:dyDescent="0.35">
      <c r="D2624" s="51">
        <v>43203</v>
      </c>
      <c r="E2624" s="57">
        <v>1.0038400000000001</v>
      </c>
      <c r="F2624" s="57">
        <v>13.046864455075186</v>
      </c>
      <c r="G2624" s="2">
        <v>5.2089143896611718</v>
      </c>
    </row>
    <row r="2625" spans="4:7" customFormat="1" x14ac:dyDescent="0.35">
      <c r="D2625" s="51">
        <v>43202</v>
      </c>
      <c r="E2625" s="57">
        <v>1.024184</v>
      </c>
      <c r="F2625" s="57">
        <v>13.362389825056724</v>
      </c>
      <c r="G2625" s="2">
        <v>5.0859165830174771</v>
      </c>
    </row>
    <row r="2626" spans="4:7" customFormat="1" x14ac:dyDescent="0.35">
      <c r="D2626" s="51">
        <v>43201</v>
      </c>
      <c r="E2626" s="57">
        <v>1.0225169999999999</v>
      </c>
      <c r="F2626" s="57">
        <v>13.663270756747524</v>
      </c>
      <c r="G2626" s="2">
        <v>4.9739188522219946</v>
      </c>
    </row>
    <row r="2627" spans="4:7" customFormat="1" x14ac:dyDescent="0.35">
      <c r="D2627" s="51">
        <v>43200</v>
      </c>
      <c r="E2627" s="57">
        <v>1.037547</v>
      </c>
      <c r="F2627" s="57">
        <v>14.176285583851124</v>
      </c>
      <c r="G2627" s="2">
        <v>4.7939214823251328</v>
      </c>
    </row>
    <row r="2628" spans="4:7" customFormat="1" x14ac:dyDescent="0.35">
      <c r="D2628" s="51">
        <v>43199</v>
      </c>
      <c r="E2628" s="57">
        <v>1.0054529999999999</v>
      </c>
      <c r="F2628" s="57">
        <v>14.253588869139863</v>
      </c>
      <c r="G2628" s="2">
        <v>4.7679220036392884</v>
      </c>
    </row>
    <row r="2629" spans="4:7" customFormat="1" x14ac:dyDescent="0.35">
      <c r="D2629" s="51">
        <v>43198</v>
      </c>
      <c r="E2629" s="57">
        <v>1</v>
      </c>
      <c r="F2629" s="57">
        <v>14.253588869139863</v>
      </c>
      <c r="G2629" s="2">
        <v>4.7679220036392884</v>
      </c>
    </row>
    <row r="2630" spans="4:7" customFormat="1" x14ac:dyDescent="0.35">
      <c r="D2630" s="51">
        <v>43197</v>
      </c>
      <c r="E2630" s="57">
        <v>1</v>
      </c>
      <c r="F2630" s="57">
        <v>14.253588869139863</v>
      </c>
      <c r="G2630" s="2">
        <v>4.7679220036392884</v>
      </c>
    </row>
    <row r="2631" spans="4:7" customFormat="1" x14ac:dyDescent="0.35">
      <c r="D2631" s="51">
        <v>43196</v>
      </c>
      <c r="E2631" s="57">
        <v>0.97326000000000001</v>
      </c>
      <c r="F2631" s="57">
        <v>13.872447902779063</v>
      </c>
      <c r="G2631" s="2">
        <v>4.8989191003835444</v>
      </c>
    </row>
    <row r="2632" spans="4:7" customFormat="1" x14ac:dyDescent="0.35">
      <c r="D2632" s="51">
        <v>43195</v>
      </c>
      <c r="E2632" s="57">
        <v>1.022756</v>
      </c>
      <c r="F2632" s="57">
        <v>14.188129327254703</v>
      </c>
      <c r="G2632" s="2">
        <v>4.7899196879642307</v>
      </c>
    </row>
    <row r="2633" spans="4:7" customFormat="1" x14ac:dyDescent="0.35">
      <c r="D2633" s="51">
        <v>43194</v>
      </c>
      <c r="E2633" s="57">
        <v>1.009271</v>
      </c>
      <c r="F2633" s="57">
        <v>14.319667474247682</v>
      </c>
      <c r="G2633" s="2">
        <v>4.7459202612224374</v>
      </c>
    </row>
    <row r="2634" spans="4:7" customFormat="1" x14ac:dyDescent="0.35">
      <c r="D2634" s="51">
        <v>43193</v>
      </c>
      <c r="E2634" s="57">
        <v>0.98854399999999998</v>
      </c>
      <c r="F2634" s="57">
        <v>14.1556213636627</v>
      </c>
      <c r="G2634" s="2">
        <v>4.8009195961155369</v>
      </c>
    </row>
    <row r="2635" spans="4:7" customFormat="1" x14ac:dyDescent="0.35">
      <c r="D2635" s="51">
        <v>43192</v>
      </c>
      <c r="E2635" s="57">
        <v>0.967553</v>
      </c>
      <c r="F2635" s="57">
        <v>13.696313917275937</v>
      </c>
      <c r="G2635" s="2">
        <v>4.961918981301837</v>
      </c>
    </row>
    <row r="2636" spans="4:7" customFormat="1" x14ac:dyDescent="0.35">
      <c r="D2636" s="51">
        <v>43191</v>
      </c>
      <c r="E2636" s="57">
        <v>1</v>
      </c>
      <c r="F2636" s="57">
        <v>13.696313917275937</v>
      </c>
      <c r="G2636" s="2">
        <v>4.961918981301837</v>
      </c>
    </row>
    <row r="2637" spans="4:7" customFormat="1" x14ac:dyDescent="0.35">
      <c r="D2637" s="51">
        <v>43190</v>
      </c>
      <c r="E2637" s="57">
        <v>1</v>
      </c>
      <c r="F2637" s="57">
        <v>13.696313917275937</v>
      </c>
      <c r="G2637" s="2">
        <v>4.961918981301837</v>
      </c>
    </row>
    <row r="2638" spans="4:7" customFormat="1" x14ac:dyDescent="0.35">
      <c r="D2638" s="51">
        <v>43189</v>
      </c>
      <c r="E2638" s="57">
        <v>1</v>
      </c>
      <c r="F2638" s="57">
        <v>13.696313917275937</v>
      </c>
      <c r="G2638" s="2">
        <v>4.961918981301837</v>
      </c>
    </row>
    <row r="2639" spans="4:7" customFormat="1" x14ac:dyDescent="0.35">
      <c r="D2639" s="51">
        <v>43188</v>
      </c>
      <c r="E2639" s="57">
        <v>0.97370500000000004</v>
      </c>
      <c r="F2639" s="57">
        <v>13.336169342821167</v>
      </c>
      <c r="G2639" s="2">
        <v>5.0959160950203986</v>
      </c>
    </row>
    <row r="2640" spans="4:7" customFormat="1" x14ac:dyDescent="0.35">
      <c r="D2640" s="51">
        <v>43187</v>
      </c>
      <c r="E2640" s="57">
        <v>0.97549799999999998</v>
      </c>
      <c r="F2640" s="57">
        <v>13.009406521583362</v>
      </c>
      <c r="G2640" s="2">
        <v>5.2239123965609346</v>
      </c>
    </row>
    <row r="2641" spans="4:7" customFormat="1" x14ac:dyDescent="0.35">
      <c r="D2641" s="51">
        <v>43186</v>
      </c>
      <c r="E2641" s="57">
        <v>0.94603400000000004</v>
      </c>
      <c r="F2641" s="57">
        <v>12.307340889239594</v>
      </c>
      <c r="G2641" s="2">
        <v>5.5219076656451405</v>
      </c>
    </row>
    <row r="2642" spans="4:7" customFormat="1" x14ac:dyDescent="0.35">
      <c r="D2642" s="51">
        <v>43185</v>
      </c>
      <c r="E2642" s="57">
        <v>1.0352459999999999</v>
      </c>
      <c r="F2642" s="57">
        <v>12.741125426221732</v>
      </c>
      <c r="G2642" s="2">
        <v>5.3339087189374705</v>
      </c>
    </row>
    <row r="2643" spans="4:7" customFormat="1" x14ac:dyDescent="0.35">
      <c r="D2643" s="51">
        <v>43184</v>
      </c>
      <c r="E2643" s="57">
        <v>1</v>
      </c>
      <c r="F2643" s="57">
        <v>12.741125426221732</v>
      </c>
      <c r="G2643" s="2">
        <v>5.3339087189374705</v>
      </c>
    </row>
    <row r="2644" spans="4:7" customFormat="1" x14ac:dyDescent="0.35">
      <c r="D2644" s="51">
        <v>43183</v>
      </c>
      <c r="E2644" s="57">
        <v>1</v>
      </c>
      <c r="F2644" s="57">
        <v>12.741125426221732</v>
      </c>
      <c r="G2644" s="2">
        <v>5.3339087189374705</v>
      </c>
    </row>
    <row r="2645" spans="4:7" customFormat="1" x14ac:dyDescent="0.35">
      <c r="D2645" s="51">
        <v>43182</v>
      </c>
      <c r="E2645" s="57">
        <v>0.97835700000000003</v>
      </c>
      <c r="F2645" s="57">
        <v>12.465369248622016</v>
      </c>
      <c r="G2645" s="2">
        <v>5.4519042833418379</v>
      </c>
    </row>
    <row r="2646" spans="4:7" customFormat="1" x14ac:dyDescent="0.35">
      <c r="D2646" s="51">
        <v>43181</v>
      </c>
      <c r="E2646" s="57">
        <v>0.964785</v>
      </c>
      <c r="F2646" s="57">
        <v>12.026401270531792</v>
      </c>
      <c r="G2646" s="2">
        <v>5.6509007533718263</v>
      </c>
    </row>
    <row r="2647" spans="4:7" customFormat="1" x14ac:dyDescent="0.35">
      <c r="D2647" s="51">
        <v>43180</v>
      </c>
      <c r="E2647" s="57">
        <v>0.99140300000000003</v>
      </c>
      <c r="F2647" s="57">
        <v>11.923010298809031</v>
      </c>
      <c r="G2647" s="2">
        <v>5.6999028178972893</v>
      </c>
    </row>
    <row r="2648" spans="4:7" customFormat="1" x14ac:dyDescent="0.35">
      <c r="D2648" s="51">
        <v>43179</v>
      </c>
      <c r="E2648" s="57">
        <v>1.02518</v>
      </c>
      <c r="F2648" s="57">
        <v>12.223231698133041</v>
      </c>
      <c r="G2648" s="2">
        <v>5.5599044244886651</v>
      </c>
    </row>
    <row r="2649" spans="4:7" customFormat="1" x14ac:dyDescent="0.35">
      <c r="D2649" s="51">
        <v>43178</v>
      </c>
      <c r="E2649" s="57">
        <v>0.96011000000000002</v>
      </c>
      <c r="F2649" s="57">
        <v>11.735646985694515</v>
      </c>
      <c r="G2649" s="2">
        <v>5.790903567808547</v>
      </c>
    </row>
    <row r="2650" spans="4:7" customFormat="1" x14ac:dyDescent="0.35">
      <c r="D2650" s="51">
        <v>43177</v>
      </c>
      <c r="E2650" s="57">
        <v>1</v>
      </c>
      <c r="F2650" s="57">
        <v>11.735646985694515</v>
      </c>
      <c r="G2650" s="2">
        <v>5.790903567808547</v>
      </c>
    </row>
    <row r="2651" spans="4:7" customFormat="1" x14ac:dyDescent="0.35">
      <c r="D2651" s="51">
        <v>43176</v>
      </c>
      <c r="E2651" s="57">
        <v>1</v>
      </c>
      <c r="F2651" s="57">
        <v>11.735646985694515</v>
      </c>
      <c r="G2651" s="2">
        <v>5.790903567808547</v>
      </c>
    </row>
    <row r="2652" spans="4:7" customFormat="1" x14ac:dyDescent="0.35">
      <c r="D2652" s="51">
        <v>43175</v>
      </c>
      <c r="E2652" s="57">
        <v>0.99177899999999997</v>
      </c>
      <c r="F2652" s="57">
        <v>11.639168231825121</v>
      </c>
      <c r="G2652" s="2">
        <v>5.8389052075195655</v>
      </c>
    </row>
    <row r="2653" spans="4:7" customFormat="1" x14ac:dyDescent="0.35">
      <c r="D2653" s="51">
        <v>43174</v>
      </c>
      <c r="E2653" s="57">
        <v>0.99692700000000001</v>
      </c>
      <c r="F2653" s="57">
        <v>11.603401067848722</v>
      </c>
      <c r="G2653" s="2">
        <v>5.8569034718886801</v>
      </c>
    </row>
    <row r="2654" spans="4:7" customFormat="1" x14ac:dyDescent="0.35">
      <c r="D2654" s="51">
        <v>43173</v>
      </c>
      <c r="E2654" s="57">
        <v>1.010699</v>
      </c>
      <c r="F2654" s="57">
        <v>11.727545855873636</v>
      </c>
      <c r="G2654" s="2">
        <v>5.7949037961734202</v>
      </c>
    </row>
    <row r="2655" spans="4:7" customFormat="1" x14ac:dyDescent="0.35">
      <c r="D2655" s="51">
        <v>43172</v>
      </c>
      <c r="E2655" s="57">
        <v>0.97345899999999996</v>
      </c>
      <c r="F2655" s="57">
        <v>11.416285061312893</v>
      </c>
      <c r="G2655" s="2">
        <v>5.9528997073050025</v>
      </c>
    </row>
    <row r="2656" spans="4:7" customFormat="1" x14ac:dyDescent="0.35">
      <c r="D2656" s="51">
        <v>43171</v>
      </c>
      <c r="E2656" s="57">
        <v>1.0113829999999999</v>
      </c>
      <c r="F2656" s="57">
        <v>11.546236634165817</v>
      </c>
      <c r="G2656" s="2">
        <v>5.8859005018919666</v>
      </c>
    </row>
    <row r="2657" spans="4:7" customFormat="1" x14ac:dyDescent="0.35">
      <c r="D2657" s="51">
        <v>43170</v>
      </c>
      <c r="E2657" s="57">
        <v>1</v>
      </c>
      <c r="F2657" s="57">
        <v>11.546236634165817</v>
      </c>
      <c r="G2657" s="2">
        <v>5.8859005018919666</v>
      </c>
    </row>
    <row r="2658" spans="4:7" customFormat="1" x14ac:dyDescent="0.35">
      <c r="D2658" s="51">
        <v>43169</v>
      </c>
      <c r="E2658" s="57">
        <v>1</v>
      </c>
      <c r="F2658" s="57">
        <v>11.546236634165817</v>
      </c>
      <c r="G2658" s="2">
        <v>5.8859005018919666</v>
      </c>
    </row>
    <row r="2659" spans="4:7" customFormat="1" x14ac:dyDescent="0.35">
      <c r="D2659" s="51">
        <v>43168</v>
      </c>
      <c r="E2659" s="57">
        <v>1.016229</v>
      </c>
      <c r="F2659" s="57">
        <v>11.733620508501694</v>
      </c>
      <c r="G2659" s="2">
        <v>5.7919036967966537</v>
      </c>
    </row>
    <row r="2660" spans="4:7" customFormat="1" x14ac:dyDescent="0.35">
      <c r="D2660" s="51">
        <v>43167</v>
      </c>
      <c r="E2660" s="57">
        <v>0.98687999999999998</v>
      </c>
      <c r="F2660" s="57">
        <v>11.579675407430152</v>
      </c>
      <c r="G2660" s="2">
        <v>5.8689037135180104</v>
      </c>
    </row>
    <row r="2661" spans="4:7" customFormat="1" x14ac:dyDescent="0.35">
      <c r="D2661" s="51">
        <v>43166</v>
      </c>
      <c r="E2661" s="57">
        <v>1.0120709999999999</v>
      </c>
      <c r="F2661" s="57">
        <v>11.719453669273241</v>
      </c>
      <c r="G2661" s="2">
        <v>5.7989051296974328</v>
      </c>
    </row>
    <row r="2662" spans="4:7" customFormat="1" x14ac:dyDescent="0.35">
      <c r="D2662" s="51">
        <v>43165</v>
      </c>
      <c r="E2662" s="57">
        <v>0.99570700000000001</v>
      </c>
      <c r="F2662" s="57">
        <v>11.669142054671051</v>
      </c>
      <c r="G2662" s="2">
        <v>5.8239071631488306</v>
      </c>
    </row>
    <row r="2663" spans="4:7" customFormat="1" x14ac:dyDescent="0.35">
      <c r="D2663" s="51">
        <v>43164</v>
      </c>
      <c r="E2663" s="57">
        <v>1.0233699999999999</v>
      </c>
      <c r="F2663" s="57">
        <v>11.941849904488713</v>
      </c>
      <c r="G2663" s="2">
        <v>5.6909105828281374</v>
      </c>
    </row>
    <row r="2664" spans="4:7" customFormat="1" x14ac:dyDescent="0.35">
      <c r="D2664" s="51">
        <v>43163</v>
      </c>
      <c r="E2664" s="57">
        <v>1</v>
      </c>
      <c r="F2664" s="57">
        <v>11.941849904488713</v>
      </c>
      <c r="G2664" s="2">
        <v>5.6909105828281374</v>
      </c>
    </row>
    <row r="2665" spans="4:7" customFormat="1" x14ac:dyDescent="0.35">
      <c r="D2665" s="51">
        <v>43162</v>
      </c>
      <c r="E2665" s="57">
        <v>1</v>
      </c>
      <c r="F2665" s="57">
        <v>11.941849904488713</v>
      </c>
      <c r="G2665" s="2">
        <v>5.6909105828281374</v>
      </c>
    </row>
    <row r="2666" spans="4:7" customFormat="1" x14ac:dyDescent="0.35">
      <c r="D2666" s="51">
        <v>43161</v>
      </c>
      <c r="E2666" s="57">
        <v>1.0476799999999999</v>
      </c>
      <c r="F2666" s="57">
        <v>12.511237307934733</v>
      </c>
      <c r="G2666" s="2">
        <v>5.4319167902681524</v>
      </c>
    </row>
    <row r="2667" spans="4:7" customFormat="1" x14ac:dyDescent="0.35">
      <c r="D2667" s="51">
        <v>43160</v>
      </c>
      <c r="E2667" s="57">
        <v>0.96551699999999996</v>
      </c>
      <c r="F2667" s="57">
        <v>12.079812311845219</v>
      </c>
      <c r="G2667" s="2">
        <v>5.6259152249708215</v>
      </c>
    </row>
    <row r="2668" spans="4:7" customFormat="1" x14ac:dyDescent="0.35">
      <c r="D2668" s="51">
        <v>43159</v>
      </c>
      <c r="E2668" s="57">
        <v>1.012599</v>
      </c>
      <c r="F2668" s="57">
        <v>12.232005867162156</v>
      </c>
      <c r="G2668" s="2">
        <v>5.5559162363095576</v>
      </c>
    </row>
    <row r="2669" spans="4:7" customFormat="1" x14ac:dyDescent="0.35">
      <c r="D2669" s="51">
        <v>43158</v>
      </c>
      <c r="E2669" s="57">
        <v>0.96845000000000003</v>
      </c>
      <c r="F2669" s="57">
        <v>11.846086082053191</v>
      </c>
      <c r="G2669" s="2">
        <v>5.7369159340281453</v>
      </c>
    </row>
    <row r="2670" spans="4:7" customFormat="1" x14ac:dyDescent="0.35">
      <c r="D2670" s="51">
        <v>43157</v>
      </c>
      <c r="E2670" s="57">
        <v>0.95712399999999997</v>
      </c>
      <c r="F2670" s="57">
        <v>11.338173295199077</v>
      </c>
      <c r="G2670" s="2">
        <v>5.9939108558850744</v>
      </c>
    </row>
    <row r="2671" spans="4:7" customFormat="1" x14ac:dyDescent="0.35">
      <c r="D2671" s="51">
        <v>43156</v>
      </c>
      <c r="E2671" s="57">
        <v>1</v>
      </c>
      <c r="F2671" s="57">
        <v>11.338173295199077</v>
      </c>
      <c r="G2671" s="2">
        <v>5.9939108558850744</v>
      </c>
    </row>
    <row r="2672" spans="4:7" customFormat="1" x14ac:dyDescent="0.35">
      <c r="D2672" s="51">
        <v>43155</v>
      </c>
      <c r="E2672" s="57">
        <v>1</v>
      </c>
      <c r="F2672" s="57">
        <v>11.338173295199077</v>
      </c>
      <c r="G2672" s="2">
        <v>5.9939108558850744</v>
      </c>
    </row>
    <row r="2673" spans="4:7" customFormat="1" x14ac:dyDescent="0.35">
      <c r="D2673" s="51">
        <v>43154</v>
      </c>
      <c r="E2673" s="57">
        <v>1.2384299999999999</v>
      </c>
      <c r="F2673" s="57">
        <v>14.041533953973392</v>
      </c>
      <c r="G2673" s="2">
        <v>4.8399270494780282</v>
      </c>
    </row>
    <row r="2674" spans="4:7" customFormat="1" x14ac:dyDescent="0.35">
      <c r="D2674" s="51">
        <v>43153</v>
      </c>
      <c r="E2674" s="57">
        <v>0.971692</v>
      </c>
      <c r="F2674" s="57">
        <v>13.644046210804314</v>
      </c>
      <c r="G2674" s="2">
        <v>4.9809271348102362</v>
      </c>
    </row>
    <row r="2675" spans="4:7" customFormat="1" x14ac:dyDescent="0.35">
      <c r="D2675" s="51">
        <v>43152</v>
      </c>
      <c r="E2675" s="57">
        <v>0.99223099999999997</v>
      </c>
      <c r="F2675" s="57">
        <v>13.538045615792575</v>
      </c>
      <c r="G2675" s="2">
        <v>5.0199269472635271</v>
      </c>
    </row>
    <row r="2676" spans="4:7" customFormat="1" x14ac:dyDescent="0.35">
      <c r="D2676" s="51">
        <v>43151</v>
      </c>
      <c r="E2676" s="57">
        <v>1.0369759999999999</v>
      </c>
      <c r="F2676" s="57">
        <v>14.038628390482119</v>
      </c>
      <c r="G2676" s="2">
        <v>4.8409287652400126</v>
      </c>
    </row>
    <row r="2677" spans="4:7" customFormat="1" x14ac:dyDescent="0.35">
      <c r="D2677" s="51">
        <v>43150</v>
      </c>
      <c r="E2677" s="57">
        <v>1</v>
      </c>
      <c r="F2677" s="57">
        <v>14.038628390482119</v>
      </c>
      <c r="G2677" s="2">
        <v>4.8409287652400126</v>
      </c>
    </row>
    <row r="2678" spans="4:7" customFormat="1" x14ac:dyDescent="0.35">
      <c r="D2678" s="51">
        <v>43149</v>
      </c>
      <c r="E2678" s="57">
        <v>1</v>
      </c>
      <c r="F2678" s="57">
        <v>14.038628390482119</v>
      </c>
      <c r="G2678" s="2">
        <v>4.8409287652400126</v>
      </c>
    </row>
    <row r="2679" spans="4:7" customFormat="1" x14ac:dyDescent="0.35">
      <c r="D2679" s="51">
        <v>43148</v>
      </c>
      <c r="E2679" s="57">
        <v>1</v>
      </c>
      <c r="F2679" s="57">
        <v>14.038628390482119</v>
      </c>
      <c r="G2679" s="2">
        <v>4.8409287652400126</v>
      </c>
    </row>
    <row r="2680" spans="4:7" customFormat="1" x14ac:dyDescent="0.35">
      <c r="D2680" s="51">
        <v>43147</v>
      </c>
      <c r="E2680" s="57">
        <v>1.00207</v>
      </c>
      <c r="F2680" s="57">
        <v>14.067688351250418</v>
      </c>
      <c r="G2680" s="2">
        <v>4.830928742742536</v>
      </c>
    </row>
    <row r="2681" spans="4:7" customFormat="1" x14ac:dyDescent="0.35">
      <c r="D2681" s="51">
        <v>43146</v>
      </c>
      <c r="E2681" s="57">
        <v>1.0233000000000001</v>
      </c>
      <c r="F2681" s="57">
        <v>14.395465489834553</v>
      </c>
      <c r="G2681" s="2">
        <v>4.7209310492939851</v>
      </c>
    </row>
    <row r="2682" spans="4:7" customFormat="1" x14ac:dyDescent="0.35">
      <c r="D2682" s="51">
        <v>43145</v>
      </c>
      <c r="E2682" s="57">
        <v>1.0440069999999999</v>
      </c>
      <c r="F2682" s="57">
        <v>15.028966739645702</v>
      </c>
      <c r="G2682" s="2">
        <v>4.5219342871206667</v>
      </c>
    </row>
    <row r="2683" spans="4:7" customFormat="1" x14ac:dyDescent="0.35">
      <c r="D2683" s="51">
        <v>43144</v>
      </c>
      <c r="E2683" s="57">
        <v>1.030538</v>
      </c>
      <c r="F2683" s="57">
        <v>15.487921325941002</v>
      </c>
      <c r="G2683" s="2">
        <v>4.3879355124417216</v>
      </c>
    </row>
    <row r="2684" spans="4:7" customFormat="1" x14ac:dyDescent="0.35">
      <c r="D2684" s="51">
        <v>43143</v>
      </c>
      <c r="E2684" s="57">
        <v>1.025234</v>
      </c>
      <c r="F2684" s="57">
        <v>15.878743532679797</v>
      </c>
      <c r="G2684" s="2">
        <v>4.2799356170803167</v>
      </c>
    </row>
    <row r="2685" spans="4:7" customFormat="1" x14ac:dyDescent="0.35">
      <c r="D2685" s="51">
        <v>43142</v>
      </c>
      <c r="E2685" s="57">
        <v>1</v>
      </c>
      <c r="F2685" s="57">
        <v>15.878743532679797</v>
      </c>
      <c r="G2685" s="2">
        <v>4.2799356170803167</v>
      </c>
    </row>
    <row r="2686" spans="4:7" customFormat="1" x14ac:dyDescent="0.35">
      <c r="D2686" s="51">
        <v>43141</v>
      </c>
      <c r="E2686" s="57">
        <v>1</v>
      </c>
      <c r="F2686" s="57">
        <v>15.878743532679797</v>
      </c>
      <c r="G2686" s="2">
        <v>4.2799356170803167</v>
      </c>
    </row>
    <row r="2687" spans="4:7" customFormat="1" x14ac:dyDescent="0.35">
      <c r="D2687" s="51">
        <v>43140</v>
      </c>
      <c r="E2687" s="57">
        <v>0.98753999999999997</v>
      </c>
      <c r="F2687" s="57">
        <v>15.680894388262606</v>
      </c>
      <c r="G2687" s="2">
        <v>4.3339364654396952</v>
      </c>
    </row>
    <row r="2688" spans="4:7" customFormat="1" x14ac:dyDescent="0.35">
      <c r="D2688" s="51">
        <v>43139</v>
      </c>
      <c r="E2688" s="57">
        <v>0.98054300000000005</v>
      </c>
      <c r="F2688" s="57">
        <v>15.375791226150183</v>
      </c>
      <c r="G2688" s="2">
        <v>4.4199351435273053</v>
      </c>
    </row>
    <row r="2689" spans="4:7" customFormat="1" x14ac:dyDescent="0.35">
      <c r="D2689" s="51">
        <v>43138</v>
      </c>
      <c r="E2689" s="57">
        <v>0.97206899999999996</v>
      </c>
      <c r="F2689" s="57">
        <v>14.946330001412582</v>
      </c>
      <c r="G2689" s="2">
        <v>4.5469356018217901</v>
      </c>
    </row>
    <row r="2690" spans="4:7" customFormat="1" x14ac:dyDescent="0.35">
      <c r="D2690" s="51">
        <v>43137</v>
      </c>
      <c r="E2690" s="57">
        <v>1.0082040000000001</v>
      </c>
      <c r="F2690" s="57">
        <v>15.068949692744171</v>
      </c>
      <c r="G2690" s="2">
        <v>4.5099360861708444</v>
      </c>
    </row>
    <row r="2691" spans="4:7" customFormat="1" x14ac:dyDescent="0.35">
      <c r="D2691" s="51">
        <v>43136</v>
      </c>
      <c r="E2691" s="57">
        <v>0.96450000000000002</v>
      </c>
      <c r="F2691" s="57">
        <v>14.534001978651753</v>
      </c>
      <c r="G2691" s="2">
        <v>4.6759316601045562</v>
      </c>
    </row>
    <row r="2692" spans="4:7" customFormat="1" x14ac:dyDescent="0.35">
      <c r="D2692" s="51">
        <v>43135</v>
      </c>
      <c r="E2692" s="57">
        <v>1</v>
      </c>
      <c r="F2692" s="57">
        <v>14.534001978651753</v>
      </c>
      <c r="G2692" s="2">
        <v>4.6759316601045562</v>
      </c>
    </row>
    <row r="2693" spans="4:7" customFormat="1" x14ac:dyDescent="0.35">
      <c r="D2693" s="51">
        <v>43134</v>
      </c>
      <c r="E2693" s="57">
        <v>1</v>
      </c>
      <c r="F2693" s="57">
        <v>14.534001978651753</v>
      </c>
      <c r="G2693" s="2">
        <v>4.6759316601045562</v>
      </c>
    </row>
    <row r="2694" spans="4:7" customFormat="1" x14ac:dyDescent="0.35">
      <c r="D2694" s="51">
        <v>43133</v>
      </c>
      <c r="E2694" s="57">
        <v>1.020292</v>
      </c>
      <c r="F2694" s="57">
        <v>14.828925946802554</v>
      </c>
      <c r="G2694" s="2">
        <v>4.5829347481941989</v>
      </c>
    </row>
    <row r="2695" spans="4:7" customFormat="1" x14ac:dyDescent="0.35">
      <c r="D2695" s="51">
        <v>43132</v>
      </c>
      <c r="E2695" s="57">
        <v>0.94533800000000001</v>
      </c>
      <c r="F2695" s="57">
        <v>14.018347196698434</v>
      </c>
      <c r="G2695" s="2">
        <v>4.8479324307223441</v>
      </c>
    </row>
    <row r="2696" spans="4:7" customFormat="1" x14ac:dyDescent="0.35">
      <c r="D2696" s="51">
        <v>43131</v>
      </c>
      <c r="E2696" s="57">
        <v>0.99568699999999999</v>
      </c>
      <c r="F2696" s="57">
        <v>13.957886065239073</v>
      </c>
      <c r="G2696" s="2">
        <v>4.868932135020688</v>
      </c>
    </row>
    <row r="2697" spans="4:7" customFormat="1" x14ac:dyDescent="0.35">
      <c r="D2697" s="51">
        <v>43130</v>
      </c>
      <c r="E2697" s="57">
        <v>0.96320499999999998</v>
      </c>
      <c r="F2697" s="57">
        <v>13.444305647468601</v>
      </c>
      <c r="G2697" s="2">
        <v>5.054928218832635</v>
      </c>
    </row>
    <row r="2698" spans="4:7" customFormat="1" x14ac:dyDescent="0.35">
      <c r="D2698" s="51">
        <v>43129</v>
      </c>
      <c r="E2698" s="57">
        <v>0.98653400000000002</v>
      </c>
      <c r="F2698" s="57">
        <v>13.26326462761979</v>
      </c>
      <c r="G2698" s="2">
        <v>5.1239270200851008</v>
      </c>
    </row>
    <row r="2699" spans="4:7" customFormat="1" x14ac:dyDescent="0.35">
      <c r="D2699" s="51">
        <v>43128</v>
      </c>
      <c r="E2699" s="57">
        <v>1</v>
      </c>
      <c r="F2699" s="57">
        <v>13.26326462761979</v>
      </c>
      <c r="G2699" s="2">
        <v>5.1239270200851008</v>
      </c>
    </row>
    <row r="2700" spans="4:7" customFormat="1" x14ac:dyDescent="0.35">
      <c r="D2700" s="51">
        <v>43127</v>
      </c>
      <c r="E2700" s="57">
        <v>1</v>
      </c>
      <c r="F2700" s="57">
        <v>13.26326462761979</v>
      </c>
      <c r="G2700" s="2">
        <v>5.1239270200851008</v>
      </c>
    </row>
    <row r="2701" spans="4:7" customFormat="1" x14ac:dyDescent="0.35">
      <c r="D2701" s="51">
        <v>43126</v>
      </c>
      <c r="E2701" s="57">
        <v>1.0355700000000001</v>
      </c>
      <c r="F2701" s="57">
        <v>13.735038950424228</v>
      </c>
      <c r="G2701" s="2">
        <v>4.9479291791816102</v>
      </c>
    </row>
    <row r="2702" spans="4:7" customFormat="1" x14ac:dyDescent="0.35">
      <c r="D2702" s="51">
        <v>43125</v>
      </c>
      <c r="E2702" s="57">
        <v>1.0139339999999999</v>
      </c>
      <c r="F2702" s="57">
        <v>13.926422983159437</v>
      </c>
      <c r="G2702" s="2">
        <v>4.8799322038531212</v>
      </c>
    </row>
    <row r="2703" spans="4:7" customFormat="1" x14ac:dyDescent="0.35">
      <c r="D2703" s="51">
        <v>43124</v>
      </c>
      <c r="E2703" s="57">
        <v>0.98785400000000001</v>
      </c>
      <c r="F2703" s="57">
        <v>13.757272649605982</v>
      </c>
      <c r="G2703" s="2">
        <v>4.9399326255227205</v>
      </c>
    </row>
    <row r="2704" spans="4:7" customFormat="1" x14ac:dyDescent="0.35">
      <c r="D2704" s="51">
        <v>43123</v>
      </c>
      <c r="E2704" s="57">
        <v>1.0154160000000001</v>
      </c>
      <c r="F2704" s="57">
        <v>13.969354764772309</v>
      </c>
      <c r="G2704" s="2">
        <v>4.8649347907879337</v>
      </c>
    </row>
    <row r="2705" spans="4:7" customFormat="1" x14ac:dyDescent="0.35">
      <c r="D2705" s="51">
        <v>43122</v>
      </c>
      <c r="E2705" s="57">
        <v>1.0272380000000001</v>
      </c>
      <c r="F2705" s="57">
        <v>14.349852049855178</v>
      </c>
      <c r="G2705" s="2">
        <v>4.7359373297988716</v>
      </c>
    </row>
    <row r="2706" spans="4:7" customFormat="1" x14ac:dyDescent="0.35">
      <c r="D2706" s="51">
        <v>43121</v>
      </c>
      <c r="E2706" s="57">
        <v>1</v>
      </c>
      <c r="F2706" s="57">
        <v>14.349852049855178</v>
      </c>
      <c r="G2706" s="2">
        <v>4.7359373297988716</v>
      </c>
    </row>
    <row r="2707" spans="4:7" customFormat="1" x14ac:dyDescent="0.35">
      <c r="D2707" s="51">
        <v>43120</v>
      </c>
      <c r="E2707" s="57">
        <v>1</v>
      </c>
      <c r="F2707" s="57">
        <v>14.349852049855178</v>
      </c>
      <c r="G2707" s="2">
        <v>4.7359373297988716</v>
      </c>
    </row>
    <row r="2708" spans="4:7" customFormat="1" x14ac:dyDescent="0.35">
      <c r="D2708" s="51">
        <v>43119</v>
      </c>
      <c r="E2708" s="57">
        <v>0.97932200000000003</v>
      </c>
      <c r="F2708" s="57">
        <v>14.053125809168273</v>
      </c>
      <c r="G2708" s="2">
        <v>4.8359347893735372</v>
      </c>
    </row>
    <row r="2709" spans="4:7" customFormat="1" x14ac:dyDescent="0.35">
      <c r="D2709" s="51">
        <v>43118</v>
      </c>
      <c r="E2709" s="57">
        <v>0.97736500000000004</v>
      </c>
      <c r="F2709" s="57">
        <v>13.735033306477749</v>
      </c>
      <c r="G2709" s="2">
        <v>4.9479312123654289</v>
      </c>
    </row>
    <row r="2710" spans="4:7" customFormat="1" x14ac:dyDescent="0.35">
      <c r="D2710" s="51">
        <v>43117</v>
      </c>
      <c r="E2710" s="57">
        <v>1.023795</v>
      </c>
      <c r="F2710" s="57">
        <v>14.061858424005388</v>
      </c>
      <c r="G2710" s="2">
        <v>4.8329316048285333</v>
      </c>
    </row>
    <row r="2711" spans="4:7" customFormat="1" x14ac:dyDescent="0.35">
      <c r="D2711" s="51">
        <v>43116</v>
      </c>
      <c r="E2711" s="57">
        <v>0.98371699999999995</v>
      </c>
      <c r="F2711" s="57">
        <v>13.832889183287307</v>
      </c>
      <c r="G2711" s="2">
        <v>4.9129288248841219</v>
      </c>
    </row>
    <row r="2712" spans="4:7" customFormat="1" x14ac:dyDescent="0.35">
      <c r="D2712" s="51">
        <v>43115</v>
      </c>
      <c r="E2712" s="57">
        <v>1</v>
      </c>
      <c r="F2712" s="57">
        <v>13.832889183287307</v>
      </c>
      <c r="G2712" s="2">
        <v>4.9129288248841219</v>
      </c>
    </row>
    <row r="2713" spans="4:7" customFormat="1" x14ac:dyDescent="0.35">
      <c r="D2713" s="51">
        <v>43114</v>
      </c>
      <c r="E2713" s="57">
        <v>1</v>
      </c>
      <c r="F2713" s="57">
        <v>13.832889183287307</v>
      </c>
      <c r="G2713" s="2">
        <v>4.9129288248841219</v>
      </c>
    </row>
    <row r="2714" spans="4:7" customFormat="1" x14ac:dyDescent="0.35">
      <c r="D2714" s="51">
        <v>43113</v>
      </c>
      <c r="E2714" s="57">
        <v>1</v>
      </c>
      <c r="F2714" s="57">
        <v>13.832889183287307</v>
      </c>
      <c r="G2714" s="2">
        <v>4.9129288248841219</v>
      </c>
    </row>
    <row r="2715" spans="4:7" customFormat="1" x14ac:dyDescent="0.35">
      <c r="D2715" s="51">
        <v>43112</v>
      </c>
      <c r="E2715" s="57">
        <v>1.0034719999999999</v>
      </c>
      <c r="F2715" s="57">
        <v>13.880916974531679</v>
      </c>
      <c r="G2715" s="2">
        <v>4.8959301553846268</v>
      </c>
    </row>
    <row r="2716" spans="4:7" customFormat="1" x14ac:dyDescent="0.35">
      <c r="D2716" s="51">
        <v>43111</v>
      </c>
      <c r="E2716" s="57">
        <v>1.0221290000000001</v>
      </c>
      <c r="F2716" s="57">
        <v>14.188087786261091</v>
      </c>
      <c r="G2716" s="2">
        <v>4.7899337122658947</v>
      </c>
    </row>
    <row r="2717" spans="4:7" customFormat="1" x14ac:dyDescent="0.35">
      <c r="D2717" s="51">
        <v>43110</v>
      </c>
      <c r="E2717" s="57">
        <v>1.010122</v>
      </c>
      <c r="F2717" s="57">
        <v>14.331699610833626</v>
      </c>
      <c r="G2717" s="2">
        <v>4.7419358377165288</v>
      </c>
    </row>
    <row r="2718" spans="4:7" customFormat="1" x14ac:dyDescent="0.35">
      <c r="D2718" s="51">
        <v>43109</v>
      </c>
      <c r="E2718" s="57">
        <v>0.99060000000000004</v>
      </c>
      <c r="F2718" s="57">
        <v>14.19698163449179</v>
      </c>
      <c r="G2718" s="2">
        <v>4.7869330079916494</v>
      </c>
    </row>
    <row r="2719" spans="4:7" customFormat="1" x14ac:dyDescent="0.35">
      <c r="D2719" s="51">
        <v>43108</v>
      </c>
      <c r="E2719" s="57">
        <v>0.99007199999999995</v>
      </c>
      <c r="F2719" s="57">
        <v>14.056034000824555</v>
      </c>
      <c r="G2719" s="2">
        <v>4.8349342350774993</v>
      </c>
    </row>
    <row r="2720" spans="4:7" customFormat="1" x14ac:dyDescent="0.35">
      <c r="D2720" s="51">
        <v>43107</v>
      </c>
      <c r="E2720" s="57">
        <v>1</v>
      </c>
      <c r="F2720" s="57">
        <v>14.056034000824555</v>
      </c>
      <c r="G2720" s="2">
        <v>4.8349342350774993</v>
      </c>
    </row>
    <row r="2721" spans="4:7" customFormat="1" x14ac:dyDescent="0.35">
      <c r="D2721" s="51">
        <v>43106</v>
      </c>
      <c r="E2721" s="57">
        <v>1</v>
      </c>
      <c r="F2721" s="57">
        <v>14.056034000824555</v>
      </c>
      <c r="G2721" s="2">
        <v>4.8349342350774993</v>
      </c>
    </row>
    <row r="2722" spans="4:7" customFormat="1" x14ac:dyDescent="0.35">
      <c r="D2722" s="51">
        <v>43105</v>
      </c>
      <c r="E2722" s="57">
        <v>1.0146900000000001</v>
      </c>
      <c r="F2722" s="57">
        <v>14.262517140296669</v>
      </c>
      <c r="G2722" s="2">
        <v>4.7649373060516007</v>
      </c>
    </row>
    <row r="2723" spans="4:7" customFormat="1" x14ac:dyDescent="0.35">
      <c r="D2723" s="51">
        <v>43104</v>
      </c>
      <c r="E2723" s="57">
        <v>0.99457300000000004</v>
      </c>
      <c r="F2723" s="57">
        <v>14.18511445977628</v>
      </c>
      <c r="G2723" s="2">
        <v>4.7909377250856409</v>
      </c>
    </row>
    <row r="2724" spans="4:7" customFormat="1" x14ac:dyDescent="0.35">
      <c r="D2724" s="51">
        <v>43103</v>
      </c>
      <c r="E2724" s="57">
        <v>1.032321</v>
      </c>
      <c r="F2724" s="57">
        <v>14.643591544230709</v>
      </c>
      <c r="G2724" s="2">
        <v>4.6409379689899168</v>
      </c>
    </row>
    <row r="2725" spans="4:7" customFormat="1" x14ac:dyDescent="0.35">
      <c r="D2725" s="51">
        <v>43102</v>
      </c>
      <c r="E2725" s="57">
        <v>1.0148699999999999</v>
      </c>
      <c r="F2725" s="57">
        <v>14.86134175049342</v>
      </c>
      <c r="G2725" s="2">
        <v>4.5729383753484854</v>
      </c>
    </row>
    <row r="2726" spans="4:7" customFormat="1" x14ac:dyDescent="0.35">
      <c r="D2726" s="51">
        <v>43101</v>
      </c>
      <c r="E2726" s="57">
        <v>1</v>
      </c>
      <c r="F2726" s="57">
        <v>14.86134175049342</v>
      </c>
      <c r="G2726" s="2">
        <v>4.5729383753484854</v>
      </c>
    </row>
    <row r="2727" spans="4:7" customFormat="1" x14ac:dyDescent="0.35">
      <c r="D2727" s="51">
        <v>43100</v>
      </c>
      <c r="E2727" s="57">
        <v>1</v>
      </c>
      <c r="F2727" s="57">
        <v>14.86134175049342</v>
      </c>
      <c r="G2727" s="2">
        <v>4.5729383753484854</v>
      </c>
    </row>
    <row r="2728" spans="4:7" customFormat="1" x14ac:dyDescent="0.35">
      <c r="D2728" s="51">
        <v>43099</v>
      </c>
      <c r="E2728" s="57">
        <v>1</v>
      </c>
      <c r="F2728" s="57">
        <v>14.86134175049342</v>
      </c>
      <c r="G2728" s="2">
        <v>4.5729383753484854</v>
      </c>
    </row>
    <row r="2729" spans="4:7" customFormat="1" x14ac:dyDescent="0.35">
      <c r="D2729" s="51">
        <v>43098</v>
      </c>
      <c r="E2729" s="57">
        <v>0.98513600000000001</v>
      </c>
      <c r="F2729" s="57">
        <v>14.640442766714086</v>
      </c>
      <c r="G2729" s="2">
        <v>4.6419361137431636</v>
      </c>
    </row>
    <row r="2730" spans="4:7" customFormat="1" x14ac:dyDescent="0.35">
      <c r="D2730" s="51">
        <v>43097</v>
      </c>
      <c r="E2730" s="57">
        <v>0.98744900000000002</v>
      </c>
      <c r="F2730" s="57">
        <v>14.456690569549059</v>
      </c>
      <c r="G2730" s="2">
        <v>4.7009375813263912</v>
      </c>
    </row>
    <row r="2731" spans="4:7" customFormat="1" x14ac:dyDescent="0.35">
      <c r="D2731" s="51">
        <v>43096</v>
      </c>
      <c r="E2731" s="57">
        <v>1.0114030000000001</v>
      </c>
      <c r="F2731" s="57">
        <v>14.621540212113628</v>
      </c>
      <c r="G2731" s="2">
        <v>4.6479371539597869</v>
      </c>
    </row>
    <row r="2732" spans="4:7" customFormat="1" x14ac:dyDescent="0.35">
      <c r="D2732" s="51">
        <v>43095</v>
      </c>
      <c r="E2732" s="57">
        <v>1.005625</v>
      </c>
      <c r="F2732" s="57">
        <v>14.703786375806766</v>
      </c>
      <c r="G2732" s="2">
        <v>4.6219387484994776</v>
      </c>
    </row>
    <row r="2733" spans="4:7" customFormat="1" x14ac:dyDescent="0.35">
      <c r="D2733" s="51">
        <v>43094</v>
      </c>
      <c r="E2733" s="57">
        <v>1</v>
      </c>
      <c r="F2733" s="57">
        <v>14.703786375806766</v>
      </c>
      <c r="G2733" s="2">
        <v>4.6219387484994776</v>
      </c>
    </row>
    <row r="2734" spans="4:7" customFormat="1" x14ac:dyDescent="0.35">
      <c r="D2734" s="51">
        <v>43093</v>
      </c>
      <c r="E2734" s="57">
        <v>1</v>
      </c>
      <c r="F2734" s="57">
        <v>14.703786375806766</v>
      </c>
      <c r="G2734" s="2">
        <v>4.6219387484994776</v>
      </c>
    </row>
    <row r="2735" spans="4:7" customFormat="1" x14ac:dyDescent="0.35">
      <c r="D2735" s="51">
        <v>43092</v>
      </c>
      <c r="E2735" s="57">
        <v>1</v>
      </c>
      <c r="F2735" s="57">
        <v>14.703786375806766</v>
      </c>
      <c r="G2735" s="2">
        <v>4.6219387484994776</v>
      </c>
    </row>
    <row r="2736" spans="4:7" customFormat="1" x14ac:dyDescent="0.35">
      <c r="D2736" s="51">
        <v>43091</v>
      </c>
      <c r="E2736" s="57">
        <v>1.0013000000000001</v>
      </c>
      <c r="F2736" s="57">
        <v>14.722901298095316</v>
      </c>
      <c r="G2736" s="2">
        <v>4.6159380290616969</v>
      </c>
    </row>
    <row r="2737" spans="4:7" customFormat="1" x14ac:dyDescent="0.35">
      <c r="D2737" s="51">
        <v>43090</v>
      </c>
      <c r="E2737" s="57">
        <v>0.93083300000000002</v>
      </c>
      <c r="F2737" s="57">
        <v>13.704562384009957</v>
      </c>
      <c r="G2737" s="2">
        <v>4.9589325142766718</v>
      </c>
    </row>
    <row r="2738" spans="4:7" customFormat="1" x14ac:dyDescent="0.35">
      <c r="D2738" s="51">
        <v>43089</v>
      </c>
      <c r="E2738" s="57">
        <v>1.013282</v>
      </c>
      <c r="F2738" s="57">
        <v>13.886586381594379</v>
      </c>
      <c r="G2738" s="2">
        <v>4.893931318504297</v>
      </c>
    </row>
    <row r="2739" spans="4:7" customFormat="1" x14ac:dyDescent="0.35">
      <c r="D2739" s="51">
        <v>43088</v>
      </c>
      <c r="E2739" s="57">
        <v>0.98273100000000002</v>
      </c>
      <c r="F2739" s="57">
        <v>13.646778921370625</v>
      </c>
      <c r="G2739" s="2">
        <v>4.97992972492401</v>
      </c>
    </row>
    <row r="2740" spans="4:7" customFormat="1" x14ac:dyDescent="0.35">
      <c r="D2740" s="51">
        <v>43087</v>
      </c>
      <c r="E2740" s="57">
        <v>1.0111669999999999</v>
      </c>
      <c r="F2740" s="57">
        <v>13.79917250158557</v>
      </c>
      <c r="G2740" s="2">
        <v>4.9249329981338494</v>
      </c>
    </row>
    <row r="2741" spans="4:7" customFormat="1" x14ac:dyDescent="0.35">
      <c r="D2741" s="51">
        <v>43086</v>
      </c>
      <c r="E2741" s="57">
        <v>1</v>
      </c>
      <c r="F2741" s="57">
        <v>13.79917250158557</v>
      </c>
      <c r="G2741" s="2">
        <v>4.9249329981338494</v>
      </c>
    </row>
    <row r="2742" spans="4:7" customFormat="1" x14ac:dyDescent="0.35">
      <c r="D2742" s="51">
        <v>43085</v>
      </c>
      <c r="E2742" s="57">
        <v>1</v>
      </c>
      <c r="F2742" s="57">
        <v>13.79917250158557</v>
      </c>
      <c r="G2742" s="2">
        <v>4.9249329981338494</v>
      </c>
    </row>
    <row r="2743" spans="4:7" customFormat="1" x14ac:dyDescent="0.35">
      <c r="D2743" s="51">
        <v>43084</v>
      </c>
      <c r="E2743" s="57">
        <v>1.0057179999999999</v>
      </c>
      <c r="F2743" s="57">
        <v>13.878076169949635</v>
      </c>
      <c r="G2743" s="2">
        <v>4.8969323390193376</v>
      </c>
    </row>
    <row r="2744" spans="4:7" customFormat="1" x14ac:dyDescent="0.35">
      <c r="D2744" s="51">
        <v>43083</v>
      </c>
      <c r="E2744" s="57">
        <v>0.99938800000000005</v>
      </c>
      <c r="F2744" s="57">
        <v>13.869582787333627</v>
      </c>
      <c r="G2744" s="2">
        <v>4.8999310968506098</v>
      </c>
    </row>
    <row r="2745" spans="4:7" customFormat="1" x14ac:dyDescent="0.35">
      <c r="D2745" s="51">
        <v>43082</v>
      </c>
      <c r="E2745" s="57">
        <v>1.045668</v>
      </c>
      <c r="F2745" s="57">
        <v>14.502978894065579</v>
      </c>
      <c r="G2745" s="2">
        <v>4.6859338689245629</v>
      </c>
    </row>
    <row r="2746" spans="4:7" customFormat="1" x14ac:dyDescent="0.35">
      <c r="D2746" s="51">
        <v>43081</v>
      </c>
      <c r="E2746" s="57">
        <v>0.97018599999999999</v>
      </c>
      <c r="F2746" s="57">
        <v>14.070587081317909</v>
      </c>
      <c r="G2746" s="2">
        <v>4.8299335064869648</v>
      </c>
    </row>
    <row r="2747" spans="4:7" customFormat="1" x14ac:dyDescent="0.35">
      <c r="D2747" s="51">
        <v>43080</v>
      </c>
      <c r="E2747" s="57">
        <v>1.0674030000000001</v>
      </c>
      <c r="F2747" s="57">
        <v>15.018986862359981</v>
      </c>
      <c r="G2747" s="2">
        <v>4.5249390403502376</v>
      </c>
    </row>
    <row r="2748" spans="4:7" customFormat="1" x14ac:dyDescent="0.35">
      <c r="D2748" s="51">
        <v>43079</v>
      </c>
      <c r="E2748" s="57">
        <v>1</v>
      </c>
      <c r="F2748" s="57">
        <v>15.018986862359981</v>
      </c>
      <c r="G2748" s="2">
        <v>4.5249390403502376</v>
      </c>
    </row>
    <row r="2749" spans="4:7" customFormat="1" x14ac:dyDescent="0.35">
      <c r="D2749" s="51">
        <v>43078</v>
      </c>
      <c r="E2749" s="57">
        <v>1</v>
      </c>
      <c r="F2749" s="57">
        <v>15.018986862359981</v>
      </c>
      <c r="G2749" s="2">
        <v>4.5249390403502376</v>
      </c>
    </row>
    <row r="2750" spans="4:7" customFormat="1" x14ac:dyDescent="0.35">
      <c r="D2750" s="51">
        <v>43077</v>
      </c>
      <c r="E2750" s="57">
        <v>0.99801499999999999</v>
      </c>
      <c r="F2750" s="57">
        <v>14.989174173438196</v>
      </c>
      <c r="G2750" s="2">
        <v>4.533938909084771</v>
      </c>
    </row>
    <row r="2751" spans="4:7" customFormat="1" x14ac:dyDescent="0.35">
      <c r="D2751" s="51">
        <v>43076</v>
      </c>
      <c r="E2751" s="57">
        <v>1.0262560000000001</v>
      </c>
      <c r="F2751" s="57">
        <v>15.382729930535989</v>
      </c>
      <c r="G2751" s="2">
        <v>4.4179414386710247</v>
      </c>
    </row>
    <row r="2752" spans="4:7" customFormat="1" x14ac:dyDescent="0.35">
      <c r="D2752" s="51">
        <v>43075</v>
      </c>
      <c r="E2752" s="57">
        <v>0.98025300000000004</v>
      </c>
      <c r="F2752" s="57">
        <v>15.078967162597696</v>
      </c>
      <c r="G2752" s="2">
        <v>4.5069399825055614</v>
      </c>
    </row>
    <row r="2753" spans="4:7" customFormat="1" x14ac:dyDescent="0.35">
      <c r="D2753" s="51">
        <v>43074</v>
      </c>
      <c r="E2753" s="57">
        <v>0.99602199999999996</v>
      </c>
      <c r="F2753" s="57">
        <v>15.018983031224881</v>
      </c>
      <c r="G2753" s="2">
        <v>4.5249401945996794</v>
      </c>
    </row>
    <row r="2754" spans="4:7" customFormat="1" x14ac:dyDescent="0.35">
      <c r="D2754" s="51">
        <v>43073</v>
      </c>
      <c r="E2754" s="57">
        <v>0.94270799999999999</v>
      </c>
      <c r="F2754" s="57">
        <v>14.158515455399945</v>
      </c>
      <c r="G2754" s="2">
        <v>4.7999382572330767</v>
      </c>
    </row>
    <row r="2755" spans="4:7" customFormat="1" x14ac:dyDescent="0.35">
      <c r="D2755" s="51">
        <v>43072</v>
      </c>
      <c r="E2755" s="57">
        <v>1</v>
      </c>
      <c r="F2755" s="57">
        <v>14.158515455399945</v>
      </c>
      <c r="G2755" s="2">
        <v>4.7999382572330767</v>
      </c>
    </row>
    <row r="2756" spans="4:7" customFormat="1" x14ac:dyDescent="0.35">
      <c r="D2756" s="51">
        <v>43071</v>
      </c>
      <c r="E2756" s="57">
        <v>1</v>
      </c>
      <c r="F2756" s="57">
        <v>14.158515455399945</v>
      </c>
      <c r="G2756" s="2">
        <v>4.7999382572330767</v>
      </c>
    </row>
    <row r="2757" spans="4:7" customFormat="1" x14ac:dyDescent="0.35">
      <c r="D2757" s="51">
        <v>43070</v>
      </c>
      <c r="E2757" s="57">
        <v>0.97680100000000003</v>
      </c>
      <c r="F2757" s="57">
        <v>13.830052055350121</v>
      </c>
      <c r="G2757" s="2">
        <v>4.9139366741363668</v>
      </c>
    </row>
    <row r="2758" spans="4:7" customFormat="1" x14ac:dyDescent="0.35">
      <c r="D2758" s="51">
        <v>43069</v>
      </c>
      <c r="E2758" s="57">
        <v>1.01508</v>
      </c>
      <c r="F2758" s="57">
        <v>14.038609240344801</v>
      </c>
      <c r="G2758" s="2">
        <v>4.8409353687752361</v>
      </c>
    </row>
    <row r="2759" spans="4:7" customFormat="1" x14ac:dyDescent="0.35">
      <c r="D2759" s="51">
        <v>43068</v>
      </c>
      <c r="E2759" s="57">
        <v>0.96549700000000005</v>
      </c>
      <c r="F2759" s="57">
        <v>13.554235105725185</v>
      </c>
      <c r="G2759" s="2">
        <v>5.0139310311427536</v>
      </c>
    </row>
    <row r="2760" spans="4:7" customFormat="1" x14ac:dyDescent="0.35">
      <c r="D2760" s="51">
        <v>43067</v>
      </c>
      <c r="E2760" s="57">
        <v>1.0050110000000001</v>
      </c>
      <c r="F2760" s="57">
        <v>13.622155377839976</v>
      </c>
      <c r="G2760" s="2">
        <v>4.9889314954192079</v>
      </c>
    </row>
    <row r="2761" spans="4:7" customFormat="1" x14ac:dyDescent="0.35">
      <c r="D2761" s="51">
        <v>43066</v>
      </c>
      <c r="E2761" s="57">
        <v>0.97460400000000003</v>
      </c>
      <c r="F2761" s="57">
        <v>13.276207119864353</v>
      </c>
      <c r="G2761" s="2">
        <v>5.1189318896897689</v>
      </c>
    </row>
    <row r="2762" spans="4:7" customFormat="1" x14ac:dyDescent="0.35">
      <c r="D2762" s="51">
        <v>43065</v>
      </c>
      <c r="E2762" s="57">
        <v>1</v>
      </c>
      <c r="F2762" s="57">
        <v>13.276207119864353</v>
      </c>
      <c r="G2762" s="2">
        <v>5.1189318896897689</v>
      </c>
    </row>
    <row r="2763" spans="4:7" customFormat="1" x14ac:dyDescent="0.35">
      <c r="D2763" s="51">
        <v>43064</v>
      </c>
      <c r="E2763" s="57">
        <v>1</v>
      </c>
      <c r="F2763" s="57">
        <v>13.276207119864353</v>
      </c>
      <c r="G2763" s="2">
        <v>5.1189318896897689</v>
      </c>
    </row>
    <row r="2764" spans="4:7" customFormat="1" x14ac:dyDescent="0.35">
      <c r="D2764" s="51">
        <v>43063</v>
      </c>
      <c r="E2764" s="57">
        <v>1.001369</v>
      </c>
      <c r="F2764" s="57">
        <v>13.294382247411447</v>
      </c>
      <c r="G2764" s="2">
        <v>5.1119336525194701</v>
      </c>
    </row>
    <row r="2765" spans="4:7" customFormat="1" x14ac:dyDescent="0.35">
      <c r="D2765" s="51">
        <v>43062</v>
      </c>
      <c r="E2765" s="57">
        <v>1</v>
      </c>
      <c r="F2765" s="57">
        <v>13.294382247411447</v>
      </c>
      <c r="G2765" s="2">
        <v>5.1119336525194701</v>
      </c>
    </row>
    <row r="2766" spans="4:7" customFormat="1" x14ac:dyDescent="0.35">
      <c r="D2766" s="51">
        <v>43061</v>
      </c>
      <c r="E2766" s="57">
        <v>0.98459200000000002</v>
      </c>
      <c r="F2766" s="57">
        <v>13.089542405743332</v>
      </c>
      <c r="G2766" s="2">
        <v>5.1919309241995357</v>
      </c>
    </row>
    <row r="2767" spans="4:7" customFormat="1" x14ac:dyDescent="0.35">
      <c r="D2767" s="51">
        <v>43060</v>
      </c>
      <c r="E2767" s="57">
        <v>1.030159</v>
      </c>
      <c r="F2767" s="57">
        <v>13.484309915158146</v>
      </c>
      <c r="G2767" s="2">
        <v>5.039931626282482</v>
      </c>
    </row>
    <row r="2768" spans="4:7" customFormat="1" x14ac:dyDescent="0.35">
      <c r="D2768" s="51">
        <v>43059</v>
      </c>
      <c r="E2768" s="57">
        <v>1.0077989999999999</v>
      </c>
      <c r="F2768" s="57">
        <v>13.589474048186464</v>
      </c>
      <c r="G2768" s="2">
        <v>5.0009293780629696</v>
      </c>
    </row>
    <row r="2769" spans="4:7" customFormat="1" x14ac:dyDescent="0.35">
      <c r="D2769" s="51">
        <v>43058</v>
      </c>
      <c r="E2769" s="57">
        <v>1</v>
      </c>
      <c r="F2769" s="57">
        <v>13.589474048186464</v>
      </c>
      <c r="G2769" s="2">
        <v>5.0009293780629696</v>
      </c>
    </row>
    <row r="2770" spans="4:7" customFormat="1" x14ac:dyDescent="0.35">
      <c r="D2770" s="51">
        <v>43057</v>
      </c>
      <c r="E2770" s="57">
        <v>1</v>
      </c>
      <c r="F2770" s="57">
        <v>13.589474048186464</v>
      </c>
      <c r="G2770" s="2">
        <v>5.0009293780629696</v>
      </c>
    </row>
    <row r="2771" spans="4:7" customFormat="1" x14ac:dyDescent="0.35">
      <c r="D2771" s="51">
        <v>43056</v>
      </c>
      <c r="E2771" s="57">
        <v>1.022699</v>
      </c>
      <c r="F2771" s="57">
        <v>13.897941519606249</v>
      </c>
      <c r="G2771" s="2">
        <v>4.8899327935814636</v>
      </c>
    </row>
    <row r="2772" spans="4:7" customFormat="1" x14ac:dyDescent="0.35">
      <c r="D2772" s="51">
        <v>43055</v>
      </c>
      <c r="E2772" s="57">
        <v>1.013682</v>
      </c>
      <c r="F2772" s="57">
        <v>14.088093155477502</v>
      </c>
      <c r="G2772" s="2">
        <v>4.8239317592513862</v>
      </c>
    </row>
    <row r="2773" spans="4:7" customFormat="1" x14ac:dyDescent="0.35">
      <c r="D2773" s="51">
        <v>43054</v>
      </c>
      <c r="E2773" s="57">
        <v>1.0252920000000001</v>
      </c>
      <c r="F2773" s="57">
        <v>14.44440920756584</v>
      </c>
      <c r="G2773" s="2">
        <v>4.7049345544989967</v>
      </c>
    </row>
    <row r="2774" spans="4:7" customFormat="1" x14ac:dyDescent="0.35">
      <c r="D2774" s="51">
        <v>43053</v>
      </c>
      <c r="E2774" s="57">
        <v>0.97200699999999995</v>
      </c>
      <c r="F2774" s="57">
        <v>14.040066860618449</v>
      </c>
      <c r="G2774" s="2">
        <v>4.840432789577644</v>
      </c>
    </row>
    <row r="2775" spans="4:7" customFormat="1" x14ac:dyDescent="0.35">
      <c r="D2775" s="51">
        <v>43052</v>
      </c>
      <c r="E2775" s="57">
        <v>0.94921100000000003</v>
      </c>
      <c r="F2775" s="57">
        <v>13.326985904834499</v>
      </c>
      <c r="G2775" s="2">
        <v>5.099427618914703</v>
      </c>
    </row>
    <row r="2776" spans="4:7" customFormat="1" x14ac:dyDescent="0.35">
      <c r="D2776" s="51">
        <v>43051</v>
      </c>
      <c r="E2776" s="57">
        <v>1</v>
      </c>
      <c r="F2776" s="57">
        <v>13.326985904834499</v>
      </c>
      <c r="G2776" s="2">
        <v>5.099427618914703</v>
      </c>
    </row>
    <row r="2777" spans="4:7" customFormat="1" x14ac:dyDescent="0.35">
      <c r="D2777" s="51">
        <v>43050</v>
      </c>
      <c r="E2777" s="57">
        <v>1</v>
      </c>
      <c r="F2777" s="57">
        <v>13.326985904834499</v>
      </c>
      <c r="G2777" s="2">
        <v>5.099427618914703</v>
      </c>
    </row>
    <row r="2778" spans="4:7" customFormat="1" x14ac:dyDescent="0.35">
      <c r="D2778" s="51">
        <v>43049</v>
      </c>
      <c r="E2778" s="57">
        <v>0.86024</v>
      </c>
      <c r="F2778" s="57">
        <v>11.46440635477483</v>
      </c>
      <c r="G2778" s="2">
        <v>5.9279126975201137</v>
      </c>
    </row>
    <row r="2779" spans="4:7" customFormat="1" x14ac:dyDescent="0.35">
      <c r="D2779" s="51">
        <v>43048</v>
      </c>
      <c r="E2779" s="57">
        <v>0.961557</v>
      </c>
      <c r="F2779" s="57">
        <v>11.023680181278221</v>
      </c>
      <c r="G2779" s="2">
        <v>6.1649103459494476</v>
      </c>
    </row>
    <row r="2780" spans="4:7" customFormat="1" x14ac:dyDescent="0.35">
      <c r="D2780" s="51">
        <v>43047</v>
      </c>
      <c r="E2780" s="57">
        <v>0.95344899999999999</v>
      </c>
      <c r="F2780" s="57">
        <v>10.51051684515954</v>
      </c>
      <c r="G2780" s="2">
        <v>6.4659046744497584</v>
      </c>
    </row>
    <row r="2781" spans="4:7" customFormat="1" x14ac:dyDescent="0.35">
      <c r="D2781" s="51">
        <v>43046</v>
      </c>
      <c r="E2781" s="57">
        <v>0.98898799999999998</v>
      </c>
      <c r="F2781" s="57">
        <v>10.394775033660643</v>
      </c>
      <c r="G2781" s="2">
        <v>6.537900029575443</v>
      </c>
    </row>
    <row r="2782" spans="4:7" customFormat="1" x14ac:dyDescent="0.35">
      <c r="D2782" s="51">
        <v>43045</v>
      </c>
      <c r="E2782" s="57">
        <v>1.0117609999999999</v>
      </c>
      <c r="F2782" s="57">
        <v>10.517027982831525</v>
      </c>
      <c r="G2782" s="2">
        <v>6.4619016048013744</v>
      </c>
    </row>
    <row r="2783" spans="4:7" customFormat="1" x14ac:dyDescent="0.35">
      <c r="D2783" s="51">
        <v>43044</v>
      </c>
      <c r="E2783" s="57">
        <v>1</v>
      </c>
      <c r="F2783" s="57">
        <v>10.517027982831525</v>
      </c>
      <c r="G2783" s="2">
        <v>6.4619016048013744</v>
      </c>
    </row>
    <row r="2784" spans="4:7" customFormat="1" x14ac:dyDescent="0.35">
      <c r="D2784" s="51">
        <v>43043</v>
      </c>
      <c r="E2784" s="57">
        <v>1</v>
      </c>
      <c r="F2784" s="57">
        <v>10.517027982831525</v>
      </c>
      <c r="G2784" s="2">
        <v>6.4619016048013744</v>
      </c>
    </row>
    <row r="2785" spans="4:7" customFormat="1" x14ac:dyDescent="0.35">
      <c r="D2785" s="51">
        <v>43042</v>
      </c>
      <c r="E2785" s="57">
        <v>1.008742</v>
      </c>
      <c r="F2785" s="57">
        <v>10.608967841457439</v>
      </c>
      <c r="G2785" s="2">
        <v>6.4059012163678863</v>
      </c>
    </row>
    <row r="2786" spans="4:7" customFormat="1" x14ac:dyDescent="0.35">
      <c r="D2786" s="51">
        <v>43041</v>
      </c>
      <c r="E2786" s="57">
        <v>0.98447799999999996</v>
      </c>
      <c r="F2786" s="57">
        <v>10.444295442622336</v>
      </c>
      <c r="G2786" s="2">
        <v>6.506901338951085</v>
      </c>
    </row>
    <row r="2787" spans="4:7" customFormat="1" x14ac:dyDescent="0.35">
      <c r="D2787" s="51">
        <v>43040</v>
      </c>
      <c r="E2787" s="57">
        <v>0.98710600000000004</v>
      </c>
      <c r="F2787" s="57">
        <v>10.309626697185164</v>
      </c>
      <c r="G2787" s="2">
        <v>6.5918972622505434</v>
      </c>
    </row>
    <row r="2788" spans="4:7" customFormat="1" x14ac:dyDescent="0.35">
      <c r="D2788" s="51">
        <v>43039</v>
      </c>
      <c r="E2788" s="57">
        <v>1.026791</v>
      </c>
      <c r="F2788" s="57">
        <v>10.585831906029453</v>
      </c>
      <c r="G2788" s="2">
        <v>6.4199016764371155</v>
      </c>
    </row>
    <row r="2789" spans="4:7" customFormat="1" x14ac:dyDescent="0.35">
      <c r="D2789" s="51">
        <v>43038</v>
      </c>
      <c r="E2789" s="57">
        <v>1.003595</v>
      </c>
      <c r="F2789" s="57">
        <v>10.623887971731628</v>
      </c>
      <c r="G2789" s="2">
        <v>6.3969048036679297</v>
      </c>
    </row>
    <row r="2790" spans="4:7" customFormat="1" x14ac:dyDescent="0.35">
      <c r="D2790" s="51">
        <v>43037</v>
      </c>
      <c r="E2790" s="57">
        <v>1</v>
      </c>
      <c r="F2790" s="57">
        <v>10.623887971731628</v>
      </c>
      <c r="G2790" s="2">
        <v>6.3969048036679297</v>
      </c>
    </row>
    <row r="2791" spans="4:7" customFormat="1" x14ac:dyDescent="0.35">
      <c r="D2791" s="51">
        <v>43036</v>
      </c>
      <c r="E2791" s="57">
        <v>1</v>
      </c>
      <c r="F2791" s="57">
        <v>10.623887971731628</v>
      </c>
      <c r="G2791" s="2">
        <v>6.3969048036679297</v>
      </c>
    </row>
    <row r="2792" spans="4:7" customFormat="1" x14ac:dyDescent="0.35">
      <c r="D2792" s="51">
        <v>43035</v>
      </c>
      <c r="E2792" s="57">
        <v>1.020581</v>
      </c>
      <c r="F2792" s="57">
        <v>10.842538210077837</v>
      </c>
      <c r="G2792" s="2">
        <v>6.2679050498372302</v>
      </c>
    </row>
    <row r="2793" spans="4:7" customFormat="1" x14ac:dyDescent="0.35">
      <c r="D2793" s="51">
        <v>43034</v>
      </c>
      <c r="E2793" s="57">
        <v>1.0017579999999999</v>
      </c>
      <c r="F2793" s="57">
        <v>10.861599392251152</v>
      </c>
      <c r="G2793" s="2">
        <v>6.2569054101262287</v>
      </c>
    </row>
    <row r="2794" spans="4:7" customFormat="1" x14ac:dyDescent="0.35">
      <c r="D2794" s="51">
        <v>43033</v>
      </c>
      <c r="E2794" s="57">
        <v>0.98831100000000005</v>
      </c>
      <c r="F2794" s="57">
        <v>10.73463815695513</v>
      </c>
      <c r="G2794" s="2">
        <v>6.3309073865678194</v>
      </c>
    </row>
    <row r="2795" spans="4:7" customFormat="1" x14ac:dyDescent="0.35">
      <c r="D2795" s="51">
        <v>43032</v>
      </c>
      <c r="E2795" s="57">
        <v>0.99763599999999997</v>
      </c>
      <c r="F2795" s="57">
        <v>10.709261472352088</v>
      </c>
      <c r="G2795" s="2">
        <v>6.345909115717375</v>
      </c>
    </row>
    <row r="2796" spans="4:7" customFormat="1" x14ac:dyDescent="0.35">
      <c r="D2796" s="51">
        <v>43031</v>
      </c>
      <c r="E2796" s="57">
        <v>0.99748499999999996</v>
      </c>
      <c r="F2796" s="57">
        <v>10.682327679749122</v>
      </c>
      <c r="G2796" s="2">
        <v>6.3619093176512687</v>
      </c>
    </row>
    <row r="2797" spans="4:7" customFormat="1" x14ac:dyDescent="0.35">
      <c r="D2797" s="51">
        <v>43030</v>
      </c>
      <c r="E2797" s="57">
        <v>1</v>
      </c>
      <c r="F2797" s="57">
        <v>10.682327679749122</v>
      </c>
      <c r="G2797" s="2">
        <v>6.3619093176512687</v>
      </c>
    </row>
    <row r="2798" spans="4:7" customFormat="1" x14ac:dyDescent="0.35">
      <c r="D2798" s="51">
        <v>43029</v>
      </c>
      <c r="E2798" s="57">
        <v>1</v>
      </c>
      <c r="F2798" s="57">
        <v>10.682327679749122</v>
      </c>
      <c r="G2798" s="2">
        <v>6.3619093176512687</v>
      </c>
    </row>
    <row r="2799" spans="4:7" customFormat="1" x14ac:dyDescent="0.35">
      <c r="D2799" s="51">
        <v>43028</v>
      </c>
      <c r="E2799" s="57">
        <v>1.0060089999999999</v>
      </c>
      <c r="F2799" s="57">
        <v>10.746517786776733</v>
      </c>
      <c r="G2799" s="2">
        <v>6.3239089487780618</v>
      </c>
    </row>
    <row r="2800" spans="4:7" customFormat="1" x14ac:dyDescent="0.35">
      <c r="D2800" s="51">
        <v>43027</v>
      </c>
      <c r="E2800" s="57">
        <v>0.98704499999999995</v>
      </c>
      <c r="F2800" s="57">
        <v>10.60729664884904</v>
      </c>
      <c r="G2800" s="2">
        <v>6.4069104739683214</v>
      </c>
    </row>
    <row r="2801" spans="4:7" customFormat="1" x14ac:dyDescent="0.35">
      <c r="D2801" s="51">
        <v>43026</v>
      </c>
      <c r="E2801" s="57">
        <v>1.0028170000000001</v>
      </c>
      <c r="F2801" s="57">
        <v>10.637177403508849</v>
      </c>
      <c r="G2801" s="2">
        <v>6.3889129063112424</v>
      </c>
    </row>
    <row r="2802" spans="4:7" customFormat="1" x14ac:dyDescent="0.35">
      <c r="D2802" s="51">
        <v>43025</v>
      </c>
      <c r="E2802" s="57">
        <v>0.99008200000000002</v>
      </c>
      <c r="F2802" s="57">
        <v>10.531677878020849</v>
      </c>
      <c r="G2802" s="2">
        <v>6.4529128964179145</v>
      </c>
    </row>
    <row r="2803" spans="4:7" customFormat="1" x14ac:dyDescent="0.35">
      <c r="D2803" s="51">
        <v>43024</v>
      </c>
      <c r="E2803" s="57">
        <v>0.97023000000000004</v>
      </c>
      <c r="F2803" s="57">
        <v>10.218149827592169</v>
      </c>
      <c r="G2803" s="2">
        <v>6.6509105020643702</v>
      </c>
    </row>
    <row r="2804" spans="4:7" customFormat="1" x14ac:dyDescent="0.35">
      <c r="D2804" s="51">
        <v>43023</v>
      </c>
      <c r="E2804" s="57">
        <v>1</v>
      </c>
      <c r="F2804" s="57">
        <v>10.218149827592169</v>
      </c>
      <c r="G2804" s="2">
        <v>6.6509105020643702</v>
      </c>
    </row>
    <row r="2805" spans="4:7" customFormat="1" x14ac:dyDescent="0.35">
      <c r="D2805" s="51">
        <v>43022</v>
      </c>
      <c r="E2805" s="57">
        <v>1</v>
      </c>
      <c r="F2805" s="57">
        <v>10.218149827592169</v>
      </c>
      <c r="G2805" s="2">
        <v>6.6509105020643702</v>
      </c>
    </row>
    <row r="2806" spans="4:7" customFormat="1" x14ac:dyDescent="0.35">
      <c r="D2806" s="51">
        <v>43021</v>
      </c>
      <c r="E2806" s="57">
        <v>1.0183739999999999</v>
      </c>
      <c r="F2806" s="57">
        <v>10.405898112524346</v>
      </c>
      <c r="G2806" s="2">
        <v>6.5309115335469796</v>
      </c>
    </row>
    <row r="2807" spans="4:7" customFormat="1" x14ac:dyDescent="0.35">
      <c r="D2807" s="51">
        <v>43020</v>
      </c>
      <c r="E2807" s="57">
        <v>1.0069379999999999</v>
      </c>
      <c r="F2807" s="57">
        <v>10.478094233629038</v>
      </c>
      <c r="G2807" s="2">
        <v>6.4859122741886592</v>
      </c>
    </row>
    <row r="2808" spans="4:7" customFormat="1" x14ac:dyDescent="0.35">
      <c r="D2808" s="51">
        <v>43019</v>
      </c>
      <c r="E2808" s="57">
        <v>1.011541</v>
      </c>
      <c r="F2808" s="57">
        <v>10.599021919179352</v>
      </c>
      <c r="G2808" s="2">
        <v>6.4119123932580679</v>
      </c>
    </row>
    <row r="2809" spans="4:7" customFormat="1" x14ac:dyDescent="0.35">
      <c r="D2809" s="51">
        <v>43018</v>
      </c>
      <c r="E2809" s="57">
        <v>0.99906499999999998</v>
      </c>
      <c r="F2809" s="57">
        <v>10.589111833684919</v>
      </c>
      <c r="G2809" s="2">
        <v>6.4179131420458804</v>
      </c>
    </row>
    <row r="2810" spans="4:7" customFormat="1" x14ac:dyDescent="0.35">
      <c r="D2810" s="51">
        <v>43017</v>
      </c>
      <c r="E2810" s="57">
        <v>0.998444</v>
      </c>
      <c r="F2810" s="57">
        <v>10.572635175671705</v>
      </c>
      <c r="G2810" s="2">
        <v>6.4279149777512616</v>
      </c>
    </row>
    <row r="2811" spans="4:7" customFormat="1" x14ac:dyDescent="0.35">
      <c r="D2811" s="51">
        <v>43016</v>
      </c>
      <c r="E2811" s="57">
        <v>1</v>
      </c>
      <c r="F2811" s="57">
        <v>10.572635175671705</v>
      </c>
      <c r="G2811" s="2">
        <v>6.4279149777512616</v>
      </c>
    </row>
    <row r="2812" spans="4:7" customFormat="1" x14ac:dyDescent="0.35">
      <c r="D2812" s="51">
        <v>43015</v>
      </c>
      <c r="E2812" s="57">
        <v>1</v>
      </c>
      <c r="F2812" s="57">
        <v>10.572635175671705</v>
      </c>
      <c r="G2812" s="2">
        <v>6.4279149777512616</v>
      </c>
    </row>
    <row r="2813" spans="4:7" customFormat="1" x14ac:dyDescent="0.35">
      <c r="D2813" s="51">
        <v>43014</v>
      </c>
      <c r="E2813" s="57">
        <v>1.054462</v>
      </c>
      <c r="F2813" s="57">
        <v>11.148442032609138</v>
      </c>
      <c r="G2813" s="2">
        <v>6.0959190352532966</v>
      </c>
    </row>
    <row r="2814" spans="4:7" customFormat="1" x14ac:dyDescent="0.35">
      <c r="D2814" s="51">
        <v>43013</v>
      </c>
      <c r="E2814" s="57">
        <v>1.0136350000000001</v>
      </c>
      <c r="F2814" s="57">
        <v>11.300451039723765</v>
      </c>
      <c r="G2814" s="2">
        <v>6.0139192463295919</v>
      </c>
    </row>
    <row r="2815" spans="4:7" customFormat="1" x14ac:dyDescent="0.35">
      <c r="D2815" s="51">
        <v>43012</v>
      </c>
      <c r="E2815" s="57">
        <v>0.99355700000000002</v>
      </c>
      <c r="F2815" s="57">
        <v>11.227642233674825</v>
      </c>
      <c r="G2815" s="2">
        <v>6.0529181982811169</v>
      </c>
    </row>
    <row r="2816" spans="4:7" customFormat="1" x14ac:dyDescent="0.35">
      <c r="D2816" s="51">
        <v>43011</v>
      </c>
      <c r="E2816" s="57">
        <v>1.016286</v>
      </c>
      <c r="F2816" s="57">
        <v>11.410495615092453</v>
      </c>
      <c r="G2816" s="2">
        <v>5.9559200837964088</v>
      </c>
    </row>
    <row r="2817" spans="4:7" customFormat="1" x14ac:dyDescent="0.35">
      <c r="D2817" s="51">
        <v>43010</v>
      </c>
      <c r="E2817" s="57">
        <v>0.96829799999999999</v>
      </c>
      <c r="F2817" s="57">
        <v>11.048760083102792</v>
      </c>
      <c r="G2817" s="2">
        <v>6.1509164366717775</v>
      </c>
    </row>
    <row r="2818" spans="4:7" customFormat="1" x14ac:dyDescent="0.35">
      <c r="D2818" s="51">
        <v>43009</v>
      </c>
      <c r="E2818" s="57">
        <v>1</v>
      </c>
      <c r="F2818" s="57">
        <v>11.048760083102792</v>
      </c>
      <c r="G2818" s="2">
        <v>6.1509164366717775</v>
      </c>
    </row>
    <row r="2819" spans="4:7" customFormat="1" x14ac:dyDescent="0.35">
      <c r="D2819" s="51">
        <v>43008</v>
      </c>
      <c r="E2819" s="57">
        <v>1</v>
      </c>
      <c r="F2819" s="57">
        <v>11.048760083102792</v>
      </c>
      <c r="G2819" s="2">
        <v>6.1509164366717775</v>
      </c>
    </row>
    <row r="2820" spans="4:7" customFormat="1" x14ac:dyDescent="0.35">
      <c r="D2820" s="51">
        <v>43007</v>
      </c>
      <c r="E2820" s="57">
        <v>1.0546979999999999</v>
      </c>
      <c r="F2820" s="57">
        <v>11.653105162128348</v>
      </c>
      <c r="G2820" s="2">
        <v>5.8319219688211952</v>
      </c>
    </row>
    <row r="2821" spans="4:7" customFormat="1" x14ac:dyDescent="0.35">
      <c r="D2821" s="51">
        <v>43006</v>
      </c>
      <c r="E2821" s="57">
        <v>1.009171</v>
      </c>
      <c r="F2821" s="57">
        <v>11.759975789570227</v>
      </c>
      <c r="G2821" s="2">
        <v>5.7789234617534548</v>
      </c>
    </row>
    <row r="2822" spans="4:7" customFormat="1" x14ac:dyDescent="0.35">
      <c r="D2822" s="51">
        <v>43005</v>
      </c>
      <c r="E2822" s="57">
        <v>1.0317799999999999</v>
      </c>
      <c r="F2822" s="57">
        <v>12.133707820162767</v>
      </c>
      <c r="G2822" s="2">
        <v>5.6009260324424348</v>
      </c>
    </row>
    <row r="2823" spans="4:7" customFormat="1" x14ac:dyDescent="0.35">
      <c r="D2823" s="51">
        <v>43004</v>
      </c>
      <c r="E2823" s="57">
        <v>0.99378999999999995</v>
      </c>
      <c r="F2823" s="57">
        <v>12.058357494599555</v>
      </c>
      <c r="G2823" s="2">
        <v>5.6359251274841116</v>
      </c>
    </row>
    <row r="2824" spans="4:7" customFormat="1" x14ac:dyDescent="0.35">
      <c r="D2824" s="51">
        <v>43003</v>
      </c>
      <c r="E2824" s="57">
        <v>0.94247499999999995</v>
      </c>
      <c r="F2824" s="57">
        <v>11.364700479722716</v>
      </c>
      <c r="G2824" s="2">
        <v>5.9799200270395625</v>
      </c>
    </row>
    <row r="2825" spans="4:7" customFormat="1" x14ac:dyDescent="0.35">
      <c r="D2825" s="51">
        <v>43002</v>
      </c>
      <c r="E2825" s="57">
        <v>1</v>
      </c>
      <c r="F2825" s="57">
        <v>11.364700479722716</v>
      </c>
      <c r="G2825" s="2">
        <v>5.9799200270395625</v>
      </c>
    </row>
    <row r="2826" spans="4:7" customFormat="1" x14ac:dyDescent="0.35">
      <c r="D2826" s="51">
        <v>43001</v>
      </c>
      <c r="E2826" s="57">
        <v>1</v>
      </c>
      <c r="F2826" s="57">
        <v>11.364700479722716</v>
      </c>
      <c r="G2826" s="2">
        <v>5.9799200270395625</v>
      </c>
    </row>
    <row r="2827" spans="4:7" customFormat="1" x14ac:dyDescent="0.35">
      <c r="D2827" s="51">
        <v>43000</v>
      </c>
      <c r="E2827" s="57">
        <v>1.004367</v>
      </c>
      <c r="F2827" s="57">
        <v>11.414330126717665</v>
      </c>
      <c r="G2827" s="2">
        <v>5.9539192616240504</v>
      </c>
    </row>
    <row r="2828" spans="4:7" customFormat="1" x14ac:dyDescent="0.35">
      <c r="D2828" s="51">
        <v>42999</v>
      </c>
      <c r="E2828" s="57">
        <v>0.99548599999999998</v>
      </c>
      <c r="F2828" s="57">
        <v>11.362805840525661</v>
      </c>
      <c r="G2828" s="2">
        <v>5.980917121510549</v>
      </c>
    </row>
    <row r="2829" spans="4:7" customFormat="1" x14ac:dyDescent="0.35">
      <c r="D2829" s="51">
        <v>42998</v>
      </c>
      <c r="E2829" s="57">
        <v>0.96905399999999997</v>
      </c>
      <c r="F2829" s="57">
        <v>11.011172450984754</v>
      </c>
      <c r="G2829" s="2">
        <v>6.1719131457179364</v>
      </c>
    </row>
    <row r="2830" spans="4:7" customFormat="1" x14ac:dyDescent="0.35">
      <c r="D2830" s="51">
        <v>42997</v>
      </c>
      <c r="E2830" s="57">
        <v>1.027126</v>
      </c>
      <c r="F2830" s="57">
        <v>11.309861514890166</v>
      </c>
      <c r="G2830" s="2">
        <v>6.008915309044788</v>
      </c>
    </row>
    <row r="2831" spans="4:7" customFormat="1" x14ac:dyDescent="0.35">
      <c r="D2831" s="51">
        <v>42996</v>
      </c>
      <c r="E2831" s="57">
        <v>1.0035069999999999</v>
      </c>
      <c r="F2831" s="57">
        <v>11.349525199222885</v>
      </c>
      <c r="G2831" s="2">
        <v>5.9879156887244314</v>
      </c>
    </row>
    <row r="2832" spans="4:7" customFormat="1" x14ac:dyDescent="0.35">
      <c r="D2832" s="51">
        <v>42995</v>
      </c>
      <c r="E2832" s="57">
        <v>1</v>
      </c>
      <c r="F2832" s="57">
        <v>11.349525199222885</v>
      </c>
      <c r="G2832" s="2">
        <v>5.9879156887244314</v>
      </c>
    </row>
    <row r="2833" spans="4:7" customFormat="1" x14ac:dyDescent="0.35">
      <c r="D2833" s="51">
        <v>42994</v>
      </c>
      <c r="E2833" s="57">
        <v>1</v>
      </c>
      <c r="F2833" s="57">
        <v>11.349525199222885</v>
      </c>
      <c r="G2833" s="2">
        <v>5.9879156887244314</v>
      </c>
    </row>
    <row r="2834" spans="4:7" customFormat="1" x14ac:dyDescent="0.35">
      <c r="D2834" s="51">
        <v>42993</v>
      </c>
      <c r="E2834" s="57">
        <v>1.003015</v>
      </c>
      <c r="F2834" s="57">
        <v>11.383744017698541</v>
      </c>
      <c r="G2834" s="2">
        <v>5.9699163908061514</v>
      </c>
    </row>
    <row r="2835" spans="4:7" customFormat="1" x14ac:dyDescent="0.35">
      <c r="D2835" s="51">
        <v>42992</v>
      </c>
      <c r="E2835" s="57">
        <v>0.99301399999999995</v>
      </c>
      <c r="F2835" s="57">
        <v>11.304217181990898</v>
      </c>
      <c r="G2835" s="2">
        <v>6.0119156334212329</v>
      </c>
    </row>
    <row r="2836" spans="4:7" customFormat="1" x14ac:dyDescent="0.35">
      <c r="D2836" s="51">
        <v>42991</v>
      </c>
      <c r="E2836" s="57">
        <v>0.97470800000000002</v>
      </c>
      <c r="F2836" s="57">
        <v>11.018310921023986</v>
      </c>
      <c r="G2836" s="2">
        <v>6.1679145276546743</v>
      </c>
    </row>
    <row r="2837" spans="4:7" customFormat="1" x14ac:dyDescent="0.35">
      <c r="D2837" s="51">
        <v>42990</v>
      </c>
      <c r="E2837" s="57">
        <v>1.0183260000000001</v>
      </c>
      <c r="F2837" s="57">
        <v>11.220232486962672</v>
      </c>
      <c r="G2837" s="2">
        <v>6.0569154943060211</v>
      </c>
    </row>
    <row r="2838" spans="4:7" customFormat="1" x14ac:dyDescent="0.35">
      <c r="D2838" s="51">
        <v>42989</v>
      </c>
      <c r="E2838" s="57">
        <v>1.077183</v>
      </c>
      <c r="F2838" s="57">
        <v>12.086243691003911</v>
      </c>
      <c r="G2838" s="2">
        <v>5.6229215410065159</v>
      </c>
    </row>
    <row r="2839" spans="4:7" customFormat="1" x14ac:dyDescent="0.35">
      <c r="D2839" s="51">
        <v>42988</v>
      </c>
      <c r="E2839" s="57">
        <v>1</v>
      </c>
      <c r="F2839" s="57">
        <v>12.086243691003911</v>
      </c>
      <c r="G2839" s="2">
        <v>5.6229215410065159</v>
      </c>
    </row>
    <row r="2840" spans="4:7" customFormat="1" x14ac:dyDescent="0.35">
      <c r="D2840" s="51">
        <v>42987</v>
      </c>
      <c r="E2840" s="57">
        <v>1</v>
      </c>
      <c r="F2840" s="57">
        <v>12.086243691003911</v>
      </c>
      <c r="G2840" s="2">
        <v>5.6229215410065159</v>
      </c>
    </row>
    <row r="2841" spans="4:7" customFormat="1" x14ac:dyDescent="0.35">
      <c r="D2841" s="51">
        <v>42986</v>
      </c>
      <c r="E2841" s="57">
        <v>0.98510900000000001</v>
      </c>
      <c r="F2841" s="57">
        <v>11.906267436201173</v>
      </c>
      <c r="G2841" s="2">
        <v>5.7079181501808591</v>
      </c>
    </row>
    <row r="2842" spans="4:7" customFormat="1" x14ac:dyDescent="0.35">
      <c r="D2842" s="51">
        <v>42985</v>
      </c>
      <c r="E2842" s="57">
        <v>1.040656</v>
      </c>
      <c r="F2842" s="57">
        <v>12.390328645087369</v>
      </c>
      <c r="G2842" s="2">
        <v>5.4849231159776703</v>
      </c>
    </row>
    <row r="2843" spans="4:7" customFormat="1" x14ac:dyDescent="0.35">
      <c r="D2843" s="51">
        <v>42984</v>
      </c>
      <c r="E2843" s="57">
        <v>1.025042</v>
      </c>
      <c r="F2843" s="57">
        <v>12.700607255017646</v>
      </c>
      <c r="G2843" s="2">
        <v>5.3509252459681367</v>
      </c>
    </row>
    <row r="2844" spans="4:7" customFormat="1" x14ac:dyDescent="0.35">
      <c r="D2844" s="51">
        <v>42983</v>
      </c>
      <c r="E2844" s="57">
        <v>0.99664699999999995</v>
      </c>
      <c r="F2844" s="57">
        <v>12.658022118891571</v>
      </c>
      <c r="G2844" s="2">
        <v>5.3689272590677906</v>
      </c>
    </row>
    <row r="2845" spans="4:7" customFormat="1" x14ac:dyDescent="0.35">
      <c r="D2845" s="51">
        <v>42982</v>
      </c>
      <c r="E2845" s="57">
        <v>1</v>
      </c>
      <c r="F2845" s="57">
        <v>12.658022118891571</v>
      </c>
      <c r="G2845" s="2">
        <v>5.3689272590677906</v>
      </c>
    </row>
    <row r="2846" spans="4:7" customFormat="1" x14ac:dyDescent="0.35">
      <c r="D2846" s="51">
        <v>42981</v>
      </c>
      <c r="E2846" s="57">
        <v>1</v>
      </c>
      <c r="F2846" s="57">
        <v>12.658022118891571</v>
      </c>
      <c r="G2846" s="2">
        <v>5.3689272590677906</v>
      </c>
    </row>
    <row r="2847" spans="4:7" customFormat="1" x14ac:dyDescent="0.35">
      <c r="D2847" s="51">
        <v>42980</v>
      </c>
      <c r="E2847" s="57">
        <v>1</v>
      </c>
      <c r="F2847" s="57">
        <v>12.658022118891571</v>
      </c>
      <c r="G2847" s="2">
        <v>5.3689272590677906</v>
      </c>
    </row>
    <row r="2848" spans="4:7" customFormat="1" x14ac:dyDescent="0.35">
      <c r="D2848" s="51">
        <v>42979</v>
      </c>
      <c r="E2848" s="57">
        <v>1.013593</v>
      </c>
      <c r="F2848" s="57">
        <v>12.830082613553664</v>
      </c>
      <c r="G2848" s="2">
        <v>5.2969261420193225</v>
      </c>
    </row>
    <row r="2849" spans="4:7" customFormat="1" x14ac:dyDescent="0.35">
      <c r="D2849" s="51">
        <v>42978</v>
      </c>
      <c r="E2849" s="57">
        <v>0.99943400000000004</v>
      </c>
      <c r="F2849" s="57">
        <v>12.822820786794393</v>
      </c>
      <c r="G2849" s="2">
        <v>5.2999259000787671</v>
      </c>
    </row>
    <row r="2850" spans="4:7" customFormat="1" x14ac:dyDescent="0.35">
      <c r="D2850" s="51">
        <v>42977</v>
      </c>
      <c r="E2850" s="57">
        <v>1.0241549999999999</v>
      </c>
      <c r="F2850" s="57">
        <v>13.132556022899411</v>
      </c>
      <c r="G2850" s="2">
        <v>5.1749255728661838</v>
      </c>
    </row>
    <row r="2851" spans="4:7" customFormat="1" x14ac:dyDescent="0.35">
      <c r="D2851" s="51">
        <v>42976</v>
      </c>
      <c r="E2851" s="57">
        <v>1.0068090000000001</v>
      </c>
      <c r="F2851" s="57">
        <v>13.221975596859334</v>
      </c>
      <c r="G2851" s="2">
        <v>5.1399278044457128</v>
      </c>
    </row>
    <row r="2852" spans="4:7" customFormat="1" x14ac:dyDescent="0.35">
      <c r="D2852" s="51">
        <v>42975</v>
      </c>
      <c r="E2852" s="57">
        <v>1.007053</v>
      </c>
      <c r="F2852" s="57">
        <v>13.315230190743982</v>
      </c>
      <c r="G2852" s="2">
        <v>5.103929787653394</v>
      </c>
    </row>
    <row r="2853" spans="4:7" customFormat="1" x14ac:dyDescent="0.35">
      <c r="D2853" s="51">
        <v>42974</v>
      </c>
      <c r="E2853" s="57">
        <v>1</v>
      </c>
      <c r="F2853" s="57">
        <v>13.315230190743982</v>
      </c>
      <c r="G2853" s="2">
        <v>5.103929787653394</v>
      </c>
    </row>
    <row r="2854" spans="4:7" customFormat="1" x14ac:dyDescent="0.35">
      <c r="D2854" s="51">
        <v>42973</v>
      </c>
      <c r="E2854" s="57">
        <v>1</v>
      </c>
      <c r="F2854" s="57">
        <v>13.315230190743982</v>
      </c>
      <c r="G2854" s="2">
        <v>5.103929787653394</v>
      </c>
    </row>
    <row r="2855" spans="4:7" customFormat="1" x14ac:dyDescent="0.35">
      <c r="D2855" s="51">
        <v>42972</v>
      </c>
      <c r="E2855" s="57">
        <v>1.0007839999999999</v>
      </c>
      <c r="F2855" s="57">
        <v>13.325669331213524</v>
      </c>
      <c r="G2855" s="2">
        <v>5.0999314414033341</v>
      </c>
    </row>
    <row r="2856" spans="4:7" customFormat="1" x14ac:dyDescent="0.35">
      <c r="D2856" s="51">
        <v>42971</v>
      </c>
      <c r="E2856" s="57">
        <v>1.0202040000000001</v>
      </c>
      <c r="F2856" s="57">
        <v>13.594901154381363</v>
      </c>
      <c r="G2856" s="2">
        <v>4.9989329990897255</v>
      </c>
    </row>
    <row r="2857" spans="4:7" customFormat="1" x14ac:dyDescent="0.35">
      <c r="D2857" s="51">
        <v>42970</v>
      </c>
      <c r="E2857" s="57">
        <v>0.994232</v>
      </c>
      <c r="F2857" s="57">
        <v>13.516485764522891</v>
      </c>
      <c r="G2857" s="2">
        <v>5.0279341231118346</v>
      </c>
    </row>
    <row r="2858" spans="4:7" customFormat="1" x14ac:dyDescent="0.35">
      <c r="D2858" s="51">
        <v>42969</v>
      </c>
      <c r="E2858" s="57">
        <v>1.005198</v>
      </c>
      <c r="F2858" s="57">
        <v>13.586744457526882</v>
      </c>
      <c r="G2858" s="2">
        <v>5.0019340698169259</v>
      </c>
    </row>
    <row r="2859" spans="4:7" customFormat="1" x14ac:dyDescent="0.35">
      <c r="D2859" s="51">
        <v>42968</v>
      </c>
      <c r="E2859" s="57">
        <v>1.0103009999999999</v>
      </c>
      <c r="F2859" s="57">
        <v>13.726701512183865</v>
      </c>
      <c r="G2859" s="2">
        <v>4.9509344935983695</v>
      </c>
    </row>
    <row r="2860" spans="4:7" customFormat="1" x14ac:dyDescent="0.35">
      <c r="D2860" s="51">
        <v>42967</v>
      </c>
      <c r="E2860" s="57">
        <v>1</v>
      </c>
      <c r="F2860" s="57">
        <v>13.726701512183865</v>
      </c>
      <c r="G2860" s="2">
        <v>4.9509344935983695</v>
      </c>
    </row>
    <row r="2861" spans="4:7" customFormat="1" x14ac:dyDescent="0.35">
      <c r="D2861" s="51">
        <v>42966</v>
      </c>
      <c r="E2861" s="57">
        <v>1</v>
      </c>
      <c r="F2861" s="57">
        <v>13.726701512183865</v>
      </c>
      <c r="G2861" s="2">
        <v>4.9509344935983695</v>
      </c>
    </row>
    <row r="2862" spans="4:7" customFormat="1" x14ac:dyDescent="0.35">
      <c r="D2862" s="51">
        <v>42965</v>
      </c>
      <c r="E2862" s="57">
        <v>1.023568</v>
      </c>
      <c r="F2862" s="57">
        <v>14.050212413423015</v>
      </c>
      <c r="G2862" s="2">
        <v>4.8369375494333244</v>
      </c>
    </row>
    <row r="2863" spans="4:7" customFormat="1" x14ac:dyDescent="0.35">
      <c r="D2863" s="51">
        <v>42964</v>
      </c>
      <c r="E2863" s="57">
        <v>0.95649600000000001</v>
      </c>
      <c r="F2863" s="57">
        <v>13.43897197258946</v>
      </c>
      <c r="G2863" s="2">
        <v>5.0569344246429937</v>
      </c>
    </row>
    <row r="2864" spans="4:7" customFormat="1" x14ac:dyDescent="0.35">
      <c r="D2864" s="51">
        <v>42963</v>
      </c>
      <c r="E2864" s="57">
        <v>0.99117999999999995</v>
      </c>
      <c r="F2864" s="57">
        <v>13.320440239791221</v>
      </c>
      <c r="G2864" s="2">
        <v>5.1019334779182319</v>
      </c>
    </row>
    <row r="2865" spans="4:7" customFormat="1" x14ac:dyDescent="0.35">
      <c r="D2865" s="51">
        <v>42962</v>
      </c>
      <c r="E2865" s="57">
        <v>0.951156</v>
      </c>
      <c r="F2865" s="57">
        <v>12.669816656718858</v>
      </c>
      <c r="G2865" s="2">
        <v>5.3639292375995442</v>
      </c>
    </row>
    <row r="2866" spans="4:7" customFormat="1" x14ac:dyDescent="0.35">
      <c r="D2866" s="51">
        <v>42961</v>
      </c>
      <c r="E2866" s="57">
        <v>0.985124</v>
      </c>
      <c r="F2866" s="57">
        <v>12.481340464133508</v>
      </c>
      <c r="G2866" s="2">
        <v>5.4449279863241022</v>
      </c>
    </row>
    <row r="2867" spans="4:7" customFormat="1" x14ac:dyDescent="0.35">
      <c r="D2867" s="51">
        <v>42960</v>
      </c>
      <c r="E2867" s="57">
        <v>1</v>
      </c>
      <c r="F2867" s="57">
        <v>12.481340464133508</v>
      </c>
      <c r="G2867" s="2">
        <v>5.4449279863241022</v>
      </c>
    </row>
    <row r="2868" spans="4:7" customFormat="1" x14ac:dyDescent="0.35">
      <c r="D2868" s="51">
        <v>42959</v>
      </c>
      <c r="E2868" s="57">
        <v>1</v>
      </c>
      <c r="F2868" s="57">
        <v>12.481340464133508</v>
      </c>
      <c r="G2868" s="2">
        <v>5.4449279863241022</v>
      </c>
    </row>
    <row r="2869" spans="4:7" customFormat="1" x14ac:dyDescent="0.35">
      <c r="D2869" s="51">
        <v>42958</v>
      </c>
      <c r="E2869" s="57">
        <v>1.0876950000000001</v>
      </c>
      <c r="F2869" s="57">
        <v>13.575891616135698</v>
      </c>
      <c r="G2869" s="2">
        <v>5.0059327167304266</v>
      </c>
    </row>
    <row r="2870" spans="4:7" customFormat="1" x14ac:dyDescent="0.35">
      <c r="D2870" s="51">
        <v>42957</v>
      </c>
      <c r="E2870" s="57">
        <v>0.92720899999999995</v>
      </c>
      <c r="F2870" s="57">
        <v>12.587688889505563</v>
      </c>
      <c r="G2870" s="2">
        <v>5.3989259344230129</v>
      </c>
    </row>
    <row r="2871" spans="4:7" customFormat="1" x14ac:dyDescent="0.35">
      <c r="D2871" s="51">
        <v>42956</v>
      </c>
      <c r="E2871" s="57">
        <v>0.99027900000000002</v>
      </c>
      <c r="F2871" s="57">
        <v>12.465323965810679</v>
      </c>
      <c r="G2871" s="2">
        <v>5.4519240884871962</v>
      </c>
    </row>
    <row r="2872" spans="4:7" customFormat="1" x14ac:dyDescent="0.35">
      <c r="D2872" s="51">
        <v>42955</v>
      </c>
      <c r="E2872" s="57">
        <v>0.98216499999999995</v>
      </c>
      <c r="F2872" s="57">
        <v>12.243004912880446</v>
      </c>
      <c r="G2872" s="2">
        <v>5.5509248328816403</v>
      </c>
    </row>
    <row r="2873" spans="4:7" customFormat="1" x14ac:dyDescent="0.35">
      <c r="D2873" s="51">
        <v>42954</v>
      </c>
      <c r="E2873" s="57">
        <v>1.0397080000000001</v>
      </c>
      <c r="F2873" s="57">
        <v>12.729150151961104</v>
      </c>
      <c r="G2873" s="2">
        <v>5.3389267302758467</v>
      </c>
    </row>
    <row r="2874" spans="4:7" customFormat="1" x14ac:dyDescent="0.35">
      <c r="D2874" s="51">
        <v>42953</v>
      </c>
      <c r="E2874" s="57">
        <v>1</v>
      </c>
      <c r="F2874" s="57">
        <v>12.729150151961104</v>
      </c>
      <c r="G2874" s="2">
        <v>5.3389267302758467</v>
      </c>
    </row>
    <row r="2875" spans="4:7" customFormat="1" x14ac:dyDescent="0.35">
      <c r="D2875" s="51">
        <v>42952</v>
      </c>
      <c r="E2875" s="57">
        <v>1</v>
      </c>
      <c r="F2875" s="57">
        <v>12.729150151961104</v>
      </c>
      <c r="G2875" s="2">
        <v>5.3389267302758467</v>
      </c>
    </row>
    <row r="2876" spans="4:7" customFormat="1" x14ac:dyDescent="0.35">
      <c r="D2876" s="51">
        <v>42951</v>
      </c>
      <c r="E2876" s="57">
        <v>0.979993</v>
      </c>
      <c r="F2876" s="57">
        <v>12.474478044870818</v>
      </c>
      <c r="G2876" s="2">
        <v>5.4479233323869121</v>
      </c>
    </row>
    <row r="2877" spans="4:7" customFormat="1" x14ac:dyDescent="0.35">
      <c r="D2877" s="51">
        <v>42950</v>
      </c>
      <c r="E2877" s="57">
        <v>1.027731</v>
      </c>
      <c r="F2877" s="57">
        <v>12.82040779553313</v>
      </c>
      <c r="G2877" s="2">
        <v>5.3009234248912529</v>
      </c>
    </row>
    <row r="2878" spans="4:7" customFormat="1" x14ac:dyDescent="0.35">
      <c r="D2878" s="51">
        <v>42949</v>
      </c>
      <c r="E2878" s="57">
        <v>0.99232500000000001</v>
      </c>
      <c r="F2878" s="57">
        <v>12.722011165702414</v>
      </c>
      <c r="G2878" s="2">
        <v>5.3419226814715461</v>
      </c>
    </row>
    <row r="2879" spans="4:7" customFormat="1" x14ac:dyDescent="0.35">
      <c r="D2879" s="51">
        <v>42948</v>
      </c>
      <c r="E2879" s="57">
        <v>1.0020629999999999</v>
      </c>
      <c r="F2879" s="57">
        <v>12.748256674737258</v>
      </c>
      <c r="G2879" s="2">
        <v>5.3309249832311405</v>
      </c>
    </row>
    <row r="2880" spans="4:7" customFormat="1" x14ac:dyDescent="0.35">
      <c r="D2880" s="51">
        <v>42947</v>
      </c>
      <c r="E2880" s="57">
        <v>0.99812800000000002</v>
      </c>
      <c r="F2880" s="57">
        <v>12.72439193824215</v>
      </c>
      <c r="G2880" s="2">
        <v>5.3409231914455271</v>
      </c>
    </row>
    <row r="2881" spans="4:7" customFormat="1" x14ac:dyDescent="0.35">
      <c r="D2881" s="51">
        <v>42946</v>
      </c>
      <c r="E2881" s="57">
        <v>1</v>
      </c>
      <c r="F2881" s="57">
        <v>12.72439193824215</v>
      </c>
      <c r="G2881" s="2">
        <v>5.3409231914455271</v>
      </c>
    </row>
    <row r="2882" spans="4:7" customFormat="1" x14ac:dyDescent="0.35">
      <c r="D2882" s="51">
        <v>42945</v>
      </c>
      <c r="E2882" s="57">
        <v>1</v>
      </c>
      <c r="F2882" s="57">
        <v>12.72439193824215</v>
      </c>
      <c r="G2882" s="2">
        <v>5.3409231914455271</v>
      </c>
    </row>
    <row r="2883" spans="4:7" customFormat="1" x14ac:dyDescent="0.35">
      <c r="D2883" s="51">
        <v>42944</v>
      </c>
      <c r="E2883" s="57">
        <v>1.005838</v>
      </c>
      <c r="F2883" s="57">
        <v>12.798676938377607</v>
      </c>
      <c r="G2883" s="2">
        <v>5.3099238559743487</v>
      </c>
    </row>
    <row r="2884" spans="4:7" customFormat="1" x14ac:dyDescent="0.35">
      <c r="D2884" s="51">
        <v>42943</v>
      </c>
      <c r="E2884" s="57">
        <v>0.96598099999999998</v>
      </c>
      <c r="F2884" s="57">
        <v>12.36327874761094</v>
      </c>
      <c r="G2884" s="2">
        <v>5.4969237034417331</v>
      </c>
    </row>
    <row r="2885" spans="4:7" customFormat="1" x14ac:dyDescent="0.35">
      <c r="D2885" s="51">
        <v>42942</v>
      </c>
      <c r="E2885" s="57">
        <v>0.98724900000000004</v>
      </c>
      <c r="F2885" s="57">
        <v>12.205634580300153</v>
      </c>
      <c r="G2885" s="2">
        <v>5.567920254608242</v>
      </c>
    </row>
    <row r="2886" spans="4:7" customFormat="1" x14ac:dyDescent="0.35">
      <c r="D2886" s="51">
        <v>42941</v>
      </c>
      <c r="E2886" s="57">
        <v>1.029015</v>
      </c>
      <c r="F2886" s="57">
        <v>12.559781067647561</v>
      </c>
      <c r="G2886" s="2">
        <v>5.4109223428310012</v>
      </c>
    </row>
    <row r="2887" spans="4:7" customFormat="1" x14ac:dyDescent="0.35">
      <c r="D2887" s="51">
        <v>42940</v>
      </c>
      <c r="E2887" s="57">
        <v>1.0340149999999999</v>
      </c>
      <c r="F2887" s="57">
        <v>12.987002020663592</v>
      </c>
      <c r="G2887" s="2">
        <v>5.2329244187279693</v>
      </c>
    </row>
    <row r="2888" spans="4:7" customFormat="1" x14ac:dyDescent="0.35">
      <c r="D2888" s="51">
        <v>42939</v>
      </c>
      <c r="E2888" s="57">
        <v>1</v>
      </c>
      <c r="F2888" s="57">
        <v>12.987002020663592</v>
      </c>
      <c r="G2888" s="2">
        <v>5.2329244187279693</v>
      </c>
    </row>
    <row r="2889" spans="4:7" customFormat="1" x14ac:dyDescent="0.35">
      <c r="D2889" s="51">
        <v>42938</v>
      </c>
      <c r="E2889" s="57">
        <v>1</v>
      </c>
      <c r="F2889" s="57">
        <v>12.987002020663592</v>
      </c>
      <c r="G2889" s="2">
        <v>5.2329244187279693</v>
      </c>
    </row>
    <row r="2890" spans="4:7" customFormat="1" x14ac:dyDescent="0.35">
      <c r="D2890" s="51">
        <v>42937</v>
      </c>
      <c r="E2890" s="57">
        <v>0.95983099999999999</v>
      </c>
      <c r="F2890" s="57">
        <v>12.465327136495556</v>
      </c>
      <c r="G2890" s="2">
        <v>5.4519227017339196</v>
      </c>
    </row>
    <row r="2891" spans="4:7" customFormat="1" x14ac:dyDescent="0.35">
      <c r="D2891" s="51">
        <v>42936</v>
      </c>
      <c r="E2891" s="57">
        <v>0.996892</v>
      </c>
      <c r="F2891" s="57">
        <v>12.426584899755328</v>
      </c>
      <c r="G2891" s="2">
        <v>5.4689201054215699</v>
      </c>
    </row>
    <row r="2892" spans="4:7" customFormat="1" x14ac:dyDescent="0.35">
      <c r="D2892" s="51">
        <v>42935</v>
      </c>
      <c r="E2892" s="57">
        <v>1.096212</v>
      </c>
      <c r="F2892" s="57">
        <v>13.622171486130588</v>
      </c>
      <c r="G2892" s="2">
        <v>4.9889255959810415</v>
      </c>
    </row>
    <row r="2893" spans="4:7" customFormat="1" x14ac:dyDescent="0.35">
      <c r="D2893" s="51">
        <v>42934</v>
      </c>
      <c r="E2893" s="57">
        <v>0.99007699999999998</v>
      </c>
      <c r="F2893" s="57">
        <v>13.486998678473714</v>
      </c>
      <c r="G2893" s="2">
        <v>5.0389268672851113</v>
      </c>
    </row>
    <row r="2894" spans="4:7" customFormat="1" x14ac:dyDescent="0.35">
      <c r="D2894" s="51">
        <v>42933</v>
      </c>
      <c r="E2894" s="57">
        <v>0.987846</v>
      </c>
      <c r="F2894" s="57">
        <v>13.323077696535545</v>
      </c>
      <c r="G2894" s="2">
        <v>5.1009234913995822</v>
      </c>
    </row>
    <row r="2895" spans="4:7" customFormat="1" x14ac:dyDescent="0.35">
      <c r="D2895" s="51">
        <v>42932</v>
      </c>
      <c r="E2895" s="57">
        <v>1</v>
      </c>
      <c r="F2895" s="57">
        <v>13.323077696535545</v>
      </c>
      <c r="G2895" s="2">
        <v>5.1009234913995822</v>
      </c>
    </row>
    <row r="2896" spans="4:7" customFormat="1" x14ac:dyDescent="0.35">
      <c r="D2896" s="51">
        <v>42931</v>
      </c>
      <c r="E2896" s="57">
        <v>1</v>
      </c>
      <c r="F2896" s="57">
        <v>13.323077696535545</v>
      </c>
      <c r="G2896" s="2">
        <v>5.1009234913995822</v>
      </c>
    </row>
    <row r="2897" spans="4:7" customFormat="1" x14ac:dyDescent="0.35">
      <c r="D2897" s="51">
        <v>42930</v>
      </c>
      <c r="E2897" s="57">
        <v>1.0041340000000001</v>
      </c>
      <c r="F2897" s="57">
        <v>13.378155299733024</v>
      </c>
      <c r="G2897" s="2">
        <v>5.0799230893482159</v>
      </c>
    </row>
    <row r="2898" spans="4:7" customFormat="1" x14ac:dyDescent="0.35">
      <c r="D2898" s="51">
        <v>42929</v>
      </c>
      <c r="E2898" s="57">
        <v>0.98621599999999998</v>
      </c>
      <c r="F2898" s="57">
        <v>13.193750807081503</v>
      </c>
      <c r="G2898" s="2">
        <v>5.150923417738321</v>
      </c>
    </row>
    <row r="2899" spans="4:7" customFormat="1" x14ac:dyDescent="0.35">
      <c r="D2899" s="51">
        <v>42928</v>
      </c>
      <c r="E2899" s="57">
        <v>1.006645</v>
      </c>
      <c r="F2899" s="57">
        <v>13.281423281194559</v>
      </c>
      <c r="G2899" s="2">
        <v>5.1169214745400033</v>
      </c>
    </row>
    <row r="2900" spans="4:7" customFormat="1" x14ac:dyDescent="0.35">
      <c r="D2900" s="51">
        <v>42927</v>
      </c>
      <c r="E2900" s="57">
        <v>1.0203390000000001</v>
      </c>
      <c r="F2900" s="57">
        <v>13.551554149310777</v>
      </c>
      <c r="G2900" s="2">
        <v>5.0149229565271964</v>
      </c>
    </row>
    <row r="2901" spans="4:7" customFormat="1" x14ac:dyDescent="0.35">
      <c r="D2901" s="51">
        <v>42926</v>
      </c>
      <c r="E2901" s="57">
        <v>1.00501</v>
      </c>
      <c r="F2901" s="57">
        <v>13.619447435598824</v>
      </c>
      <c r="G2901" s="2">
        <v>4.9899234400923334</v>
      </c>
    </row>
    <row r="2902" spans="4:7" customFormat="1" x14ac:dyDescent="0.35">
      <c r="D2902" s="51">
        <v>42925</v>
      </c>
      <c r="E2902" s="57">
        <v>1</v>
      </c>
      <c r="F2902" s="57">
        <v>13.619447435598824</v>
      </c>
      <c r="G2902" s="2">
        <v>4.9899234400923334</v>
      </c>
    </row>
    <row r="2903" spans="4:7" customFormat="1" x14ac:dyDescent="0.35">
      <c r="D2903" s="51">
        <v>42924</v>
      </c>
      <c r="E2903" s="57">
        <v>1</v>
      </c>
      <c r="F2903" s="57">
        <v>13.619447435598824</v>
      </c>
      <c r="G2903" s="2">
        <v>4.9899234400923334</v>
      </c>
    </row>
    <row r="2904" spans="4:7" customFormat="1" x14ac:dyDescent="0.35">
      <c r="D2904" s="51">
        <v>42923</v>
      </c>
      <c r="E2904" s="57">
        <v>1.0259050000000001</v>
      </c>
      <c r="F2904" s="57">
        <v>13.972259221418012</v>
      </c>
      <c r="G2904" s="2">
        <v>4.8639235017787543</v>
      </c>
    </row>
    <row r="2905" spans="4:7" customFormat="1" x14ac:dyDescent="0.35">
      <c r="D2905" s="51">
        <v>42922</v>
      </c>
      <c r="E2905" s="57">
        <v>0.97514000000000001</v>
      </c>
      <c r="F2905" s="57">
        <v>13.62490885717356</v>
      </c>
      <c r="G2905" s="2">
        <v>4.9879232743798374</v>
      </c>
    </row>
    <row r="2906" spans="4:7" customFormat="1" x14ac:dyDescent="0.35">
      <c r="D2906" s="51">
        <v>42921</v>
      </c>
      <c r="E2906" s="57">
        <v>1.0032179999999999</v>
      </c>
      <c r="F2906" s="57">
        <v>13.668753813875943</v>
      </c>
      <c r="G2906" s="2">
        <v>4.9719236241572995</v>
      </c>
    </row>
    <row r="2907" spans="4:7" customFormat="1" x14ac:dyDescent="0.35">
      <c r="D2907" s="51">
        <v>42920</v>
      </c>
      <c r="E2907" s="57">
        <v>1</v>
      </c>
      <c r="F2907" s="57">
        <v>13.668753813875943</v>
      </c>
      <c r="G2907" s="2">
        <v>4.9719236241572995</v>
      </c>
    </row>
    <row r="2908" spans="4:7" customFormat="1" x14ac:dyDescent="0.35">
      <c r="D2908" s="51">
        <v>42919</v>
      </c>
      <c r="E2908" s="57">
        <v>0.99221700000000002</v>
      </c>
      <c r="F2908" s="57">
        <v>13.562369902942548</v>
      </c>
      <c r="G2908" s="2">
        <v>5.0109236428697548</v>
      </c>
    </row>
    <row r="2909" spans="4:7" customFormat="1" x14ac:dyDescent="0.35">
      <c r="D2909" s="51">
        <v>42918</v>
      </c>
      <c r="E2909" s="57">
        <v>1</v>
      </c>
      <c r="F2909" s="57">
        <v>13.562369902942548</v>
      </c>
      <c r="G2909" s="2">
        <v>5.0109236428697548</v>
      </c>
    </row>
    <row r="2910" spans="4:7" customFormat="1" x14ac:dyDescent="0.35">
      <c r="D2910" s="51">
        <v>42917</v>
      </c>
      <c r="E2910" s="57">
        <v>1</v>
      </c>
      <c r="F2910" s="57">
        <v>13.562369902942548</v>
      </c>
      <c r="G2910" s="2">
        <v>5.0109236428697548</v>
      </c>
    </row>
    <row r="2911" spans="4:7" customFormat="1" x14ac:dyDescent="0.35">
      <c r="D2911" s="51">
        <v>42916</v>
      </c>
      <c r="E2911" s="57">
        <v>0.98564099999999999</v>
      </c>
      <c r="F2911" s="57">
        <v>13.367627833506196</v>
      </c>
      <c r="G2911" s="2">
        <v>5.0839237033258096</v>
      </c>
    </row>
    <row r="2912" spans="4:7" customFormat="1" x14ac:dyDescent="0.35">
      <c r="D2912" s="51">
        <v>42915</v>
      </c>
      <c r="E2912" s="57">
        <v>0.96764399999999995</v>
      </c>
      <c r="F2912" s="57">
        <v>12.935104867325268</v>
      </c>
      <c r="G2912" s="2">
        <v>5.2539195234257745</v>
      </c>
    </row>
    <row r="2913" spans="4:7" customFormat="1" x14ac:dyDescent="0.35">
      <c r="D2913" s="51">
        <v>42914</v>
      </c>
      <c r="E2913" s="57">
        <v>1.0401899999999999</v>
      </c>
      <c r="F2913" s="57">
        <v>13.45496673194307</v>
      </c>
      <c r="G2913" s="2">
        <v>5.0509229308354966</v>
      </c>
    </row>
    <row r="2914" spans="4:7" customFormat="1" x14ac:dyDescent="0.35">
      <c r="D2914" s="51">
        <v>42913</v>
      </c>
      <c r="E2914" s="57">
        <v>0.95158200000000004</v>
      </c>
      <c r="F2914" s="57">
        <v>12.803504152715851</v>
      </c>
      <c r="G2914" s="2">
        <v>5.3079218930533534</v>
      </c>
    </row>
    <row r="2915" spans="4:7" customFormat="1" x14ac:dyDescent="0.35">
      <c r="D2915" s="51">
        <v>42912</v>
      </c>
      <c r="E2915" s="57">
        <v>0.979155</v>
      </c>
      <c r="F2915" s="57">
        <v>12.536615108652489</v>
      </c>
      <c r="G2915" s="2">
        <v>5.420920991113106</v>
      </c>
    </row>
    <row r="2916" spans="4:7" customFormat="1" x14ac:dyDescent="0.35">
      <c r="D2916" s="51">
        <v>42911</v>
      </c>
      <c r="E2916" s="57">
        <v>1</v>
      </c>
      <c r="F2916" s="57">
        <v>12.536615108652489</v>
      </c>
      <c r="G2916" s="2">
        <v>5.420920991113106</v>
      </c>
    </row>
    <row r="2917" spans="4:7" customFormat="1" x14ac:dyDescent="0.35">
      <c r="D2917" s="51">
        <v>42910</v>
      </c>
      <c r="E2917" s="57">
        <v>1</v>
      </c>
      <c r="F2917" s="57">
        <v>12.536615108652489</v>
      </c>
      <c r="G2917" s="2">
        <v>5.420920991113106</v>
      </c>
    </row>
    <row r="2918" spans="4:7" customFormat="1" x14ac:dyDescent="0.35">
      <c r="D2918" s="51">
        <v>42909</v>
      </c>
      <c r="E2918" s="57">
        <v>1.0455159999999999</v>
      </c>
      <c r="F2918" s="57">
        <v>13.107231681937915</v>
      </c>
      <c r="G2918" s="2">
        <v>5.1849239907501241</v>
      </c>
    </row>
    <row r="2919" spans="4:7" customFormat="1" x14ac:dyDescent="0.35">
      <c r="D2919" s="51">
        <v>42908</v>
      </c>
      <c r="E2919" s="57">
        <v>0.99044900000000002</v>
      </c>
      <c r="F2919" s="57">
        <v>12.982044512143727</v>
      </c>
      <c r="G2919" s="2">
        <v>5.2349227378190335</v>
      </c>
    </row>
    <row r="2920" spans="4:7" customFormat="1" x14ac:dyDescent="0.35">
      <c r="D2920" s="51">
        <v>42907</v>
      </c>
      <c r="E2920" s="57">
        <v>1.028689</v>
      </c>
      <c r="F2920" s="57">
        <v>13.354486387152617</v>
      </c>
      <c r="G2920" s="2">
        <v>5.0889265247504678</v>
      </c>
    </row>
    <row r="2921" spans="4:7" customFormat="1" x14ac:dyDescent="0.35">
      <c r="D2921" s="51">
        <v>42906</v>
      </c>
      <c r="E2921" s="57">
        <v>0.97733800000000004</v>
      </c>
      <c r="F2921" s="57">
        <v>13.051847016646965</v>
      </c>
      <c r="G2921" s="2">
        <v>5.2069258790208375</v>
      </c>
    </row>
    <row r="2922" spans="4:7" customFormat="1" x14ac:dyDescent="0.35">
      <c r="D2922" s="51">
        <v>42905</v>
      </c>
      <c r="E2922" s="57">
        <v>1.0428599999999999</v>
      </c>
      <c r="F2922" s="57">
        <v>13.611249179780453</v>
      </c>
      <c r="G2922" s="2">
        <v>4.9929289444612293</v>
      </c>
    </row>
    <row r="2923" spans="4:7" customFormat="1" x14ac:dyDescent="0.35">
      <c r="D2923" s="51">
        <v>42904</v>
      </c>
      <c r="E2923" s="57">
        <v>1</v>
      </c>
      <c r="F2923" s="57">
        <v>13.611249179780453</v>
      </c>
      <c r="G2923" s="2">
        <v>4.9929289444612293</v>
      </c>
    </row>
    <row r="2924" spans="4:7" customFormat="1" x14ac:dyDescent="0.35">
      <c r="D2924" s="51">
        <v>42903</v>
      </c>
      <c r="E2924" s="57">
        <v>1</v>
      </c>
      <c r="F2924" s="57">
        <v>13.611249179780453</v>
      </c>
      <c r="G2924" s="2">
        <v>4.9929289444612293</v>
      </c>
    </row>
    <row r="2925" spans="4:7" customFormat="1" x14ac:dyDescent="0.35">
      <c r="D2925" s="51">
        <v>42902</v>
      </c>
      <c r="E2925" s="57">
        <v>1.0263100000000001</v>
      </c>
      <c r="F2925" s="57">
        <v>13.969361145700477</v>
      </c>
      <c r="G2925" s="2">
        <v>4.8649325685818416</v>
      </c>
    </row>
    <row r="2926" spans="4:7" customFormat="1" x14ac:dyDescent="0.35">
      <c r="D2926" s="51">
        <v>42901</v>
      </c>
      <c r="E2926" s="57">
        <v>0.98801799999999995</v>
      </c>
      <c r="F2926" s="57">
        <v>13.801980260452693</v>
      </c>
      <c r="G2926" s="2">
        <v>4.9239311111557091</v>
      </c>
    </row>
    <row r="2927" spans="4:7" customFormat="1" x14ac:dyDescent="0.35">
      <c r="D2927" s="51">
        <v>42900</v>
      </c>
      <c r="E2927" s="57">
        <v>0.981854</v>
      </c>
      <c r="F2927" s="57">
        <v>13.551529526646519</v>
      </c>
      <c r="G2927" s="2">
        <v>5.014932068470169</v>
      </c>
    </row>
    <row r="2928" spans="4:7" customFormat="1" x14ac:dyDescent="0.35">
      <c r="D2928" s="51">
        <v>42899</v>
      </c>
      <c r="E2928" s="57">
        <v>1.0019979999999999</v>
      </c>
      <c r="F2928" s="57">
        <v>13.578605482640757</v>
      </c>
      <c r="G2928" s="2">
        <v>5.0049322139067831</v>
      </c>
    </row>
    <row r="2929" spans="4:7" customFormat="1" x14ac:dyDescent="0.35">
      <c r="D2929" s="51">
        <v>42898</v>
      </c>
      <c r="E2929" s="57">
        <v>0.97449399999999997</v>
      </c>
      <c r="F2929" s="57">
        <v>13.232269571200522</v>
      </c>
      <c r="G2929" s="2">
        <v>5.135929224712295</v>
      </c>
    </row>
    <row r="2930" spans="4:7" customFormat="1" x14ac:dyDescent="0.35">
      <c r="D2930" s="51">
        <v>42897</v>
      </c>
      <c r="E2930" s="57">
        <v>1</v>
      </c>
      <c r="F2930" s="57">
        <v>13.232269571200522</v>
      </c>
      <c r="G2930" s="2">
        <v>5.135929224712295</v>
      </c>
    </row>
    <row r="2931" spans="4:7" customFormat="1" x14ac:dyDescent="0.35">
      <c r="D2931" s="51">
        <v>42896</v>
      </c>
      <c r="E2931" s="57">
        <v>1</v>
      </c>
      <c r="F2931" s="57">
        <v>13.232269571200522</v>
      </c>
      <c r="G2931" s="2">
        <v>5.135929224712295</v>
      </c>
    </row>
    <row r="2932" spans="4:7" customFormat="1" x14ac:dyDescent="0.35">
      <c r="D2932" s="51">
        <v>42895</v>
      </c>
      <c r="E2932" s="57">
        <v>0.92640699999999998</v>
      </c>
      <c r="F2932" s="57">
        <v>12.258467156647162</v>
      </c>
      <c r="G2932" s="2">
        <v>5.5439231619712448</v>
      </c>
    </row>
    <row r="2933" spans="4:7" customFormat="1" x14ac:dyDescent="0.35">
      <c r="D2933" s="51">
        <v>42894</v>
      </c>
      <c r="E2933" s="57">
        <v>1.0194920000000001</v>
      </c>
      <c r="F2933" s="57">
        <v>12.497409198464529</v>
      </c>
      <c r="G2933" s="2">
        <v>5.4379270871877807</v>
      </c>
    </row>
    <row r="2934" spans="4:7" customFormat="1" x14ac:dyDescent="0.35">
      <c r="D2934" s="51">
        <v>42893</v>
      </c>
      <c r="E2934" s="57">
        <v>0.973854</v>
      </c>
      <c r="F2934" s="57">
        <v>12.170651937561475</v>
      </c>
      <c r="G2934" s="2">
        <v>5.5839243738669051</v>
      </c>
    </row>
    <row r="2935" spans="4:7" customFormat="1" x14ac:dyDescent="0.35">
      <c r="D2935" s="51">
        <v>42892</v>
      </c>
      <c r="E2935" s="57">
        <v>1.002694</v>
      </c>
      <c r="F2935" s="57">
        <v>12.203439673881265</v>
      </c>
      <c r="G2935" s="2">
        <v>5.5689216988103105</v>
      </c>
    </row>
    <row r="2936" spans="4:7" customFormat="1" x14ac:dyDescent="0.35">
      <c r="D2936" s="51">
        <v>42891</v>
      </c>
      <c r="E2936" s="57">
        <v>0.97770400000000002</v>
      </c>
      <c r="F2936" s="57">
        <v>11.931351782912408</v>
      </c>
      <c r="G2936" s="2">
        <v>5.6959178839508793</v>
      </c>
    </row>
    <row r="2937" spans="4:7" customFormat="1" x14ac:dyDescent="0.35">
      <c r="D2937" s="51">
        <v>42890</v>
      </c>
      <c r="E2937" s="57">
        <v>1</v>
      </c>
      <c r="F2937" s="57">
        <v>11.931351782912408</v>
      </c>
      <c r="G2937" s="2">
        <v>5.6959178839508793</v>
      </c>
    </row>
    <row r="2938" spans="4:7" customFormat="1" x14ac:dyDescent="0.35">
      <c r="D2938" s="51">
        <v>42889</v>
      </c>
      <c r="E2938" s="57">
        <v>1</v>
      </c>
      <c r="F2938" s="57">
        <v>11.931351782912408</v>
      </c>
      <c r="G2938" s="2">
        <v>5.6959178839508793</v>
      </c>
    </row>
    <row r="2939" spans="4:7" customFormat="1" x14ac:dyDescent="0.35">
      <c r="D2939" s="51">
        <v>42888</v>
      </c>
      <c r="E2939" s="57">
        <v>1.0363899999999999</v>
      </c>
      <c r="F2939" s="57">
        <v>12.365533674292589</v>
      </c>
      <c r="G2939" s="2">
        <v>5.4959213075684632</v>
      </c>
    </row>
    <row r="2940" spans="4:7" customFormat="1" x14ac:dyDescent="0.35">
      <c r="D2940" s="51">
        <v>42887</v>
      </c>
      <c r="E2940" s="57">
        <v>0.99927299999999997</v>
      </c>
      <c r="F2940" s="57">
        <v>12.356543931311379</v>
      </c>
      <c r="G2940" s="2">
        <v>5.4999197492261507</v>
      </c>
    </row>
    <row r="2941" spans="4:7" customFormat="1" x14ac:dyDescent="0.35">
      <c r="D2941" s="51">
        <v>42886</v>
      </c>
      <c r="E2941" s="57">
        <v>1.02823</v>
      </c>
      <c r="F2941" s="57">
        <v>12.705369166492298</v>
      </c>
      <c r="G2941" s="2">
        <v>5.3489197448296109</v>
      </c>
    </row>
    <row r="2942" spans="4:7" customFormat="1" x14ac:dyDescent="0.35">
      <c r="D2942" s="51">
        <v>42885</v>
      </c>
      <c r="E2942" s="57">
        <v>1.0239279999999999</v>
      </c>
      <c r="F2942" s="57">
        <v>13.009383239908125</v>
      </c>
      <c r="G2942" s="2">
        <v>5.2239217453078846</v>
      </c>
    </row>
    <row r="2943" spans="4:7" customFormat="1" x14ac:dyDescent="0.35">
      <c r="D2943" s="51">
        <v>42884</v>
      </c>
      <c r="E2943" s="57">
        <v>1</v>
      </c>
      <c r="F2943" s="57">
        <v>13.009383239908125</v>
      </c>
      <c r="G2943" s="2">
        <v>5.2239217453078846</v>
      </c>
    </row>
    <row r="2944" spans="4:7" customFormat="1" x14ac:dyDescent="0.35">
      <c r="D2944" s="51">
        <v>42883</v>
      </c>
      <c r="E2944" s="57">
        <v>1</v>
      </c>
      <c r="F2944" s="57">
        <v>13.009383239908125</v>
      </c>
      <c r="G2944" s="2">
        <v>5.2239217453078846</v>
      </c>
    </row>
    <row r="2945" spans="4:7" customFormat="1" x14ac:dyDescent="0.35">
      <c r="D2945" s="51">
        <v>42882</v>
      </c>
      <c r="E2945" s="57">
        <v>1</v>
      </c>
      <c r="F2945" s="57">
        <v>13.009383239908125</v>
      </c>
      <c r="G2945" s="2">
        <v>5.2239217453078846</v>
      </c>
    </row>
    <row r="2946" spans="4:7" customFormat="1" x14ac:dyDescent="0.35">
      <c r="D2946" s="51">
        <v>42881</v>
      </c>
      <c r="E2946" s="57">
        <v>1.0048090000000001</v>
      </c>
      <c r="F2946" s="57">
        <v>13.071945363908844</v>
      </c>
      <c r="G2946" s="2">
        <v>5.1989201383624986</v>
      </c>
    </row>
    <row r="2947" spans="4:7" customFormat="1" x14ac:dyDescent="0.35">
      <c r="D2947" s="51">
        <v>42880</v>
      </c>
      <c r="E2947" s="57">
        <v>1.0095149999999999</v>
      </c>
      <c r="F2947" s="57">
        <v>13.196324924046436</v>
      </c>
      <c r="G2947" s="2">
        <v>5.1499186622908022</v>
      </c>
    </row>
    <row r="2948" spans="4:7" customFormat="1" x14ac:dyDescent="0.35">
      <c r="D2948" s="51">
        <v>42879</v>
      </c>
      <c r="E2948" s="57">
        <v>0.96297699999999997</v>
      </c>
      <c r="F2948" s="57">
        <v>12.707757386383465</v>
      </c>
      <c r="G2948" s="2">
        <v>5.3479145008559934</v>
      </c>
    </row>
    <row r="2949" spans="4:7" customFormat="1" x14ac:dyDescent="0.35">
      <c r="D2949" s="51">
        <v>42878</v>
      </c>
      <c r="E2949" s="57">
        <v>1.018473</v>
      </c>
      <c r="F2949" s="57">
        <v>12.942507788582127</v>
      </c>
      <c r="G2949" s="2">
        <v>5.2509143598858232</v>
      </c>
    </row>
    <row r="2950" spans="4:7" customFormat="1" x14ac:dyDescent="0.35">
      <c r="D2950" s="51">
        <v>42877</v>
      </c>
      <c r="E2950" s="57">
        <v>1.048732</v>
      </c>
      <c r="F2950" s="57">
        <v>13.573222078135311</v>
      </c>
      <c r="G2950" s="2">
        <v>5.0069172676010867</v>
      </c>
    </row>
    <row r="2951" spans="4:7" customFormat="1" x14ac:dyDescent="0.35">
      <c r="D2951" s="51">
        <v>42876</v>
      </c>
      <c r="E2951" s="57">
        <v>1</v>
      </c>
      <c r="F2951" s="57">
        <v>13.573222078135311</v>
      </c>
      <c r="G2951" s="2">
        <v>5.0069172676010867</v>
      </c>
    </row>
    <row r="2952" spans="4:7" customFormat="1" x14ac:dyDescent="0.35">
      <c r="D2952" s="51">
        <v>42875</v>
      </c>
      <c r="E2952" s="57">
        <v>1</v>
      </c>
      <c r="F2952" s="57">
        <v>13.573222078135311</v>
      </c>
      <c r="G2952" s="2">
        <v>5.0069172676010867</v>
      </c>
    </row>
    <row r="2953" spans="4:7" customFormat="1" x14ac:dyDescent="0.35">
      <c r="D2953" s="51">
        <v>42874</v>
      </c>
      <c r="E2953" s="57">
        <v>0.97450400000000004</v>
      </c>
      <c r="F2953" s="57">
        <v>13.227159208031173</v>
      </c>
      <c r="G2953" s="2">
        <v>5.1379135104638731</v>
      </c>
    </row>
    <row r="2954" spans="4:7" customFormat="1" x14ac:dyDescent="0.35">
      <c r="D2954" s="51">
        <v>42873</v>
      </c>
      <c r="E2954" s="57">
        <v>1.0760209999999999</v>
      </c>
      <c r="F2954" s="57">
        <v>14.23270107818491</v>
      </c>
      <c r="G2954" s="2">
        <v>4.7749193653877331</v>
      </c>
    </row>
    <row r="2955" spans="4:7" customFormat="1" x14ac:dyDescent="0.35">
      <c r="D2955" s="51">
        <v>42872</v>
      </c>
      <c r="E2955" s="57">
        <v>0.91475099999999998</v>
      </c>
      <c r="F2955" s="57">
        <v>13.019377543970725</v>
      </c>
      <c r="G2955" s="2">
        <v>5.2199116102499294</v>
      </c>
    </row>
    <row r="2956" spans="4:7" customFormat="1" x14ac:dyDescent="0.35">
      <c r="D2956" s="51">
        <v>42871</v>
      </c>
      <c r="E2956" s="57">
        <v>0.97442600000000001</v>
      </c>
      <c r="F2956" s="57">
        <v>12.686419982661217</v>
      </c>
      <c r="G2956" s="2">
        <v>5.3569092062916317</v>
      </c>
    </row>
    <row r="2957" spans="4:7" customFormat="1" x14ac:dyDescent="0.35">
      <c r="D2957" s="51">
        <v>42870</v>
      </c>
      <c r="E2957" s="57">
        <v>1.0321769999999999</v>
      </c>
      <c r="F2957" s="57">
        <v>13.094630918443306</v>
      </c>
      <c r="G2957" s="2">
        <v>5.1899133639788833</v>
      </c>
    </row>
    <row r="2958" spans="4:7" customFormat="1" x14ac:dyDescent="0.35">
      <c r="D2958" s="51">
        <v>42869</v>
      </c>
      <c r="E2958" s="57">
        <v>1</v>
      </c>
      <c r="F2958" s="57">
        <v>13.094630918443306</v>
      </c>
      <c r="G2958" s="2">
        <v>5.1899133639788833</v>
      </c>
    </row>
    <row r="2959" spans="4:7" customFormat="1" x14ac:dyDescent="0.35">
      <c r="D2959" s="51">
        <v>42868</v>
      </c>
      <c r="E2959" s="57">
        <v>1</v>
      </c>
      <c r="F2959" s="57">
        <v>13.094630918443306</v>
      </c>
      <c r="G2959" s="2">
        <v>5.1899133639788833</v>
      </c>
    </row>
    <row r="2960" spans="4:7" customFormat="1" x14ac:dyDescent="0.35">
      <c r="D2960" s="51">
        <v>42867</v>
      </c>
      <c r="E2960" s="57">
        <v>1.301078</v>
      </c>
      <c r="F2960" s="57">
        <v>17.037136206106378</v>
      </c>
      <c r="G2960" s="2">
        <v>3.9889333029832827</v>
      </c>
    </row>
    <row r="2961" spans="4:7" customFormat="1" x14ac:dyDescent="0.35">
      <c r="D2961" s="51">
        <v>42866</v>
      </c>
      <c r="E2961" s="57">
        <v>0.99600500000000003</v>
      </c>
      <c r="F2961" s="57">
        <v>16.969072846962984</v>
      </c>
      <c r="G2961" s="2">
        <v>4.0049330103596699</v>
      </c>
    </row>
    <row r="2962" spans="4:7" customFormat="1" x14ac:dyDescent="0.35">
      <c r="D2962" s="51">
        <v>42865</v>
      </c>
      <c r="E2962" s="57">
        <v>0.98017600000000005</v>
      </c>
      <c r="F2962" s="57">
        <v>16.63267794684479</v>
      </c>
      <c r="G2962" s="2">
        <v>4.0859325369726145</v>
      </c>
    </row>
    <row r="2963" spans="4:7" customFormat="1" x14ac:dyDescent="0.35">
      <c r="D2963" s="51">
        <v>42864</v>
      </c>
      <c r="E2963" s="57">
        <v>1.0116369999999999</v>
      </c>
      <c r="F2963" s="57">
        <v>16.82623242011222</v>
      </c>
      <c r="G2963" s="2">
        <v>4.0389314912094116</v>
      </c>
    </row>
    <row r="2964" spans="4:7" customFormat="1" x14ac:dyDescent="0.35">
      <c r="D2964" s="51">
        <v>42863</v>
      </c>
      <c r="E2964" s="57">
        <v>1.007986</v>
      </c>
      <c r="F2964" s="57">
        <v>16.960606712219235</v>
      </c>
      <c r="G2964" s="2">
        <v>4.006932131209572</v>
      </c>
    </row>
    <row r="2965" spans="4:7" customFormat="1" x14ac:dyDescent="0.35">
      <c r="D2965" s="51">
        <v>42862</v>
      </c>
      <c r="E2965" s="57">
        <v>1</v>
      </c>
      <c r="F2965" s="57">
        <v>16.960606712219235</v>
      </c>
      <c r="G2965" s="2">
        <v>4.006932131209572</v>
      </c>
    </row>
    <row r="2966" spans="4:7" customFormat="1" x14ac:dyDescent="0.35">
      <c r="D2966" s="51">
        <v>42861</v>
      </c>
      <c r="E2966" s="57">
        <v>1</v>
      </c>
      <c r="F2966" s="57">
        <v>16.960606712219235</v>
      </c>
      <c r="G2966" s="2">
        <v>4.006932131209572</v>
      </c>
    </row>
    <row r="2967" spans="4:7" customFormat="1" x14ac:dyDescent="0.35">
      <c r="D2967" s="51">
        <v>42860</v>
      </c>
      <c r="E2967" s="57">
        <v>1.0055210000000001</v>
      </c>
      <c r="F2967" s="57">
        <v>17.054246221877399</v>
      </c>
      <c r="G2967" s="2">
        <v>3.9849313253622469</v>
      </c>
    </row>
    <row r="2968" spans="4:7" customFormat="1" x14ac:dyDescent="0.35">
      <c r="D2968" s="51">
        <v>42859</v>
      </c>
      <c r="E2968" s="57">
        <v>1.047031</v>
      </c>
      <c r="F2968" s="57">
        <v>17.856324475938514</v>
      </c>
      <c r="G2968" s="2">
        <v>3.8059344234910397</v>
      </c>
    </row>
    <row r="2969" spans="4:7" customFormat="1" x14ac:dyDescent="0.35">
      <c r="D2969" s="51">
        <v>42858</v>
      </c>
      <c r="E2969" s="57">
        <v>0.99425300000000005</v>
      </c>
      <c r="F2969" s="57">
        <v>17.753704179175298</v>
      </c>
      <c r="G2969" s="2">
        <v>3.8279335576468356</v>
      </c>
    </row>
    <row r="2970" spans="4:7" customFormat="1" x14ac:dyDescent="0.35">
      <c r="D2970" s="51">
        <v>42857</v>
      </c>
      <c r="E2970" s="57">
        <v>1.018356</v>
      </c>
      <c r="F2970" s="57">
        <v>18.079591173088239</v>
      </c>
      <c r="G2970" s="2">
        <v>3.7589345549560624</v>
      </c>
    </row>
    <row r="2971" spans="4:7" customFormat="1" x14ac:dyDescent="0.35">
      <c r="D2971" s="51">
        <v>42856</v>
      </c>
      <c r="E2971" s="57">
        <v>1.006426</v>
      </c>
      <c r="F2971" s="57">
        <v>18.195770625966507</v>
      </c>
      <c r="G2971" s="2">
        <v>3.734933869908033</v>
      </c>
    </row>
    <row r="2972" spans="4:7" customFormat="1" x14ac:dyDescent="0.35">
      <c r="D2972" s="51">
        <v>42855</v>
      </c>
      <c r="E2972" s="57">
        <v>1</v>
      </c>
      <c r="F2972" s="57">
        <v>18.195770625966507</v>
      </c>
      <c r="G2972" s="2">
        <v>3.734933869908033</v>
      </c>
    </row>
    <row r="2973" spans="4:7" customFormat="1" x14ac:dyDescent="0.35">
      <c r="D2973" s="51">
        <v>42854</v>
      </c>
      <c r="E2973" s="57">
        <v>1</v>
      </c>
      <c r="F2973" s="57">
        <v>18.195770625966507</v>
      </c>
      <c r="G2973" s="2">
        <v>3.734933869908033</v>
      </c>
    </row>
    <row r="2974" spans="4:7" customFormat="1" x14ac:dyDescent="0.35">
      <c r="D2974" s="51">
        <v>42853</v>
      </c>
      <c r="E2974" s="57">
        <v>0.99097900000000005</v>
      </c>
      <c r="F2974" s="57">
        <v>18.031626579149663</v>
      </c>
      <c r="G2974" s="2">
        <v>3.7689334182742851</v>
      </c>
    </row>
    <row r="2975" spans="4:7" customFormat="1" x14ac:dyDescent="0.35">
      <c r="D2975" s="51">
        <v>42852</v>
      </c>
      <c r="E2975" s="57">
        <v>1.0374350000000001</v>
      </c>
      <c r="F2975" s="57">
        <v>18.706640520140134</v>
      </c>
      <c r="G2975" s="2">
        <v>3.6329345147158949</v>
      </c>
    </row>
    <row r="2976" spans="4:7" customFormat="1" x14ac:dyDescent="0.35">
      <c r="D2976" s="51">
        <v>42851</v>
      </c>
      <c r="E2976" s="57">
        <v>1.0035909999999999</v>
      </c>
      <c r="F2976" s="57">
        <v>18.773816066247957</v>
      </c>
      <c r="G2976" s="2">
        <v>3.6199353269567931</v>
      </c>
    </row>
    <row r="2977" spans="4:7" customFormat="1" x14ac:dyDescent="0.35">
      <c r="D2977" s="51">
        <v>42850</v>
      </c>
      <c r="E2977" s="57">
        <v>0.99259699999999995</v>
      </c>
      <c r="F2977" s="57">
        <v>18.634833505909523</v>
      </c>
      <c r="G2977" s="2">
        <v>3.6469335762215613</v>
      </c>
    </row>
    <row r="2978" spans="4:7" customFormat="1" x14ac:dyDescent="0.35">
      <c r="D2978" s="51">
        <v>42849</v>
      </c>
      <c r="E2978" s="57">
        <v>1.013619</v>
      </c>
      <c r="F2978" s="57">
        <v>18.888621303426504</v>
      </c>
      <c r="G2978" s="2">
        <v>3.5979333223050887</v>
      </c>
    </row>
    <row r="2979" spans="4:7" customFormat="1" x14ac:dyDescent="0.35">
      <c r="D2979" s="51">
        <v>42848</v>
      </c>
      <c r="E2979" s="57">
        <v>1</v>
      </c>
      <c r="F2979" s="57">
        <v>18.888621303426504</v>
      </c>
      <c r="G2979" s="2">
        <v>3.5979333223050887</v>
      </c>
    </row>
    <row r="2980" spans="4:7" customFormat="1" x14ac:dyDescent="0.35">
      <c r="D2980" s="51">
        <v>42847</v>
      </c>
      <c r="E2980" s="57">
        <v>1</v>
      </c>
      <c r="F2980" s="57">
        <v>18.888621303426504</v>
      </c>
      <c r="G2980" s="2">
        <v>3.5979333223050887</v>
      </c>
    </row>
    <row r="2981" spans="4:7" customFormat="1" x14ac:dyDescent="0.35">
      <c r="D2981" s="51">
        <v>42846</v>
      </c>
      <c r="E2981" s="57">
        <v>0.99309999999999998</v>
      </c>
      <c r="F2981" s="57">
        <v>18.75828981643286</v>
      </c>
      <c r="G2981" s="2">
        <v>3.6229315500000894</v>
      </c>
    </row>
    <row r="2982" spans="4:7" customFormat="1" x14ac:dyDescent="0.35">
      <c r="D2982" s="51">
        <v>42845</v>
      </c>
      <c r="E2982" s="57">
        <v>1.010318</v>
      </c>
      <c r="F2982" s="57">
        <v>18.951837850758814</v>
      </c>
      <c r="G2982" s="2">
        <v>3.5859319046083407</v>
      </c>
    </row>
    <row r="2983" spans="4:7" customFormat="1" x14ac:dyDescent="0.35">
      <c r="D2983" s="51">
        <v>42844</v>
      </c>
      <c r="E2983" s="57">
        <v>1.0190399999999999</v>
      </c>
      <c r="F2983" s="57">
        <v>19.31268084343726</v>
      </c>
      <c r="G2983" s="2">
        <v>3.5189314498040716</v>
      </c>
    </row>
    <row r="2984" spans="4:7" customFormat="1" x14ac:dyDescent="0.35">
      <c r="D2984" s="51">
        <v>42843</v>
      </c>
      <c r="E2984" s="57">
        <v>0.96569700000000003</v>
      </c>
      <c r="F2984" s="57">
        <v>18.650197952464833</v>
      </c>
      <c r="G2984" s="2">
        <v>3.6439291514875487</v>
      </c>
    </row>
    <row r="2985" spans="4:7" customFormat="1" x14ac:dyDescent="0.35">
      <c r="D2985" s="51">
        <v>42842</v>
      </c>
      <c r="E2985" s="57">
        <v>0.98887400000000003</v>
      </c>
      <c r="F2985" s="57">
        <v>18.442695850045709</v>
      </c>
      <c r="G2985" s="2">
        <v>3.6849276565948226</v>
      </c>
    </row>
    <row r="2986" spans="4:7" customFormat="1" x14ac:dyDescent="0.35">
      <c r="D2986" s="51">
        <v>42841</v>
      </c>
      <c r="E2986" s="57">
        <v>1</v>
      </c>
      <c r="F2986" s="57">
        <v>18.442695850045709</v>
      </c>
      <c r="G2986" s="2">
        <v>3.6849276565948226</v>
      </c>
    </row>
    <row r="2987" spans="4:7" customFormat="1" x14ac:dyDescent="0.35">
      <c r="D2987" s="51">
        <v>42840</v>
      </c>
      <c r="E2987" s="57">
        <v>1</v>
      </c>
      <c r="F2987" s="57">
        <v>18.442695850045709</v>
      </c>
      <c r="G2987" s="2">
        <v>3.6849276565948226</v>
      </c>
    </row>
    <row r="2988" spans="4:7" customFormat="1" x14ac:dyDescent="0.35">
      <c r="D2988" s="51">
        <v>42839</v>
      </c>
      <c r="E2988" s="57">
        <v>1</v>
      </c>
      <c r="F2988" s="57">
        <v>18.442695850045709</v>
      </c>
      <c r="G2988" s="2">
        <v>3.6849276565948226</v>
      </c>
    </row>
    <row r="2989" spans="4:7" customFormat="1" x14ac:dyDescent="0.35">
      <c r="D2989" s="51">
        <v>42838</v>
      </c>
      <c r="E2989" s="57">
        <v>0.99032500000000001</v>
      </c>
      <c r="F2989" s="57">
        <v>18.264262767696518</v>
      </c>
      <c r="G2989" s="2">
        <v>3.7209276314288968</v>
      </c>
    </row>
    <row r="2990" spans="4:7" customFormat="1" x14ac:dyDescent="0.35">
      <c r="D2990" s="51">
        <v>42837</v>
      </c>
      <c r="E2990" s="57">
        <v>0.99094499999999996</v>
      </c>
      <c r="F2990" s="57">
        <v>18.098879868335025</v>
      </c>
      <c r="G2990" s="2">
        <v>3.7549285090786038</v>
      </c>
    </row>
    <row r="2991" spans="4:7" customFormat="1" x14ac:dyDescent="0.35">
      <c r="D2991" s="51">
        <v>42836</v>
      </c>
      <c r="E2991" s="57">
        <v>1.0176149999999999</v>
      </c>
      <c r="F2991" s="57">
        <v>18.417691637215746</v>
      </c>
      <c r="G2991" s="2">
        <v>3.6899303853408254</v>
      </c>
    </row>
    <row r="2992" spans="4:7" customFormat="1" x14ac:dyDescent="0.35">
      <c r="D2992" s="51">
        <v>42835</v>
      </c>
      <c r="E2992" s="57">
        <v>0.99756699999999998</v>
      </c>
      <c r="F2992" s="57">
        <v>18.3728813934624</v>
      </c>
      <c r="G2992" s="2">
        <v>3.6989298817431062</v>
      </c>
    </row>
    <row r="2993" spans="4:7" customFormat="1" x14ac:dyDescent="0.35">
      <c r="D2993" s="51">
        <v>42834</v>
      </c>
      <c r="E2993" s="57">
        <v>1</v>
      </c>
      <c r="F2993" s="57">
        <v>18.3728813934624</v>
      </c>
      <c r="G2993" s="2">
        <v>3.6989298817431062</v>
      </c>
    </row>
    <row r="2994" spans="4:7" customFormat="1" x14ac:dyDescent="0.35">
      <c r="D2994" s="51">
        <v>42833</v>
      </c>
      <c r="E2994" s="57">
        <v>1</v>
      </c>
      <c r="F2994" s="57">
        <v>18.3728813934624</v>
      </c>
      <c r="G2994" s="2">
        <v>3.6989298817431062</v>
      </c>
    </row>
    <row r="2995" spans="4:7" customFormat="1" x14ac:dyDescent="0.35">
      <c r="D2995" s="51">
        <v>42832</v>
      </c>
      <c r="E2995" s="57">
        <v>0.98090699999999997</v>
      </c>
      <c r="F2995" s="57">
        <v>18.022087969017022</v>
      </c>
      <c r="G2995" s="2">
        <v>3.7709282141355973</v>
      </c>
    </row>
    <row r="2996" spans="4:7" customFormat="1" x14ac:dyDescent="0.35">
      <c r="D2996" s="51">
        <v>42831</v>
      </c>
      <c r="E2996" s="57">
        <v>1.017814</v>
      </c>
      <c r="F2996" s="57">
        <v>18.343133444097091</v>
      </c>
      <c r="G2996" s="2">
        <v>3.7049286157741959</v>
      </c>
    </row>
    <row r="2997" spans="4:7" customFormat="1" x14ac:dyDescent="0.35">
      <c r="D2997" s="51">
        <v>42830</v>
      </c>
      <c r="E2997" s="57">
        <v>1.0198179999999999</v>
      </c>
      <c r="F2997" s="57">
        <v>18.706657662692205</v>
      </c>
      <c r="G2997" s="2">
        <v>3.632931185539181</v>
      </c>
    </row>
    <row r="2998" spans="4:7" customFormat="1" x14ac:dyDescent="0.35">
      <c r="D2998" s="51">
        <v>42829</v>
      </c>
      <c r="E2998" s="57">
        <v>0.98136100000000004</v>
      </c>
      <c r="F2998" s="57">
        <v>18.357984270517285</v>
      </c>
      <c r="G2998" s="2">
        <v>3.7019314865163593</v>
      </c>
    </row>
    <row r="2999" spans="4:7" customFormat="1" x14ac:dyDescent="0.35">
      <c r="D2999" s="51">
        <v>42828</v>
      </c>
      <c r="E2999" s="57">
        <v>0.99382599999999999</v>
      </c>
      <c r="F2999" s="57">
        <v>18.244642075631113</v>
      </c>
      <c r="G2999" s="2">
        <v>3.7249291993934137</v>
      </c>
    </row>
    <row r="3000" spans="4:7" customFormat="1" x14ac:dyDescent="0.35">
      <c r="D3000" s="51">
        <v>42827</v>
      </c>
      <c r="E3000" s="57">
        <v>1</v>
      </c>
      <c r="F3000" s="57">
        <v>18.244642075631113</v>
      </c>
      <c r="G3000" s="2">
        <v>3.7249291993934137</v>
      </c>
    </row>
    <row r="3001" spans="4:7" customFormat="1" x14ac:dyDescent="0.35">
      <c r="D3001" s="51">
        <v>42826</v>
      </c>
      <c r="E3001" s="57">
        <v>1</v>
      </c>
      <c r="F3001" s="57">
        <v>18.244642075631113</v>
      </c>
      <c r="G3001" s="2">
        <v>3.7249291993934137</v>
      </c>
    </row>
    <row r="3002" spans="4:7" customFormat="1" x14ac:dyDescent="0.35">
      <c r="D3002" s="51">
        <v>42825</v>
      </c>
      <c r="E3002" s="57">
        <v>1.014157</v>
      </c>
      <c r="F3002" s="57">
        <v>18.502931473495821</v>
      </c>
      <c r="G3002" s="2">
        <v>3.6729315080341745</v>
      </c>
    </row>
    <row r="3003" spans="4:7" customFormat="1" x14ac:dyDescent="0.35">
      <c r="D3003" s="51">
        <v>42824</v>
      </c>
      <c r="E3003" s="57">
        <v>0.96708799999999995</v>
      </c>
      <c r="F3003" s="57">
        <v>17.893962992840127</v>
      </c>
      <c r="G3003" s="2">
        <v>3.7979289454880778</v>
      </c>
    </row>
    <row r="3004" spans="4:7" customFormat="1" x14ac:dyDescent="0.35">
      <c r="D3004" s="51">
        <v>42823</v>
      </c>
      <c r="E3004" s="57">
        <v>1.0408329999999999</v>
      </c>
      <c r="F3004" s="57">
        <v>18.624627183726766</v>
      </c>
      <c r="G3004" s="2">
        <v>3.6489321010076337</v>
      </c>
    </row>
    <row r="3005" spans="4:7" customFormat="1" x14ac:dyDescent="0.35">
      <c r="D3005" s="51">
        <v>42822</v>
      </c>
      <c r="E3005" s="57">
        <v>0.98038700000000001</v>
      </c>
      <c r="F3005" s="57">
        <v>18.259342370772334</v>
      </c>
      <c r="G3005" s="2">
        <v>3.7219303203812713</v>
      </c>
    </row>
    <row r="3006" spans="4:7" customFormat="1" x14ac:dyDescent="0.35">
      <c r="D3006" s="51">
        <v>42821</v>
      </c>
      <c r="E3006" s="57">
        <v>1.033315</v>
      </c>
      <c r="F3006" s="57">
        <v>18.867652361854613</v>
      </c>
      <c r="G3006" s="2">
        <v>3.6019319572262778</v>
      </c>
    </row>
    <row r="3007" spans="4:7" customFormat="1" x14ac:dyDescent="0.35">
      <c r="D3007" s="51">
        <v>42820</v>
      </c>
      <c r="E3007" s="57">
        <v>1</v>
      </c>
      <c r="F3007" s="57">
        <v>18.867652361854613</v>
      </c>
      <c r="G3007" s="2">
        <v>3.6019319572262778</v>
      </c>
    </row>
    <row r="3008" spans="4:7" customFormat="1" x14ac:dyDescent="0.35">
      <c r="D3008" s="51">
        <v>42819</v>
      </c>
      <c r="E3008" s="57">
        <v>1</v>
      </c>
      <c r="F3008" s="57">
        <v>18.867652361854613</v>
      </c>
      <c r="G3008" s="2">
        <v>3.6019319572262778</v>
      </c>
    </row>
    <row r="3009" spans="4:7" customFormat="1" x14ac:dyDescent="0.35">
      <c r="D3009" s="51">
        <v>42818</v>
      </c>
      <c r="E3009" s="57">
        <v>0.97298799999999996</v>
      </c>
      <c r="F3009" s="57">
        <v>18.357999336256196</v>
      </c>
      <c r="G3009" s="2">
        <v>3.7019284484765262</v>
      </c>
    </row>
    <row r="3010" spans="4:7" customFormat="1" x14ac:dyDescent="0.35">
      <c r="D3010" s="51">
        <v>42817</v>
      </c>
      <c r="E3010" s="57">
        <v>0.95807500000000001</v>
      </c>
      <c r="F3010" s="57">
        <v>17.588340214083654</v>
      </c>
      <c r="G3010" s="2">
        <v>3.8639234386415739</v>
      </c>
    </row>
    <row r="3011" spans="4:7" customFormat="1" x14ac:dyDescent="0.35">
      <c r="D3011" s="51">
        <v>42816</v>
      </c>
      <c r="E3011" s="57">
        <v>1.0290280000000001</v>
      </c>
      <c r="F3011" s="57">
        <v>18.098894553818077</v>
      </c>
      <c r="G3011" s="2">
        <v>3.7549254623213106</v>
      </c>
    </row>
    <row r="3012" spans="4:7" customFormat="1" x14ac:dyDescent="0.35">
      <c r="D3012" s="51">
        <v>42815</v>
      </c>
      <c r="E3012" s="57">
        <v>0.985564</v>
      </c>
      <c r="F3012" s="57">
        <v>17.837618912039158</v>
      </c>
      <c r="G3012" s="2">
        <v>3.8099255475253875</v>
      </c>
    </row>
    <row r="3013" spans="4:7" customFormat="1" x14ac:dyDescent="0.35">
      <c r="D3013" s="51">
        <v>42814</v>
      </c>
      <c r="E3013" s="57">
        <v>0.96431299999999998</v>
      </c>
      <c r="F3013" s="57">
        <v>17.201047805925217</v>
      </c>
      <c r="G3013" s="2">
        <v>3.950922104674921</v>
      </c>
    </row>
    <row r="3014" spans="4:7" customFormat="1" x14ac:dyDescent="0.35">
      <c r="D3014" s="51">
        <v>42813</v>
      </c>
      <c r="E3014" s="57">
        <v>1</v>
      </c>
      <c r="F3014" s="57">
        <v>17.201047805925217</v>
      </c>
      <c r="G3014" s="2">
        <v>3.950922104674921</v>
      </c>
    </row>
    <row r="3015" spans="4:7" customFormat="1" x14ac:dyDescent="0.35">
      <c r="D3015" s="51">
        <v>42812</v>
      </c>
      <c r="E3015" s="57">
        <v>1</v>
      </c>
      <c r="F3015" s="57">
        <v>17.201047805925217</v>
      </c>
      <c r="G3015" s="2">
        <v>3.950922104674921</v>
      </c>
    </row>
    <row r="3016" spans="4:7" customFormat="1" x14ac:dyDescent="0.35">
      <c r="D3016" s="51">
        <v>42811</v>
      </c>
      <c r="E3016" s="57">
        <v>0.983325</v>
      </c>
      <c r="F3016" s="57">
        <v>16.914220333761413</v>
      </c>
      <c r="G3016" s="2">
        <v>4.0179209362875152</v>
      </c>
    </row>
    <row r="3017" spans="4:7" customFormat="1" x14ac:dyDescent="0.35">
      <c r="D3017" s="51">
        <v>42810</v>
      </c>
      <c r="E3017" s="57">
        <v>0.967028</v>
      </c>
      <c r="F3017" s="57">
        <v>16.356524660916634</v>
      </c>
      <c r="G3017" s="2">
        <v>4.1549168548247986</v>
      </c>
    </row>
    <row r="3018" spans="4:7" customFormat="1" x14ac:dyDescent="0.35">
      <c r="D3018" s="51">
        <v>42809</v>
      </c>
      <c r="E3018" s="57">
        <v>1.008006</v>
      </c>
      <c r="F3018" s="57">
        <v>16.487474997351931</v>
      </c>
      <c r="G3018" s="2">
        <v>4.1219167890119692</v>
      </c>
    </row>
    <row r="3019" spans="4:7" customFormat="1" x14ac:dyDescent="0.35">
      <c r="D3019" s="51">
        <v>42808</v>
      </c>
      <c r="E3019" s="57">
        <v>0.95086499999999996</v>
      </c>
      <c r="F3019" s="57">
        <v>15.677362913357044</v>
      </c>
      <c r="G3019" s="2">
        <v>4.33491272579385</v>
      </c>
    </row>
    <row r="3020" spans="4:7" customFormat="1" x14ac:dyDescent="0.35">
      <c r="D3020" s="51">
        <v>42807</v>
      </c>
      <c r="E3020" s="57">
        <v>0.94671300000000003</v>
      </c>
      <c r="F3020" s="57">
        <v>14.841963275792988</v>
      </c>
      <c r="G3020" s="2">
        <v>4.5789090524729774</v>
      </c>
    </row>
    <row r="3021" spans="4:7" customFormat="1" x14ac:dyDescent="0.35">
      <c r="D3021" s="51">
        <v>42806</v>
      </c>
      <c r="E3021" s="57">
        <v>1</v>
      </c>
      <c r="F3021" s="57">
        <v>14.841963275792988</v>
      </c>
      <c r="G3021" s="2">
        <v>4.5789090524729774</v>
      </c>
    </row>
    <row r="3022" spans="4:7" customFormat="1" x14ac:dyDescent="0.35">
      <c r="D3022" s="51">
        <v>42805</v>
      </c>
      <c r="E3022" s="57">
        <v>1</v>
      </c>
      <c r="F3022" s="57">
        <v>14.841963275792988</v>
      </c>
      <c r="G3022" s="2">
        <v>4.5789090524729774</v>
      </c>
    </row>
    <row r="3023" spans="4:7" customFormat="1" x14ac:dyDescent="0.35">
      <c r="D3023" s="51">
        <v>42804</v>
      </c>
      <c r="E3023" s="57">
        <v>1.031771</v>
      </c>
      <c r="F3023" s="57">
        <v>15.313507291028207</v>
      </c>
      <c r="G3023" s="2">
        <v>4.4379121456921906</v>
      </c>
    </row>
    <row r="3024" spans="4:7" customFormat="1" x14ac:dyDescent="0.35">
      <c r="D3024" s="51">
        <v>42803</v>
      </c>
      <c r="E3024" s="57">
        <v>1.0247059999999999</v>
      </c>
      <c r="F3024" s="57">
        <v>15.691842802160348</v>
      </c>
      <c r="G3024" s="2">
        <v>4.3309126185385773</v>
      </c>
    </row>
    <row r="3025" spans="4:7" customFormat="1" x14ac:dyDescent="0.35">
      <c r="D3025" s="51">
        <v>42802</v>
      </c>
      <c r="E3025" s="57">
        <v>0.98253199999999996</v>
      </c>
      <c r="F3025" s="57">
        <v>15.41773769209221</v>
      </c>
      <c r="G3025" s="2">
        <v>4.4079099902482337</v>
      </c>
    </row>
    <row r="3026" spans="4:7" customFormat="1" x14ac:dyDescent="0.35">
      <c r="D3026" s="51">
        <v>42801</v>
      </c>
      <c r="E3026" s="57">
        <v>1.041096</v>
      </c>
      <c r="F3026" s="57">
        <v>16.051345040286431</v>
      </c>
      <c r="G3026" s="2">
        <v>4.2339130975896877</v>
      </c>
    </row>
    <row r="3027" spans="4:7" customFormat="1" x14ac:dyDescent="0.35">
      <c r="D3027" s="51">
        <v>42800</v>
      </c>
      <c r="E3027" s="57">
        <v>0.94932700000000003</v>
      </c>
      <c r="F3027" s="57">
        <v>15.237975233059998</v>
      </c>
      <c r="G3027" s="2">
        <v>4.4599101232659422</v>
      </c>
    </row>
    <row r="3028" spans="4:7" customFormat="1" x14ac:dyDescent="0.35">
      <c r="D3028" s="51">
        <v>42799</v>
      </c>
      <c r="E3028" s="57">
        <v>1</v>
      </c>
      <c r="F3028" s="57">
        <v>15.237975233059998</v>
      </c>
      <c r="G3028" s="2">
        <v>4.4599101232659422</v>
      </c>
    </row>
    <row r="3029" spans="4:7" customFormat="1" x14ac:dyDescent="0.35">
      <c r="D3029" s="51">
        <v>42798</v>
      </c>
      <c r="E3029" s="57">
        <v>1</v>
      </c>
      <c r="F3029" s="57">
        <v>15.237975233059998</v>
      </c>
      <c r="G3029" s="2">
        <v>4.4599101232659422</v>
      </c>
    </row>
    <row r="3030" spans="4:7" customFormat="1" x14ac:dyDescent="0.35">
      <c r="D3030" s="51">
        <v>42797</v>
      </c>
      <c r="E3030" s="57">
        <v>1.0508949999999999</v>
      </c>
      <c r="F3030" s="57">
        <v>16.013511982546586</v>
      </c>
      <c r="G3030" s="2">
        <v>4.2439160175526034</v>
      </c>
    </row>
    <row r="3031" spans="4:7" customFormat="1" x14ac:dyDescent="0.35">
      <c r="D3031" s="51">
        <v>42796</v>
      </c>
      <c r="E3031" s="57">
        <v>0.98582999999999998</v>
      </c>
      <c r="F3031" s="57">
        <v>15.7866005177539</v>
      </c>
      <c r="G3031" s="2">
        <v>4.3049166870074993</v>
      </c>
    </row>
    <row r="3032" spans="4:7" customFormat="1" x14ac:dyDescent="0.35">
      <c r="D3032" s="51">
        <v>42795</v>
      </c>
      <c r="E3032" s="57">
        <v>1.0199009999999999</v>
      </c>
      <c r="F3032" s="57">
        <v>16.100769654657718</v>
      </c>
      <c r="G3032" s="2">
        <v>4.2209162330535026</v>
      </c>
    </row>
    <row r="3033" spans="4:7" customFormat="1" x14ac:dyDescent="0.35">
      <c r="D3033" s="51">
        <v>42794</v>
      </c>
      <c r="E3033" s="57">
        <v>1.1460759999999999</v>
      </c>
      <c r="F3033" s="57">
        <v>18.452705682731498</v>
      </c>
      <c r="G3033" s="2">
        <v>3.6829287351392948</v>
      </c>
    </row>
    <row r="3034" spans="4:7" customFormat="1" x14ac:dyDescent="0.35">
      <c r="D3034" s="51">
        <v>42793</v>
      </c>
      <c r="E3034" s="57">
        <v>0.98687000000000002</v>
      </c>
      <c r="F3034" s="57">
        <v>18.210421657117234</v>
      </c>
      <c r="G3034" s="2">
        <v>3.7319289624158145</v>
      </c>
    </row>
    <row r="3035" spans="4:7" customFormat="1" x14ac:dyDescent="0.35">
      <c r="D3035" s="51">
        <v>42792</v>
      </c>
      <c r="E3035" s="57">
        <v>1</v>
      </c>
      <c r="F3035" s="57">
        <v>18.210421657117234</v>
      </c>
      <c r="G3035" s="2">
        <v>3.7319289624158145</v>
      </c>
    </row>
    <row r="3036" spans="4:7" customFormat="1" x14ac:dyDescent="0.35">
      <c r="D3036" s="51">
        <v>42791</v>
      </c>
      <c r="E3036" s="57">
        <v>1</v>
      </c>
      <c r="F3036" s="57">
        <v>18.210421657117234</v>
      </c>
      <c r="G3036" s="2">
        <v>3.7319289624158145</v>
      </c>
    </row>
    <row r="3037" spans="4:7" customFormat="1" x14ac:dyDescent="0.35">
      <c r="D3037" s="51">
        <v>42790</v>
      </c>
      <c r="E3037" s="57">
        <v>1.0255559999999999</v>
      </c>
      <c r="F3037" s="57">
        <v>18.675807192986522</v>
      </c>
      <c r="G3037" s="2">
        <v>3.6389324058518642</v>
      </c>
    </row>
    <row r="3038" spans="4:7" customFormat="1" x14ac:dyDescent="0.35">
      <c r="D3038" s="51">
        <v>42789</v>
      </c>
      <c r="E3038" s="57">
        <v>1.0609329999999999</v>
      </c>
      <c r="F3038" s="57">
        <v>19.813780152676767</v>
      </c>
      <c r="G3038" s="2">
        <v>3.429936108926638</v>
      </c>
    </row>
    <row r="3039" spans="4:7" customFormat="1" x14ac:dyDescent="0.35">
      <c r="D3039" s="51">
        <v>42788</v>
      </c>
      <c r="E3039" s="57">
        <v>0.98</v>
      </c>
      <c r="F3039" s="57">
        <v>19.417504549623231</v>
      </c>
      <c r="G3039" s="2">
        <v>3.4999348050271815</v>
      </c>
    </row>
    <row r="3040" spans="4:7" customFormat="1" x14ac:dyDescent="0.35">
      <c r="D3040" s="51">
        <v>42787</v>
      </c>
      <c r="E3040" s="57">
        <v>1.079914</v>
      </c>
      <c r="F3040" s="57">
        <v>20.969235008201824</v>
      </c>
      <c r="G3040" s="2">
        <v>3.2409384497535738</v>
      </c>
    </row>
    <row r="3041" spans="4:7" customFormat="1" x14ac:dyDescent="0.35">
      <c r="D3041" s="51">
        <v>42786</v>
      </c>
      <c r="E3041" s="57">
        <v>1</v>
      </c>
      <c r="F3041" s="57">
        <v>20.969235008201824</v>
      </c>
      <c r="G3041" s="2">
        <v>3.2409384497535738</v>
      </c>
    </row>
    <row r="3042" spans="4:7" customFormat="1" x14ac:dyDescent="0.35">
      <c r="D3042" s="51">
        <v>42785</v>
      </c>
      <c r="E3042" s="57">
        <v>1</v>
      </c>
      <c r="F3042" s="57">
        <v>20.969235008201824</v>
      </c>
      <c r="G3042" s="2">
        <v>3.2409384497535738</v>
      </c>
    </row>
    <row r="3043" spans="4:7" customFormat="1" x14ac:dyDescent="0.35">
      <c r="D3043" s="51">
        <v>42784</v>
      </c>
      <c r="E3043" s="57">
        <v>1</v>
      </c>
      <c r="F3043" s="57">
        <v>20.969235008201824</v>
      </c>
      <c r="G3043" s="2">
        <v>3.2409384497535738</v>
      </c>
    </row>
    <row r="3044" spans="4:7" customFormat="1" x14ac:dyDescent="0.35">
      <c r="D3044" s="51">
        <v>42783</v>
      </c>
      <c r="E3044" s="57">
        <v>0.97152300000000003</v>
      </c>
      <c r="F3044" s="57">
        <v>20.372094102873262</v>
      </c>
      <c r="G3044" s="2">
        <v>3.3359358962717032</v>
      </c>
    </row>
    <row r="3045" spans="4:7" customFormat="1" x14ac:dyDescent="0.35">
      <c r="D3045" s="51">
        <v>42782</v>
      </c>
      <c r="E3045" s="57">
        <v>1.053363</v>
      </c>
      <c r="F3045" s="57">
        <v>21.45921016048489</v>
      </c>
      <c r="G3045" s="2">
        <v>3.1669385542037292</v>
      </c>
    </row>
    <row r="3046" spans="4:7" customFormat="1" x14ac:dyDescent="0.35">
      <c r="D3046" s="51">
        <v>42781</v>
      </c>
      <c r="E3046" s="57">
        <v>1.043493</v>
      </c>
      <c r="F3046" s="57">
        <v>22.39253558799486</v>
      </c>
      <c r="G3046" s="2">
        <v>3.0349399125856418</v>
      </c>
    </row>
    <row r="3047" spans="4:7" customFormat="1" x14ac:dyDescent="0.35">
      <c r="D3047" s="51">
        <v>42780</v>
      </c>
      <c r="E3047" s="57">
        <v>1.009647</v>
      </c>
      <c r="F3047" s="57">
        <v>22.608556378812246</v>
      </c>
      <c r="G3047" s="2">
        <v>3.0059415940280534</v>
      </c>
    </row>
    <row r="3048" spans="4:7" customFormat="1" x14ac:dyDescent="0.35">
      <c r="D3048" s="51">
        <v>42779</v>
      </c>
      <c r="E3048" s="57">
        <v>1.0347679999999999</v>
      </c>
      <c r="F3048" s="57">
        <v>23.394610666990786</v>
      </c>
      <c r="G3048" s="2">
        <v>2.9049425514009455</v>
      </c>
    </row>
    <row r="3049" spans="4:7" customFormat="1" x14ac:dyDescent="0.35">
      <c r="D3049" s="51">
        <v>42778</v>
      </c>
      <c r="E3049" s="57">
        <v>1</v>
      </c>
      <c r="F3049" s="57">
        <v>23.394610666990786</v>
      </c>
      <c r="G3049" s="2">
        <v>2.9049425514009455</v>
      </c>
    </row>
    <row r="3050" spans="4:7" customFormat="1" x14ac:dyDescent="0.35">
      <c r="D3050" s="51">
        <v>42777</v>
      </c>
      <c r="E3050" s="57">
        <v>1</v>
      </c>
      <c r="F3050" s="57">
        <v>23.394610666990786</v>
      </c>
      <c r="G3050" s="2">
        <v>2.9049425514009455</v>
      </c>
    </row>
    <row r="3051" spans="4:7" customFormat="1" x14ac:dyDescent="0.35">
      <c r="D3051" s="51">
        <v>42776</v>
      </c>
      <c r="E3051" s="57">
        <v>1.0003439999999999</v>
      </c>
      <c r="F3051" s="57">
        <v>23.40265841306023</v>
      </c>
      <c r="G3051" s="2">
        <v>2.9039435948043333</v>
      </c>
    </row>
    <row r="3052" spans="4:7" customFormat="1" x14ac:dyDescent="0.35">
      <c r="D3052" s="51">
        <v>42775</v>
      </c>
      <c r="E3052" s="57">
        <v>1.0246999999999999</v>
      </c>
      <c r="F3052" s="57">
        <v>23.980704075862818</v>
      </c>
      <c r="G3052" s="2">
        <v>2.8339451496089909</v>
      </c>
    </row>
    <row r="3053" spans="4:7" customFormat="1" x14ac:dyDescent="0.35">
      <c r="D3053" s="51">
        <v>42774</v>
      </c>
      <c r="E3053" s="57">
        <v>0.992645</v>
      </c>
      <c r="F3053" s="57">
        <v>23.804325997384847</v>
      </c>
      <c r="G3053" s="2">
        <v>2.8549432572661839</v>
      </c>
    </row>
    <row r="3054" spans="4:7" customFormat="1" x14ac:dyDescent="0.35">
      <c r="D3054" s="51">
        <v>42773</v>
      </c>
      <c r="E3054" s="57">
        <v>0.99131899999999995</v>
      </c>
      <c r="F3054" s="57">
        <v>23.597680643401549</v>
      </c>
      <c r="G3054" s="2">
        <v>2.8799440515779318</v>
      </c>
    </row>
    <row r="3055" spans="4:7" customFormat="1" x14ac:dyDescent="0.35">
      <c r="D3055" s="51">
        <v>42772</v>
      </c>
      <c r="E3055" s="57">
        <v>0.99585100000000004</v>
      </c>
      <c r="F3055" s="57">
        <v>23.499773866412077</v>
      </c>
      <c r="G3055" s="2">
        <v>2.8919427219312244</v>
      </c>
    </row>
    <row r="3056" spans="4:7" customFormat="1" x14ac:dyDescent="0.35">
      <c r="D3056" s="51">
        <v>42771</v>
      </c>
      <c r="E3056" s="57">
        <v>1</v>
      </c>
      <c r="F3056" s="57">
        <v>23.499773866412077</v>
      </c>
      <c r="G3056" s="2">
        <v>2.8919427219312244</v>
      </c>
    </row>
    <row r="3057" spans="4:7" customFormat="1" x14ac:dyDescent="0.35">
      <c r="D3057" s="51">
        <v>42770</v>
      </c>
      <c r="E3057" s="57">
        <v>1</v>
      </c>
      <c r="F3057" s="57">
        <v>23.499773866412077</v>
      </c>
      <c r="G3057" s="2">
        <v>2.8919427219312244</v>
      </c>
    </row>
    <row r="3058" spans="4:7" customFormat="1" x14ac:dyDescent="0.35">
      <c r="D3058" s="51">
        <v>42769</v>
      </c>
      <c r="E3058" s="57">
        <v>0.99655400000000005</v>
      </c>
      <c r="F3058" s="57">
        <v>23.418793645668423</v>
      </c>
      <c r="G3058" s="2">
        <v>2.9019428168781864</v>
      </c>
    </row>
    <row r="3059" spans="4:7" customFormat="1" x14ac:dyDescent="0.35">
      <c r="D3059" s="51">
        <v>42768</v>
      </c>
      <c r="E3059" s="57">
        <v>0.98073699999999997</v>
      </c>
      <c r="F3059" s="57">
        <v>22.967677423671912</v>
      </c>
      <c r="G3059" s="2">
        <v>2.9589408953452212</v>
      </c>
    </row>
    <row r="3060" spans="4:7" customFormat="1" x14ac:dyDescent="0.35">
      <c r="D3060" s="51">
        <v>42767</v>
      </c>
      <c r="E3060" s="57">
        <v>0.99763999999999997</v>
      </c>
      <c r="F3060" s="57">
        <v>22.913473704952047</v>
      </c>
      <c r="G3060" s="2">
        <v>2.9659405149605282</v>
      </c>
    </row>
    <row r="3061" spans="4:7" customFormat="1" x14ac:dyDescent="0.35">
      <c r="D3061" s="51">
        <v>42766</v>
      </c>
      <c r="E3061" s="57">
        <v>0.99697499999999994</v>
      </c>
      <c r="F3061" s="57">
        <v>22.844160446994564</v>
      </c>
      <c r="G3061" s="2">
        <v>2.9749397075759458</v>
      </c>
    </row>
    <row r="3062" spans="4:7" customFormat="1" x14ac:dyDescent="0.35">
      <c r="D3062" s="51">
        <v>42765</v>
      </c>
      <c r="E3062" s="57">
        <v>0.96496899999999997</v>
      </c>
      <c r="F3062" s="57">
        <v>22.043906662375896</v>
      </c>
      <c r="G3062" s="2">
        <v>3.0829381125983799</v>
      </c>
    </row>
    <row r="3063" spans="4:7" customFormat="1" x14ac:dyDescent="0.35">
      <c r="D3063" s="51">
        <v>42764</v>
      </c>
      <c r="E3063" s="57">
        <v>1</v>
      </c>
      <c r="F3063" s="57">
        <v>22.043906662375896</v>
      </c>
      <c r="G3063" s="2">
        <v>3.0829381125983799</v>
      </c>
    </row>
    <row r="3064" spans="4:7" customFormat="1" x14ac:dyDescent="0.35">
      <c r="D3064" s="51">
        <v>42763</v>
      </c>
      <c r="E3064" s="57">
        <v>1</v>
      </c>
      <c r="F3064" s="57">
        <v>22.043906662375896</v>
      </c>
      <c r="G3064" s="2">
        <v>3.0829381125983799</v>
      </c>
    </row>
    <row r="3065" spans="4:7" customFormat="1" x14ac:dyDescent="0.35">
      <c r="D3065" s="51">
        <v>42762</v>
      </c>
      <c r="E3065" s="57">
        <v>1.0016240000000001</v>
      </c>
      <c r="F3065" s="57">
        <v>22.079705966795597</v>
      </c>
      <c r="G3065" s="2">
        <v>3.0779395387873887</v>
      </c>
    </row>
    <row r="3066" spans="4:7" customFormat="1" x14ac:dyDescent="0.35">
      <c r="D3066" s="51">
        <v>42761</v>
      </c>
      <c r="E3066" s="57">
        <v>1.012167</v>
      </c>
      <c r="F3066" s="57">
        <v>22.3483497492936</v>
      </c>
      <c r="G3066" s="2">
        <v>3.0409404167369498</v>
      </c>
    </row>
    <row r="3067" spans="4:7" customFormat="1" x14ac:dyDescent="0.35">
      <c r="D3067" s="51">
        <v>42760</v>
      </c>
      <c r="E3067" s="57">
        <v>1.0256320000000001</v>
      </c>
      <c r="F3067" s="57">
        <v>22.921182650067497</v>
      </c>
      <c r="G3067" s="2">
        <v>2.9649429978169066</v>
      </c>
    </row>
    <row r="3068" spans="4:7" customFormat="1" x14ac:dyDescent="0.35">
      <c r="D3068" s="51">
        <v>42759</v>
      </c>
      <c r="E3068" s="57">
        <v>0.99529999999999996</v>
      </c>
      <c r="F3068" s="57">
        <v>22.813453091612178</v>
      </c>
      <c r="G3068" s="2">
        <v>2.9789440347803748</v>
      </c>
    </row>
    <row r="3069" spans="4:7" customFormat="1" x14ac:dyDescent="0.35">
      <c r="D3069" s="51">
        <v>42758</v>
      </c>
      <c r="E3069" s="57">
        <v>1.018113</v>
      </c>
      <c r="F3069" s="57">
        <v>23.22667316746055</v>
      </c>
      <c r="G3069" s="2">
        <v>2.9259463682129336</v>
      </c>
    </row>
    <row r="3070" spans="4:7" customFormat="1" x14ac:dyDescent="0.35">
      <c r="D3070" s="51">
        <v>42757</v>
      </c>
      <c r="E3070" s="57">
        <v>1</v>
      </c>
      <c r="F3070" s="57">
        <v>23.22667316746055</v>
      </c>
      <c r="G3070" s="2">
        <v>2.9259463682129336</v>
      </c>
    </row>
    <row r="3071" spans="4:7" customFormat="1" x14ac:dyDescent="0.35">
      <c r="D3071" s="51">
        <v>42756</v>
      </c>
      <c r="E3071" s="57">
        <v>1</v>
      </c>
      <c r="F3071" s="57">
        <v>23.22667316746055</v>
      </c>
      <c r="G3071" s="2">
        <v>2.9259463682129336</v>
      </c>
    </row>
    <row r="3072" spans="4:7" customFormat="1" x14ac:dyDescent="0.35">
      <c r="D3072" s="51">
        <v>42755</v>
      </c>
      <c r="E3072" s="57">
        <v>1.008966</v>
      </c>
      <c r="F3072" s="57">
        <v>23.434923519080002</v>
      </c>
      <c r="G3072" s="2">
        <v>2.8999454572432901</v>
      </c>
    </row>
    <row r="3073" spans="4:7" customFormat="1" x14ac:dyDescent="0.35">
      <c r="D3073" s="51">
        <v>42754</v>
      </c>
      <c r="E3073" s="57">
        <v>0.99965499999999996</v>
      </c>
      <c r="F3073" s="57">
        <v>23.426838470465917</v>
      </c>
      <c r="G3073" s="2">
        <v>2.9009462837111708</v>
      </c>
    </row>
    <row r="3074" spans="4:7" customFormat="1" x14ac:dyDescent="0.35">
      <c r="D3074" s="51">
        <v>42753</v>
      </c>
      <c r="E3074" s="57">
        <v>1.0006900000000001</v>
      </c>
      <c r="F3074" s="57">
        <v>23.443002989010541</v>
      </c>
      <c r="G3074" s="2">
        <v>2.8989460109636056</v>
      </c>
    </row>
    <row r="3075" spans="4:7" customFormat="1" x14ac:dyDescent="0.35">
      <c r="D3075" s="51">
        <v>42752</v>
      </c>
      <c r="E3075" s="57">
        <v>0.987734</v>
      </c>
      <c r="F3075" s="57">
        <v>23.155451114347336</v>
      </c>
      <c r="G3075" s="2">
        <v>2.9349460593273147</v>
      </c>
    </row>
    <row r="3076" spans="4:7" customFormat="1" x14ac:dyDescent="0.35">
      <c r="D3076" s="51">
        <v>42751</v>
      </c>
      <c r="E3076" s="57">
        <v>1</v>
      </c>
      <c r="F3076" s="57">
        <v>23.155451114347336</v>
      </c>
      <c r="G3076" s="2">
        <v>2.9349460593273147</v>
      </c>
    </row>
    <row r="3077" spans="4:7" customFormat="1" x14ac:dyDescent="0.35">
      <c r="D3077" s="51">
        <v>42750</v>
      </c>
      <c r="E3077" s="57">
        <v>1</v>
      </c>
      <c r="F3077" s="57">
        <v>23.155451114347336</v>
      </c>
      <c r="G3077" s="2">
        <v>2.9349460593273147</v>
      </c>
    </row>
    <row r="3078" spans="4:7" customFormat="1" x14ac:dyDescent="0.35">
      <c r="D3078" s="51">
        <v>42749</v>
      </c>
      <c r="E3078" s="57">
        <v>1</v>
      </c>
      <c r="F3078" s="57">
        <v>23.155451114347336</v>
      </c>
      <c r="G3078" s="2">
        <v>2.9349460593273147</v>
      </c>
    </row>
    <row r="3079" spans="4:7" customFormat="1" x14ac:dyDescent="0.35">
      <c r="D3079" s="51">
        <v>42748</v>
      </c>
      <c r="E3079" s="57">
        <v>0.99931899999999996</v>
      </c>
      <c r="F3079" s="57">
        <v>23.139682252138464</v>
      </c>
      <c r="G3079" s="2">
        <v>2.9369461196347864</v>
      </c>
    </row>
    <row r="3080" spans="4:7" customFormat="1" x14ac:dyDescent="0.35">
      <c r="D3080" s="51">
        <v>42747</v>
      </c>
      <c r="E3080" s="57">
        <v>0.98722699999999997</v>
      </c>
      <c r="F3080" s="57">
        <v>22.844119090731898</v>
      </c>
      <c r="G3080" s="2">
        <v>2.9749450933116561</v>
      </c>
    </row>
    <row r="3081" spans="4:7" customFormat="1" x14ac:dyDescent="0.35">
      <c r="D3081" s="51">
        <v>42746</v>
      </c>
      <c r="E3081" s="57">
        <v>1.0308390000000001</v>
      </c>
      <c r="F3081" s="57">
        <v>23.548608879370981</v>
      </c>
      <c r="G3081" s="2">
        <v>2.8859454224293568</v>
      </c>
    </row>
    <row r="3082" spans="4:7" customFormat="1" x14ac:dyDescent="0.35">
      <c r="D3082" s="51">
        <v>42745</v>
      </c>
      <c r="E3082" s="57">
        <v>1.0147679999999999</v>
      </c>
      <c r="F3082" s="57">
        <v>23.896374735301528</v>
      </c>
      <c r="G3082" s="2">
        <v>2.8439460274953068</v>
      </c>
    </row>
    <row r="3083" spans="4:7" customFormat="1" x14ac:dyDescent="0.35">
      <c r="D3083" s="51">
        <v>42744</v>
      </c>
      <c r="E3083" s="57">
        <v>1.026715</v>
      </c>
      <c r="F3083" s="57">
        <v>24.534766386355109</v>
      </c>
      <c r="G3083" s="2">
        <v>2.7699468961642779</v>
      </c>
    </row>
    <row r="3084" spans="4:7" customFormat="1" x14ac:dyDescent="0.35">
      <c r="D3084" s="51">
        <v>42743</v>
      </c>
      <c r="E3084" s="57">
        <v>1</v>
      </c>
      <c r="F3084" s="57">
        <v>24.534766386355109</v>
      </c>
      <c r="G3084" s="2">
        <v>2.7699468961642779</v>
      </c>
    </row>
    <row r="3085" spans="4:7" customFormat="1" x14ac:dyDescent="0.35">
      <c r="D3085" s="51">
        <v>42742</v>
      </c>
      <c r="E3085" s="57">
        <v>1</v>
      </c>
      <c r="F3085" s="57">
        <v>24.534766386355109</v>
      </c>
      <c r="G3085" s="2">
        <v>2.7699468961642779</v>
      </c>
    </row>
    <row r="3086" spans="4:7" customFormat="1" x14ac:dyDescent="0.35">
      <c r="D3086" s="51">
        <v>42741</v>
      </c>
      <c r="E3086" s="57">
        <v>1.009107</v>
      </c>
      <c r="F3086" s="57">
        <v>24.758204503835646</v>
      </c>
      <c r="G3086" s="2">
        <v>2.744948648819479</v>
      </c>
    </row>
    <row r="3087" spans="4:7" customFormat="1" x14ac:dyDescent="0.35">
      <c r="D3087" s="51">
        <v>42740</v>
      </c>
      <c r="E3087" s="57">
        <v>1.012915</v>
      </c>
      <c r="F3087" s="57">
        <v>25.077956715002685</v>
      </c>
      <c r="G3087" s="2">
        <v>2.7099496491013348</v>
      </c>
    </row>
    <row r="3088" spans="4:7" customFormat="1" x14ac:dyDescent="0.35">
      <c r="D3088" s="51">
        <v>42739</v>
      </c>
      <c r="E3088" s="57">
        <v>1.006313</v>
      </c>
      <c r="F3088" s="57">
        <v>25.236273855744496</v>
      </c>
      <c r="G3088" s="2">
        <v>2.6929490616749807</v>
      </c>
    </row>
    <row r="3089" spans="4:7" customFormat="1" x14ac:dyDescent="0.35">
      <c r="D3089" s="51">
        <v>42738</v>
      </c>
      <c r="E3089" s="57">
        <v>0.97325600000000001</v>
      </c>
      <c r="F3089" s="57">
        <v>24.561354947746466</v>
      </c>
      <c r="G3089" s="2">
        <v>2.7669483277523907</v>
      </c>
    </row>
    <row r="3090" spans="4:7" customFormat="1" x14ac:dyDescent="0.35">
      <c r="D3090" s="51">
        <v>42737</v>
      </c>
      <c r="E3090" s="57">
        <v>1</v>
      </c>
      <c r="F3090" s="57">
        <v>24.561354947746466</v>
      </c>
      <c r="G3090" s="2">
        <v>2.7669483277523907</v>
      </c>
    </row>
    <row r="3091" spans="4:7" customFormat="1" x14ac:dyDescent="0.35">
      <c r="D3091" s="51">
        <v>42736</v>
      </c>
      <c r="E3091" s="57">
        <v>1</v>
      </c>
      <c r="F3091" s="57">
        <v>24.561354947746466</v>
      </c>
      <c r="G3091" s="2">
        <v>2.7669483277523907</v>
      </c>
    </row>
    <row r="3092" spans="4:7" customFormat="1" x14ac:dyDescent="0.35">
      <c r="D3092" s="51">
        <v>42735</v>
      </c>
      <c r="E3092" s="57">
        <v>1</v>
      </c>
      <c r="F3092" s="57">
        <v>24.561354947746466</v>
      </c>
      <c r="G3092" s="2">
        <v>2.7669483277523907</v>
      </c>
    </row>
    <row r="3093" spans="4:7" customFormat="1" x14ac:dyDescent="0.35">
      <c r="D3093" s="51">
        <v>42734</v>
      </c>
      <c r="E3093" s="57">
        <v>0.97498200000000002</v>
      </c>
      <c r="F3093" s="57">
        <v>23.946878969663747</v>
      </c>
      <c r="G3093" s="2">
        <v>2.8379481136599347</v>
      </c>
    </row>
    <row r="3094" spans="4:7" customFormat="1" x14ac:dyDescent="0.35">
      <c r="D3094" s="51">
        <v>42733</v>
      </c>
      <c r="E3094" s="57">
        <v>0.996139</v>
      </c>
      <c r="F3094" s="57">
        <v>23.854420069961876</v>
      </c>
      <c r="G3094" s="2">
        <v>2.848947901507656</v>
      </c>
    </row>
    <row r="3095" spans="4:7" customFormat="1" x14ac:dyDescent="0.35">
      <c r="D3095" s="51">
        <v>42732</v>
      </c>
      <c r="E3095" s="57">
        <v>0.95157000000000003</v>
      </c>
      <c r="F3095" s="57">
        <v>22.699150505973623</v>
      </c>
      <c r="G3095" s="2">
        <v>2.993944640444377</v>
      </c>
    </row>
    <row r="3096" spans="4:7" customFormat="1" x14ac:dyDescent="0.35">
      <c r="D3096" s="51">
        <v>42731</v>
      </c>
      <c r="E3096" s="57">
        <v>0.993035</v>
      </c>
      <c r="F3096" s="57">
        <v>22.541050922699519</v>
      </c>
      <c r="G3096" s="2">
        <v>3.0149437234784036</v>
      </c>
    </row>
    <row r="3097" spans="4:7" customFormat="1" x14ac:dyDescent="0.35">
      <c r="D3097" s="51">
        <v>42730</v>
      </c>
      <c r="E3097" s="57">
        <v>1</v>
      </c>
      <c r="F3097" s="57">
        <v>22.541050922699519</v>
      </c>
      <c r="G3097" s="2">
        <v>3.0149437234784036</v>
      </c>
    </row>
    <row r="3098" spans="4:7" customFormat="1" x14ac:dyDescent="0.35">
      <c r="D3098" s="51">
        <v>42729</v>
      </c>
      <c r="E3098" s="57">
        <v>1</v>
      </c>
      <c r="F3098" s="57">
        <v>22.541050922699519</v>
      </c>
      <c r="G3098" s="2">
        <v>3.0149437234784036</v>
      </c>
    </row>
    <row r="3099" spans="4:7" customFormat="1" x14ac:dyDescent="0.35">
      <c r="D3099" s="51">
        <v>42728</v>
      </c>
      <c r="E3099" s="57">
        <v>1</v>
      </c>
      <c r="F3099" s="57">
        <v>22.541050922699519</v>
      </c>
      <c r="G3099" s="2">
        <v>3.0149437234784036</v>
      </c>
    </row>
    <row r="3100" spans="4:7" customFormat="1" x14ac:dyDescent="0.35">
      <c r="D3100" s="51">
        <v>42727</v>
      </c>
      <c r="E3100" s="57">
        <v>0.99439299999999997</v>
      </c>
      <c r="F3100" s="57">
        <v>22.414663250175941</v>
      </c>
      <c r="G3100" s="2">
        <v>3.0319438325474977</v>
      </c>
    </row>
    <row r="3101" spans="4:7" customFormat="1" x14ac:dyDescent="0.35">
      <c r="D3101" s="51">
        <v>42726</v>
      </c>
      <c r="E3101" s="57">
        <v>0.99868199999999996</v>
      </c>
      <c r="F3101" s="57">
        <v>22.385120724012207</v>
      </c>
      <c r="G3101" s="2">
        <v>3.0359452083320795</v>
      </c>
    </row>
    <row r="3102" spans="4:7" customFormat="1" x14ac:dyDescent="0.35">
      <c r="D3102" s="51">
        <v>42725</v>
      </c>
      <c r="E3102" s="57">
        <v>0.97620600000000002</v>
      </c>
      <c r="F3102" s="57">
        <v>21.852489161505062</v>
      </c>
      <c r="G3102" s="2">
        <v>3.1099431967556841</v>
      </c>
    </row>
    <row r="3103" spans="4:7" customFormat="1" x14ac:dyDescent="0.35">
      <c r="D3103" s="51">
        <v>42724</v>
      </c>
      <c r="E3103" s="57">
        <v>1.0643400000000001</v>
      </c>
      <c r="F3103" s="57">
        <v>23.258478314156299</v>
      </c>
      <c r="G3103" s="2">
        <v>2.9219452400132324</v>
      </c>
    </row>
    <row r="3104" spans="4:7" customFormat="1" x14ac:dyDescent="0.35">
      <c r="D3104" s="51">
        <v>42723</v>
      </c>
      <c r="E3104" s="57">
        <v>0.99965800000000005</v>
      </c>
      <c r="F3104" s="57">
        <v>23.250523914572859</v>
      </c>
      <c r="G3104" s="2">
        <v>2.9229448871646428</v>
      </c>
    </row>
    <row r="3105" spans="4:7" customFormat="1" x14ac:dyDescent="0.35">
      <c r="D3105" s="51">
        <v>42722</v>
      </c>
      <c r="E3105" s="57">
        <v>1</v>
      </c>
      <c r="F3105" s="57">
        <v>23.250523914572859</v>
      </c>
      <c r="G3105" s="2">
        <v>2.9229448871646428</v>
      </c>
    </row>
    <row r="3106" spans="4:7" customFormat="1" x14ac:dyDescent="0.35">
      <c r="D3106" s="51">
        <v>42721</v>
      </c>
      <c r="E3106" s="57">
        <v>1</v>
      </c>
      <c r="F3106" s="57">
        <v>23.250523914572859</v>
      </c>
      <c r="G3106" s="2">
        <v>2.9229448871646428</v>
      </c>
    </row>
    <row r="3107" spans="4:7" customFormat="1" x14ac:dyDescent="0.35">
      <c r="D3107" s="51">
        <v>42720</v>
      </c>
      <c r="E3107" s="57">
        <v>0.99017599999999995</v>
      </c>
      <c r="F3107" s="57">
        <v>23.022110767636093</v>
      </c>
      <c r="G3107" s="2">
        <v>2.9519447928092006</v>
      </c>
    </row>
    <row r="3108" spans="4:7" customFormat="1" x14ac:dyDescent="0.35">
      <c r="D3108" s="51">
        <v>42719</v>
      </c>
      <c r="E3108" s="57">
        <v>1.0542860000000001</v>
      </c>
      <c r="F3108" s="57">
        <v>24.271889072767987</v>
      </c>
      <c r="G3108" s="2">
        <v>2.7999468766626898</v>
      </c>
    </row>
    <row r="3109" spans="4:7" customFormat="1" x14ac:dyDescent="0.35">
      <c r="D3109" s="51">
        <v>42718</v>
      </c>
      <c r="E3109" s="57">
        <v>0.95595799999999997</v>
      </c>
      <c r="F3109" s="57">
        <v>23.202906534225139</v>
      </c>
      <c r="G3109" s="2">
        <v>2.9289434019723561</v>
      </c>
    </row>
    <row r="3110" spans="4:7" customFormat="1" x14ac:dyDescent="0.35">
      <c r="D3110" s="51">
        <v>42717</v>
      </c>
      <c r="E3110" s="57">
        <v>0.99761599999999995</v>
      </c>
      <c r="F3110" s="57">
        <v>23.147590805047546</v>
      </c>
      <c r="G3110" s="2">
        <v>2.9359426893437517</v>
      </c>
    </row>
    <row r="3111" spans="4:7" customFormat="1" x14ac:dyDescent="0.35">
      <c r="D3111" s="51">
        <v>42716</v>
      </c>
      <c r="E3111" s="57">
        <v>1.068802</v>
      </c>
      <c r="F3111" s="57">
        <v>24.740191347616427</v>
      </c>
      <c r="G3111" s="2">
        <v>2.7469472262811556</v>
      </c>
    </row>
    <row r="3112" spans="4:7" customFormat="1" x14ac:dyDescent="0.35">
      <c r="D3112" s="51">
        <v>42715</v>
      </c>
      <c r="E3112" s="57">
        <v>1</v>
      </c>
      <c r="F3112" s="57">
        <v>24.740191347616427</v>
      </c>
      <c r="G3112" s="2">
        <v>2.7469472262811556</v>
      </c>
    </row>
    <row r="3113" spans="4:7" customFormat="1" x14ac:dyDescent="0.35">
      <c r="D3113" s="51">
        <v>42714</v>
      </c>
      <c r="E3113" s="57">
        <v>1</v>
      </c>
      <c r="F3113" s="57">
        <v>24.740191347616427</v>
      </c>
      <c r="G3113" s="2">
        <v>2.7469472262811556</v>
      </c>
    </row>
    <row r="3114" spans="4:7" customFormat="1" x14ac:dyDescent="0.35">
      <c r="D3114" s="51">
        <v>42713</v>
      </c>
      <c r="E3114" s="57">
        <v>1.002189</v>
      </c>
      <c r="F3114" s="57">
        <v>24.794347626476359</v>
      </c>
      <c r="G3114" s="2">
        <v>2.7409472926575287</v>
      </c>
    </row>
    <row r="3115" spans="4:7" customFormat="1" x14ac:dyDescent="0.35">
      <c r="D3115" s="51">
        <v>42712</v>
      </c>
      <c r="E3115" s="57">
        <v>0.99383600000000005</v>
      </c>
      <c r="F3115" s="57">
        <v>24.641515267706762</v>
      </c>
      <c r="G3115" s="2">
        <v>2.7579472796895343</v>
      </c>
    </row>
    <row r="3116" spans="4:7" customFormat="1" x14ac:dyDescent="0.35">
      <c r="D3116" s="51">
        <v>42711</v>
      </c>
      <c r="E3116" s="57">
        <v>0.98149500000000001</v>
      </c>
      <c r="F3116" s="57">
        <v>24.185524027677847</v>
      </c>
      <c r="G3116" s="2">
        <v>2.8099453177953375</v>
      </c>
    </row>
    <row r="3117" spans="4:7" customFormat="1" x14ac:dyDescent="0.35">
      <c r="D3117" s="51">
        <v>42710</v>
      </c>
      <c r="E3117" s="57">
        <v>1.0555969999999999</v>
      </c>
      <c r="F3117" s="57">
        <v>25.530166607044649</v>
      </c>
      <c r="G3117" s="2">
        <v>2.6619489424423692</v>
      </c>
    </row>
    <row r="3118" spans="4:7" customFormat="1" x14ac:dyDescent="0.35">
      <c r="D3118" s="51">
        <v>42709</v>
      </c>
      <c r="E3118" s="57">
        <v>1.0160309999999999</v>
      </c>
      <c r="F3118" s="57">
        <v>25.939440707922181</v>
      </c>
      <c r="G3118" s="2">
        <v>2.619948547280909</v>
      </c>
    </row>
    <row r="3119" spans="4:7" customFormat="1" x14ac:dyDescent="0.35">
      <c r="D3119" s="51">
        <v>42708</v>
      </c>
      <c r="E3119" s="57">
        <v>1</v>
      </c>
      <c r="F3119" s="57">
        <v>25.939440707922181</v>
      </c>
      <c r="G3119" s="2">
        <v>2.619948547280909</v>
      </c>
    </row>
    <row r="3120" spans="4:7" customFormat="1" x14ac:dyDescent="0.35">
      <c r="D3120" s="51">
        <v>42707</v>
      </c>
      <c r="E3120" s="57">
        <v>1</v>
      </c>
      <c r="F3120" s="57">
        <v>25.939440707922181</v>
      </c>
      <c r="G3120" s="2">
        <v>2.619948547280909</v>
      </c>
    </row>
    <row r="3121" spans="4:7" customFormat="1" x14ac:dyDescent="0.35">
      <c r="D3121" s="51">
        <v>42706</v>
      </c>
      <c r="E3121" s="57">
        <v>1.0046010000000001</v>
      </c>
      <c r="F3121" s="57">
        <v>26.058788074619333</v>
      </c>
      <c r="G3121" s="2">
        <v>2.6079493722193279</v>
      </c>
    </row>
    <row r="3122" spans="4:7" customFormat="1" x14ac:dyDescent="0.35">
      <c r="D3122" s="51">
        <v>42705</v>
      </c>
      <c r="E3122" s="57">
        <v>0.98118899999999998</v>
      </c>
      <c r="F3122" s="57">
        <v>25.568596212147668</v>
      </c>
      <c r="G3122" s="2">
        <v>2.6579480326617277</v>
      </c>
    </row>
    <row r="3123" spans="4:7" customFormat="1" x14ac:dyDescent="0.35">
      <c r="D3123" s="51">
        <v>42704</v>
      </c>
      <c r="E3123" s="57">
        <v>0.98008799999999996</v>
      </c>
      <c r="F3123" s="57">
        <v>25.059474324371383</v>
      </c>
      <c r="G3123" s="2">
        <v>2.7119483481704987</v>
      </c>
    </row>
    <row r="3124" spans="4:7" customFormat="1" x14ac:dyDescent="0.35">
      <c r="D3124" s="51">
        <v>42703</v>
      </c>
      <c r="E3124" s="57">
        <v>1.01573</v>
      </c>
      <c r="F3124" s="57">
        <v>25.453659855493747</v>
      </c>
      <c r="G3124" s="2">
        <v>2.6699500341335773</v>
      </c>
    </row>
    <row r="3125" spans="4:7" customFormat="1" x14ac:dyDescent="0.35">
      <c r="D3125" s="51">
        <v>42702</v>
      </c>
      <c r="E3125" s="57">
        <v>0.918157</v>
      </c>
      <c r="F3125" s="57">
        <v>23.370455971940572</v>
      </c>
      <c r="G3125" s="2">
        <v>2.9079449746977666</v>
      </c>
    </row>
    <row r="3126" spans="4:7" customFormat="1" x14ac:dyDescent="0.35">
      <c r="D3126" s="51">
        <v>42701</v>
      </c>
      <c r="E3126" s="57">
        <v>1</v>
      </c>
      <c r="F3126" s="57">
        <v>23.370455971940572</v>
      </c>
      <c r="G3126" s="2">
        <v>2.9079449746977666</v>
      </c>
    </row>
    <row r="3127" spans="4:7" customFormat="1" x14ac:dyDescent="0.35">
      <c r="D3127" s="51">
        <v>42700</v>
      </c>
      <c r="E3127" s="57">
        <v>1</v>
      </c>
      <c r="F3127" s="57">
        <v>23.370455971940572</v>
      </c>
      <c r="G3127" s="2">
        <v>2.9079449746977666</v>
      </c>
    </row>
    <row r="3128" spans="4:7" customFormat="1" x14ac:dyDescent="0.35">
      <c r="D3128" s="51">
        <v>42699</v>
      </c>
      <c r="E3128" s="57">
        <v>0.96323300000000001</v>
      </c>
      <c r="F3128" s="57">
        <v>22.511194417220235</v>
      </c>
      <c r="G3128" s="2">
        <v>3.0189424310605704</v>
      </c>
    </row>
    <row r="3129" spans="4:7" customFormat="1" x14ac:dyDescent="0.35">
      <c r="D3129" s="51">
        <v>42698</v>
      </c>
      <c r="E3129" s="57">
        <v>1</v>
      </c>
      <c r="F3129" s="57">
        <v>22.511194417220235</v>
      </c>
      <c r="G3129" s="2">
        <v>3.0189424310605704</v>
      </c>
    </row>
    <row r="3130" spans="4:7" customFormat="1" x14ac:dyDescent="0.35">
      <c r="D3130" s="51">
        <v>42697</v>
      </c>
      <c r="E3130" s="57">
        <v>1.050818</v>
      </c>
      <c r="F3130" s="57">
        <v>23.655168295114535</v>
      </c>
      <c r="G3130" s="2">
        <v>2.8729451066317573</v>
      </c>
    </row>
    <row r="3131" spans="4:7" customFormat="1" x14ac:dyDescent="0.35">
      <c r="D3131" s="51">
        <v>42696</v>
      </c>
      <c r="E3131" s="57">
        <v>0.97954300000000005</v>
      </c>
      <c r="F3131" s="57">
        <v>23.171254517301378</v>
      </c>
      <c r="G3131" s="2">
        <v>2.9329443491829936</v>
      </c>
    </row>
    <row r="3132" spans="4:7" customFormat="1" x14ac:dyDescent="0.35">
      <c r="D3132" s="51">
        <v>42695</v>
      </c>
      <c r="E3132" s="57">
        <v>1.0079039999999999</v>
      </c>
      <c r="F3132" s="57">
        <v>23.354400113006125</v>
      </c>
      <c r="G3132" s="2">
        <v>2.9099441506165209</v>
      </c>
    </row>
    <row r="3133" spans="4:7" customFormat="1" x14ac:dyDescent="0.35">
      <c r="D3133" s="51">
        <v>42694</v>
      </c>
      <c r="E3133" s="57">
        <v>1</v>
      </c>
      <c r="F3133" s="57">
        <v>23.354400113006125</v>
      </c>
      <c r="G3133" s="2">
        <v>2.9099441506165209</v>
      </c>
    </row>
    <row r="3134" spans="4:7" customFormat="1" x14ac:dyDescent="0.35">
      <c r="D3134" s="51">
        <v>42693</v>
      </c>
      <c r="E3134" s="57">
        <v>1</v>
      </c>
      <c r="F3134" s="57">
        <v>23.354400113006125</v>
      </c>
      <c r="G3134" s="2">
        <v>2.9099441506165209</v>
      </c>
    </row>
    <row r="3135" spans="4:7" customFormat="1" x14ac:dyDescent="0.35">
      <c r="D3135" s="51">
        <v>42692</v>
      </c>
      <c r="E3135" s="57">
        <v>1.122252</v>
      </c>
      <c r="F3135" s="57">
        <v>26.20952223562135</v>
      </c>
      <c r="G3135" s="2">
        <v>2.5929507371040739</v>
      </c>
    </row>
    <row r="3136" spans="4:7" customFormat="1" x14ac:dyDescent="0.35">
      <c r="D3136" s="51">
        <v>42691</v>
      </c>
      <c r="E3136" s="57">
        <v>1.0224759999999999</v>
      </c>
      <c r="F3136" s="57">
        <v>26.798607457389174</v>
      </c>
      <c r="G3136" s="2">
        <v>2.5359526650054125</v>
      </c>
    </row>
    <row r="3137" spans="4:7" customFormat="1" x14ac:dyDescent="0.35">
      <c r="D3137" s="51">
        <v>42690</v>
      </c>
      <c r="E3137" s="57">
        <v>1.004356</v>
      </c>
      <c r="F3137" s="57">
        <v>26.915342191473563</v>
      </c>
      <c r="G3137" s="2">
        <v>2.5249539655315569</v>
      </c>
    </row>
    <row r="3138" spans="4:7" customFormat="1" x14ac:dyDescent="0.35">
      <c r="D3138" s="51">
        <v>42689</v>
      </c>
      <c r="E3138" s="57">
        <v>0.97982100000000005</v>
      </c>
      <c r="F3138" s="57">
        <v>26.37221750139182</v>
      </c>
      <c r="G3138" s="2">
        <v>2.5769543268939494</v>
      </c>
    </row>
    <row r="3139" spans="4:7" customFormat="1" x14ac:dyDescent="0.35">
      <c r="D3139" s="51">
        <v>42688</v>
      </c>
      <c r="E3139" s="57">
        <v>1.0125740000000001</v>
      </c>
      <c r="F3139" s="57">
        <v>26.703821764254322</v>
      </c>
      <c r="G3139" s="2">
        <v>2.5449540743629102</v>
      </c>
    </row>
    <row r="3140" spans="4:7" customFormat="1" x14ac:dyDescent="0.35">
      <c r="D3140" s="51">
        <v>42687</v>
      </c>
      <c r="E3140" s="57">
        <v>1</v>
      </c>
      <c r="F3140" s="57">
        <v>26.703821764254322</v>
      </c>
      <c r="G3140" s="2">
        <v>2.5449540743629102</v>
      </c>
    </row>
    <row r="3141" spans="4:7" customFormat="1" x14ac:dyDescent="0.35">
      <c r="D3141" s="51">
        <v>42686</v>
      </c>
      <c r="E3141" s="57">
        <v>1</v>
      </c>
      <c r="F3141" s="57">
        <v>26.703821764254322</v>
      </c>
      <c r="G3141" s="2">
        <v>2.5449540743629102</v>
      </c>
    </row>
    <row r="3142" spans="4:7" customFormat="1" x14ac:dyDescent="0.35">
      <c r="D3142" s="51">
        <v>42685</v>
      </c>
      <c r="E3142" s="57">
        <v>1.086214</v>
      </c>
      <c r="F3142" s="57">
        <v>29.006065053837744</v>
      </c>
      <c r="G3142" s="2">
        <v>2.3429582700673257</v>
      </c>
    </row>
    <row r="3143" spans="4:7" customFormat="1" x14ac:dyDescent="0.35">
      <c r="D3143" s="51">
        <v>42684</v>
      </c>
      <c r="E3143" s="57">
        <v>1.020915</v>
      </c>
      <c r="F3143" s="57">
        <v>29.612726904438762</v>
      </c>
      <c r="G3143" s="2">
        <v>2.2949591984321178</v>
      </c>
    </row>
    <row r="3144" spans="4:7" customFormat="1" x14ac:dyDescent="0.35">
      <c r="D3144" s="51">
        <v>42683</v>
      </c>
      <c r="E3144" s="57">
        <v>1.0065789999999999</v>
      </c>
      <c r="F3144" s="57">
        <v>29.807549034743062</v>
      </c>
      <c r="G3144" s="2">
        <v>2.2799593458954717</v>
      </c>
    </row>
    <row r="3145" spans="4:7" customFormat="1" x14ac:dyDescent="0.35">
      <c r="D3145" s="51">
        <v>42682</v>
      </c>
      <c r="E3145" s="57">
        <v>0.99563299999999999</v>
      </c>
      <c r="F3145" s="57">
        <v>29.677379468108338</v>
      </c>
      <c r="G3145" s="2">
        <v>2.2899595994663415</v>
      </c>
    </row>
    <row r="3146" spans="4:7" customFormat="1" x14ac:dyDescent="0.35">
      <c r="D3146" s="51">
        <v>42681</v>
      </c>
      <c r="E3146" s="57">
        <v>0.95936299999999997</v>
      </c>
      <c r="F3146" s="57">
        <v>28.47137979866282</v>
      </c>
      <c r="G3146" s="2">
        <v>2.3869584291517825</v>
      </c>
    </row>
    <row r="3147" spans="4:7" customFormat="1" x14ac:dyDescent="0.35">
      <c r="D3147" s="51">
        <v>42680</v>
      </c>
      <c r="E3147" s="57">
        <v>1</v>
      </c>
      <c r="F3147" s="57">
        <v>28.47137979866282</v>
      </c>
      <c r="G3147" s="2">
        <v>2.3869584291517825</v>
      </c>
    </row>
    <row r="3148" spans="4:7" customFormat="1" x14ac:dyDescent="0.35">
      <c r="D3148" s="51">
        <v>42679</v>
      </c>
      <c r="E3148" s="57">
        <v>1</v>
      </c>
      <c r="F3148" s="57">
        <v>28.47137979866282</v>
      </c>
      <c r="G3148" s="2">
        <v>2.3869584291517825</v>
      </c>
    </row>
    <row r="3149" spans="4:7" customFormat="1" x14ac:dyDescent="0.35">
      <c r="D3149" s="51">
        <v>42678</v>
      </c>
      <c r="E3149" s="57">
        <v>1.0423579999999999</v>
      </c>
      <c r="F3149" s="57">
        <v>29.677370504174576</v>
      </c>
      <c r="G3149" s="2">
        <v>2.2899602911396877</v>
      </c>
    </row>
    <row r="3150" spans="4:7" customFormat="1" x14ac:dyDescent="0.35">
      <c r="D3150" s="51">
        <v>42677</v>
      </c>
      <c r="E3150" s="57">
        <v>0.93737199999999998</v>
      </c>
      <c r="F3150" s="57">
        <v>27.818736144239129</v>
      </c>
      <c r="G3150" s="2">
        <v>2.4429578557282361</v>
      </c>
    </row>
    <row r="3151" spans="4:7" customFormat="1" x14ac:dyDescent="0.35">
      <c r="D3151" s="51">
        <v>42676</v>
      </c>
      <c r="E3151" s="57">
        <v>0.96790799999999999</v>
      </c>
      <c r="F3151" s="57">
        <v>26.925977263898208</v>
      </c>
      <c r="G3151" s="2">
        <v>2.5239566732873744</v>
      </c>
    </row>
    <row r="3152" spans="4:7" customFormat="1" x14ac:dyDescent="0.35">
      <c r="D3152" s="51">
        <v>42675</v>
      </c>
      <c r="E3152" s="57">
        <v>1.002383</v>
      </c>
      <c r="F3152" s="57">
        <v>26.990141867718076</v>
      </c>
      <c r="G3152" s="2">
        <v>2.5179563832261462</v>
      </c>
    </row>
    <row r="3153" spans="4:7" customFormat="1" x14ac:dyDescent="0.35">
      <c r="D3153" s="51">
        <v>42674</v>
      </c>
      <c r="E3153" s="57">
        <v>0.98321000000000003</v>
      </c>
      <c r="F3153" s="57">
        <v>26.536977385759091</v>
      </c>
      <c r="G3153" s="2">
        <v>2.5609548145626531</v>
      </c>
    </row>
    <row r="3154" spans="4:7" customFormat="1" x14ac:dyDescent="0.35">
      <c r="D3154" s="51">
        <v>42673</v>
      </c>
      <c r="E3154" s="57">
        <v>1</v>
      </c>
      <c r="F3154" s="57">
        <v>26.536977385759091</v>
      </c>
      <c r="G3154" s="2">
        <v>2.5609548145626531</v>
      </c>
    </row>
    <row r="3155" spans="4:7" customFormat="1" x14ac:dyDescent="0.35">
      <c r="D3155" s="51">
        <v>42672</v>
      </c>
      <c r="E3155" s="57">
        <v>1</v>
      </c>
      <c r="F3155" s="57">
        <v>26.536977385759091</v>
      </c>
      <c r="G3155" s="2">
        <v>2.5609548145626531</v>
      </c>
    </row>
    <row r="3156" spans="4:7" customFormat="1" x14ac:dyDescent="0.35">
      <c r="D3156" s="51">
        <v>42671</v>
      </c>
      <c r="E3156" s="57">
        <v>1.0035270000000001</v>
      </c>
      <c r="F3156" s="57">
        <v>26.630573304998663</v>
      </c>
      <c r="G3156" s="2">
        <v>2.5519540725487735</v>
      </c>
    </row>
    <row r="3157" spans="4:7" customFormat="1" x14ac:dyDescent="0.35">
      <c r="D3157" s="51">
        <v>42670</v>
      </c>
      <c r="E3157" s="57">
        <v>0.90560700000000005</v>
      </c>
      <c r="F3157" s="57">
        <v>24.116833599019927</v>
      </c>
      <c r="G3157" s="2">
        <v>2.8179487046243827</v>
      </c>
    </row>
    <row r="3158" spans="4:7" customFormat="1" x14ac:dyDescent="0.35">
      <c r="D3158" s="51">
        <v>42669</v>
      </c>
      <c r="E3158" s="57">
        <v>0.97847200000000001</v>
      </c>
      <c r="F3158" s="57">
        <v>23.597646405300225</v>
      </c>
      <c r="G3158" s="2">
        <v>2.879948230122459</v>
      </c>
    </row>
    <row r="3159" spans="4:7" customFormat="1" x14ac:dyDescent="0.35">
      <c r="D3159" s="51">
        <v>42668</v>
      </c>
      <c r="E3159" s="57">
        <v>1.0098180000000001</v>
      </c>
      <c r="F3159" s="57">
        <v>23.829328097707464</v>
      </c>
      <c r="G3159" s="2">
        <v>2.8519478065576758</v>
      </c>
    </row>
    <row r="3160" spans="4:7" customFormat="1" x14ac:dyDescent="0.35">
      <c r="D3160" s="51">
        <v>42667</v>
      </c>
      <c r="E3160" s="57">
        <v>1.037846</v>
      </c>
      <c r="F3160" s="57">
        <v>24.731172848893301</v>
      </c>
      <c r="G3160" s="2">
        <v>2.747948931303561</v>
      </c>
    </row>
    <row r="3161" spans="4:7" customFormat="1" x14ac:dyDescent="0.35">
      <c r="D3161" s="51">
        <v>42666</v>
      </c>
      <c r="E3161" s="57">
        <v>1</v>
      </c>
      <c r="F3161" s="57">
        <v>24.731172848893301</v>
      </c>
      <c r="G3161" s="2">
        <v>2.747948931303561</v>
      </c>
    </row>
    <row r="3162" spans="4:7" customFormat="1" x14ac:dyDescent="0.35">
      <c r="D3162" s="51">
        <v>42665</v>
      </c>
      <c r="E3162" s="57">
        <v>1</v>
      </c>
      <c r="F3162" s="57">
        <v>24.731172848893301</v>
      </c>
      <c r="G3162" s="2">
        <v>2.747948931303561</v>
      </c>
    </row>
    <row r="3163" spans="4:7" customFormat="1" x14ac:dyDescent="0.35">
      <c r="D3163" s="51">
        <v>42664</v>
      </c>
      <c r="E3163" s="57">
        <v>1.0373730000000001</v>
      </c>
      <c r="F3163" s="57">
        <v>25.655450971774993</v>
      </c>
      <c r="G3163" s="2">
        <v>2.6489497329345961</v>
      </c>
    </row>
    <row r="3164" spans="4:7" customFormat="1" x14ac:dyDescent="0.35">
      <c r="D3164" s="51">
        <v>42663</v>
      </c>
      <c r="E3164" s="57">
        <v>1.040456</v>
      </c>
      <c r="F3164" s="57">
        <v>26.693367896289125</v>
      </c>
      <c r="G3164" s="2">
        <v>2.5459507494162135</v>
      </c>
    </row>
    <row r="3165" spans="4:7" customFormat="1" x14ac:dyDescent="0.35">
      <c r="D3165" s="51">
        <v>42662</v>
      </c>
      <c r="E3165" s="57">
        <v>0.98377099999999995</v>
      </c>
      <c r="F3165" s="57">
        <v>26.260161228700248</v>
      </c>
      <c r="G3165" s="2">
        <v>2.5879505996987242</v>
      </c>
    </row>
    <row r="3166" spans="4:7" customFormat="1" x14ac:dyDescent="0.35">
      <c r="D3166" s="51">
        <v>42661</v>
      </c>
      <c r="E3166" s="57">
        <v>0.98515399999999997</v>
      </c>
      <c r="F3166" s="57">
        <v>25.870302875098965</v>
      </c>
      <c r="G3166" s="2">
        <v>2.6269503039105806</v>
      </c>
    </row>
    <row r="3167" spans="4:7" customFormat="1" x14ac:dyDescent="0.35">
      <c r="D3167" s="51">
        <v>42660</v>
      </c>
      <c r="E3167" s="57">
        <v>0.99658599999999997</v>
      </c>
      <c r="F3167" s="57">
        <v>25.781981661083375</v>
      </c>
      <c r="G3167" s="2">
        <v>2.6359494352826358</v>
      </c>
    </row>
    <row r="3168" spans="4:7" customFormat="1" x14ac:dyDescent="0.35">
      <c r="D3168" s="51">
        <v>42659</v>
      </c>
      <c r="E3168" s="57">
        <v>1</v>
      </c>
      <c r="F3168" s="57">
        <v>25.781981661083375</v>
      </c>
      <c r="G3168" s="2">
        <v>2.6359494352826358</v>
      </c>
    </row>
    <row r="3169" spans="4:7" customFormat="1" x14ac:dyDescent="0.35">
      <c r="D3169" s="51">
        <v>42658</v>
      </c>
      <c r="E3169" s="57">
        <v>1</v>
      </c>
      <c r="F3169" s="57">
        <v>25.781981661083375</v>
      </c>
      <c r="G3169" s="2">
        <v>2.6359494352826358</v>
      </c>
    </row>
    <row r="3170" spans="4:7" customFormat="1" x14ac:dyDescent="0.35">
      <c r="D3170" s="51">
        <v>42657</v>
      </c>
      <c r="E3170" s="57">
        <v>1.0150170000000001</v>
      </c>
      <c r="F3170" s="57">
        <v>26.169149679687866</v>
      </c>
      <c r="G3170" s="2">
        <v>2.5969510217884384</v>
      </c>
    </row>
    <row r="3171" spans="4:7" customFormat="1" x14ac:dyDescent="0.35">
      <c r="D3171" s="51">
        <v>42656</v>
      </c>
      <c r="E3171" s="57">
        <v>0.96542700000000004</v>
      </c>
      <c r="F3171" s="57">
        <v>25.264403667812019</v>
      </c>
      <c r="G3171" s="2">
        <v>2.6899506868861534</v>
      </c>
    </row>
    <row r="3172" spans="4:7" customFormat="1" x14ac:dyDescent="0.35">
      <c r="D3172" s="51">
        <v>42655</v>
      </c>
      <c r="E3172" s="57">
        <v>1.0540750000000001</v>
      </c>
      <c r="F3172" s="57">
        <v>26.630576296148956</v>
      </c>
      <c r="G3172" s="2">
        <v>2.5519537859129127</v>
      </c>
    </row>
    <row r="3173" spans="4:7" customFormat="1" x14ac:dyDescent="0.35">
      <c r="D3173" s="51">
        <v>42654</v>
      </c>
      <c r="E3173" s="57">
        <v>1.0094939999999999</v>
      </c>
      <c r="F3173" s="57">
        <v>26.883406987504589</v>
      </c>
      <c r="G3173" s="2">
        <v>2.5279533963677969</v>
      </c>
    </row>
    <row r="3174" spans="4:7" customFormat="1" x14ac:dyDescent="0.35">
      <c r="D3174" s="51">
        <v>42653</v>
      </c>
      <c r="E3174" s="57">
        <v>0.96268100000000001</v>
      </c>
      <c r="F3174" s="57">
        <v>25.880145122137904</v>
      </c>
      <c r="G3174" s="2">
        <v>2.6259512718832068</v>
      </c>
    </row>
    <row r="3175" spans="4:7" customFormat="1" x14ac:dyDescent="0.35">
      <c r="D3175" s="51">
        <v>42652</v>
      </c>
      <c r="E3175" s="57">
        <v>1</v>
      </c>
      <c r="F3175" s="57">
        <v>25.880145122137904</v>
      </c>
      <c r="G3175" s="2">
        <v>2.6259512718832068</v>
      </c>
    </row>
    <row r="3176" spans="4:7" customFormat="1" x14ac:dyDescent="0.35">
      <c r="D3176" s="51">
        <v>42651</v>
      </c>
      <c r="E3176" s="57">
        <v>1</v>
      </c>
      <c r="F3176" s="57">
        <v>25.880145122137904</v>
      </c>
      <c r="G3176" s="2">
        <v>2.6259512718832068</v>
      </c>
    </row>
    <row r="3177" spans="4:7" customFormat="1" x14ac:dyDescent="0.35">
      <c r="D3177" s="51">
        <v>42650</v>
      </c>
      <c r="E3177" s="57">
        <v>1.006902</v>
      </c>
      <c r="F3177" s="57">
        <v>26.0587698837709</v>
      </c>
      <c r="G3177" s="2">
        <v>2.6079511927508401</v>
      </c>
    </row>
    <row r="3178" spans="4:7" customFormat="1" x14ac:dyDescent="0.35">
      <c r="D3178" s="51">
        <v>42649</v>
      </c>
      <c r="E3178" s="57">
        <v>1.052462</v>
      </c>
      <c r="F3178" s="57">
        <v>27.425865069413288</v>
      </c>
      <c r="G3178" s="2">
        <v>2.4779528313144232</v>
      </c>
    </row>
    <row r="3179" spans="4:7" customFormat="1" x14ac:dyDescent="0.35">
      <c r="D3179" s="51">
        <v>42648</v>
      </c>
      <c r="E3179" s="57">
        <v>1.039866</v>
      </c>
      <c r="F3179" s="57">
        <v>28.519224606270516</v>
      </c>
      <c r="G3179" s="2">
        <v>2.3829539876430457</v>
      </c>
    </row>
    <row r="3180" spans="4:7" customFormat="1" x14ac:dyDescent="0.35">
      <c r="D3180" s="51">
        <v>42647</v>
      </c>
      <c r="E3180" s="57">
        <v>0.90333600000000003</v>
      </c>
      <c r="F3180" s="57">
        <v>25.762442278929985</v>
      </c>
      <c r="G3180" s="2">
        <v>2.6379486565829828</v>
      </c>
    </row>
    <row r="3181" spans="4:7" customFormat="1" x14ac:dyDescent="0.35">
      <c r="D3181" s="51">
        <v>42646</v>
      </c>
      <c r="E3181" s="57">
        <v>0.903115</v>
      </c>
      <c r="F3181" s="57">
        <v>23.266448058735854</v>
      </c>
      <c r="G3181" s="2">
        <v>2.9209443499255165</v>
      </c>
    </row>
    <row r="3182" spans="4:7" customFormat="1" x14ac:dyDescent="0.35">
      <c r="D3182" s="51">
        <v>42645</v>
      </c>
      <c r="E3182" s="57">
        <v>1</v>
      </c>
      <c r="F3182" s="57">
        <v>23.266448058735854</v>
      </c>
      <c r="G3182" s="2">
        <v>2.9209443499255165</v>
      </c>
    </row>
    <row r="3183" spans="4:7" customFormat="1" x14ac:dyDescent="0.35">
      <c r="D3183" s="51">
        <v>42644</v>
      </c>
      <c r="E3183" s="57">
        <v>1</v>
      </c>
      <c r="F3183" s="57">
        <v>23.266448058735854</v>
      </c>
      <c r="G3183" s="2">
        <v>2.9209443499255165</v>
      </c>
    </row>
    <row r="3184" spans="4:7" customFormat="1" x14ac:dyDescent="0.35">
      <c r="D3184" s="51">
        <v>42643</v>
      </c>
      <c r="E3184" s="57">
        <v>1.0075890000000001</v>
      </c>
      <c r="F3184" s="57">
        <v>23.443017133053601</v>
      </c>
      <c r="G3184" s="2">
        <v>2.898944261921792</v>
      </c>
    </row>
    <row r="3185" spans="4:7" customFormat="1" x14ac:dyDescent="0.35">
      <c r="D3185" s="51">
        <v>42642</v>
      </c>
      <c r="E3185" s="57">
        <v>0.868224</v>
      </c>
      <c r="F3185" s="57">
        <v>20.353790107328329</v>
      </c>
      <c r="G3185" s="2">
        <v>3.3389358759050567</v>
      </c>
    </row>
    <row r="3186" spans="4:7" customFormat="1" x14ac:dyDescent="0.35">
      <c r="D3186" s="51">
        <v>42641</v>
      </c>
      <c r="E3186" s="57">
        <v>1.113742</v>
      </c>
      <c r="F3186" s="57">
        <v>22.668870901716069</v>
      </c>
      <c r="G3186" s="2">
        <v>2.9979437570865213</v>
      </c>
    </row>
    <row r="3187" spans="4:7" customFormat="1" x14ac:dyDescent="0.35">
      <c r="D3187" s="51">
        <v>42640</v>
      </c>
      <c r="E3187" s="57">
        <v>1.079582</v>
      </c>
      <c r="F3187" s="57">
        <v>24.472904985816438</v>
      </c>
      <c r="G3187" s="2">
        <v>2.7769486311243807</v>
      </c>
    </row>
    <row r="3188" spans="4:7" customFormat="1" x14ac:dyDescent="0.35">
      <c r="D3188" s="51">
        <v>42639</v>
      </c>
      <c r="E3188" s="57">
        <v>1.0039769999999999</v>
      </c>
      <c r="F3188" s="57">
        <v>24.570233728945027</v>
      </c>
      <c r="G3188" s="2">
        <v>2.7659484541223369</v>
      </c>
    </row>
    <row r="3189" spans="4:7" customFormat="1" x14ac:dyDescent="0.35">
      <c r="D3189" s="51">
        <v>42638</v>
      </c>
      <c r="E3189" s="57">
        <v>1</v>
      </c>
      <c r="F3189" s="57">
        <v>24.570233728945027</v>
      </c>
      <c r="G3189" s="2">
        <v>2.7659484541223369</v>
      </c>
    </row>
    <row r="3190" spans="4:7" customFormat="1" x14ac:dyDescent="0.35">
      <c r="D3190" s="51">
        <v>42637</v>
      </c>
      <c r="E3190" s="57">
        <v>1</v>
      </c>
      <c r="F3190" s="57">
        <v>24.570233728945027</v>
      </c>
      <c r="G3190" s="2">
        <v>2.7659484541223369</v>
      </c>
    </row>
    <row r="3191" spans="4:7" customFormat="1" x14ac:dyDescent="0.35">
      <c r="D3191" s="51">
        <v>42636</v>
      </c>
      <c r="E3191" s="57">
        <v>0.95709299999999997</v>
      </c>
      <c r="F3191" s="57">
        <v>23.515998710337183</v>
      </c>
      <c r="G3191" s="2">
        <v>2.8899474284341613</v>
      </c>
    </row>
    <row r="3192" spans="4:7" customFormat="1" x14ac:dyDescent="0.35">
      <c r="D3192" s="51">
        <v>42635</v>
      </c>
      <c r="E3192" s="57">
        <v>0.96013300000000001</v>
      </c>
      <c r="F3192" s="57">
        <v>22.578486389752172</v>
      </c>
      <c r="G3192" s="2">
        <v>3.0099449018356426</v>
      </c>
    </row>
    <row r="3193" spans="4:7" customFormat="1" x14ac:dyDescent="0.35">
      <c r="D3193" s="51"/>
      <c r="E3193" s="57"/>
      <c r="F3193" s="57"/>
      <c r="G3193" s="2"/>
    </row>
    <row r="3194" spans="4:7" customFormat="1" x14ac:dyDescent="0.35">
      <c r="D3194" s="51"/>
      <c r="E3194" s="57"/>
      <c r="F3194" s="57"/>
      <c r="G3194" s="2"/>
    </row>
    <row r="3195" spans="4:7" customFormat="1" x14ac:dyDescent="0.35">
      <c r="D3195" s="51"/>
      <c r="E3195" s="57"/>
      <c r="F3195" s="57"/>
      <c r="G3195" s="2"/>
    </row>
    <row r="3196" spans="4:7" customFormat="1" x14ac:dyDescent="0.35">
      <c r="D3196" s="51"/>
      <c r="E3196" s="57"/>
      <c r="F3196" s="57"/>
      <c r="G3196" s="2"/>
    </row>
    <row r="3197" spans="4:7" customFormat="1" x14ac:dyDescent="0.35">
      <c r="D3197" s="51"/>
      <c r="E3197" s="57"/>
      <c r="F3197" s="57"/>
      <c r="G3197" s="2"/>
    </row>
    <row r="3198" spans="4:7" customFormat="1" x14ac:dyDescent="0.35">
      <c r="D3198" s="51"/>
      <c r="E3198" s="57"/>
      <c r="F3198" s="57"/>
      <c r="G3198" s="2"/>
    </row>
    <row r="3199" spans="4:7" customFormat="1" x14ac:dyDescent="0.35">
      <c r="D3199" s="51"/>
      <c r="E3199" s="57"/>
      <c r="F3199" s="57"/>
      <c r="G3199" s="2"/>
    </row>
    <row r="3200" spans="4:7" customFormat="1" x14ac:dyDescent="0.35">
      <c r="D3200" s="51"/>
      <c r="E3200" s="57"/>
      <c r="F3200" s="57"/>
      <c r="G3200" s="2"/>
    </row>
    <row r="3201" spans="4:7" customFormat="1" x14ac:dyDescent="0.35">
      <c r="D3201" s="51"/>
      <c r="E3201" s="57"/>
      <c r="F3201" s="57"/>
      <c r="G3201" s="2"/>
    </row>
    <row r="3202" spans="4:7" customFormat="1" x14ac:dyDescent="0.35">
      <c r="D3202" s="51"/>
      <c r="E3202" s="57"/>
      <c r="F3202" s="57"/>
      <c r="G3202" s="2"/>
    </row>
    <row r="3203" spans="4:7" customFormat="1" x14ac:dyDescent="0.35">
      <c r="D3203" s="51"/>
      <c r="E3203" s="57"/>
      <c r="F3203" s="57"/>
      <c r="G3203" s="2"/>
    </row>
    <row r="3204" spans="4:7" customFormat="1" x14ac:dyDescent="0.35">
      <c r="D3204" s="51"/>
      <c r="E3204" s="57"/>
      <c r="F3204" s="57"/>
      <c r="G3204" s="2"/>
    </row>
    <row r="3205" spans="4:7" customFormat="1" x14ac:dyDescent="0.35">
      <c r="D3205" s="51"/>
      <c r="E3205" s="57"/>
      <c r="F3205" s="57"/>
      <c r="G3205" s="2"/>
    </row>
    <row r="3206" spans="4:7" customFormat="1" x14ac:dyDescent="0.35">
      <c r="D3206" s="51"/>
      <c r="E3206" s="57"/>
      <c r="F3206" s="57"/>
      <c r="G3206" s="2"/>
    </row>
    <row r="3207" spans="4:7" customFormat="1" x14ac:dyDescent="0.35">
      <c r="D3207" s="51"/>
      <c r="E3207" s="57"/>
      <c r="F3207" s="57"/>
      <c r="G3207" s="2"/>
    </row>
    <row r="3208" spans="4:7" customFormat="1" x14ac:dyDescent="0.35">
      <c r="D3208" s="51"/>
      <c r="E3208" s="57"/>
      <c r="F3208" s="57"/>
      <c r="G3208" s="2"/>
    </row>
    <row r="3209" spans="4:7" customFormat="1" x14ac:dyDescent="0.35">
      <c r="D3209" s="51"/>
      <c r="E3209" s="57"/>
      <c r="F3209" s="57"/>
      <c r="G3209" s="2"/>
    </row>
    <row r="3210" spans="4:7" customFormat="1" x14ac:dyDescent="0.35">
      <c r="D3210" s="51"/>
      <c r="E3210" s="57"/>
      <c r="F3210" s="57"/>
      <c r="G3210" s="2"/>
    </row>
    <row r="3211" spans="4:7" customFormat="1" x14ac:dyDescent="0.35">
      <c r="D3211" s="51"/>
      <c r="E3211" s="57"/>
      <c r="F3211" s="57"/>
      <c r="G3211" s="2"/>
    </row>
    <row r="3212" spans="4:7" customFormat="1" x14ac:dyDescent="0.35">
      <c r="D3212" s="51"/>
      <c r="E3212" s="57"/>
      <c r="F3212" s="57"/>
      <c r="G3212" s="2"/>
    </row>
    <row r="3213" spans="4:7" customFormat="1" x14ac:dyDescent="0.35">
      <c r="D3213" s="51"/>
      <c r="E3213" s="57"/>
      <c r="F3213" s="57"/>
      <c r="G3213" s="2"/>
    </row>
    <row r="3214" spans="4:7" customFormat="1" x14ac:dyDescent="0.35">
      <c r="D3214" s="51"/>
      <c r="E3214" s="57"/>
      <c r="F3214" s="57"/>
      <c r="G3214" s="2"/>
    </row>
    <row r="3215" spans="4:7" customFormat="1" x14ac:dyDescent="0.35">
      <c r="D3215" s="51"/>
      <c r="E3215" s="57"/>
      <c r="F3215" s="57"/>
      <c r="G3215" s="2"/>
    </row>
    <row r="3216" spans="4:7" customFormat="1" x14ac:dyDescent="0.35">
      <c r="D3216" s="51"/>
      <c r="E3216" s="57"/>
      <c r="F3216" s="57"/>
      <c r="G3216" s="2"/>
    </row>
    <row r="3217" spans="4:7" customFormat="1" x14ac:dyDescent="0.35">
      <c r="D3217" s="51"/>
      <c r="E3217" s="57"/>
      <c r="F3217" s="57"/>
      <c r="G3217" s="2"/>
    </row>
    <row r="3218" spans="4:7" customFormat="1" x14ac:dyDescent="0.35">
      <c r="D3218" s="51"/>
      <c r="E3218" s="57"/>
      <c r="F3218" s="57"/>
      <c r="G3218" s="2"/>
    </row>
    <row r="3219" spans="4:7" customFormat="1" x14ac:dyDescent="0.35">
      <c r="D3219" s="51"/>
      <c r="E3219" s="57"/>
      <c r="F3219" s="57"/>
      <c r="G3219" s="2"/>
    </row>
    <row r="3220" spans="4:7" customFormat="1" x14ac:dyDescent="0.35">
      <c r="D3220" s="51"/>
      <c r="E3220" s="57"/>
      <c r="F3220" s="57"/>
      <c r="G3220" s="2"/>
    </row>
    <row r="3221" spans="4:7" customFormat="1" x14ac:dyDescent="0.35">
      <c r="D3221" s="51"/>
      <c r="E3221" s="57"/>
      <c r="F3221" s="57"/>
      <c r="G3221" s="2"/>
    </row>
    <row r="3222" spans="4:7" customFormat="1" x14ac:dyDescent="0.35">
      <c r="D3222" s="51"/>
      <c r="E3222" s="57"/>
      <c r="F3222" s="57"/>
      <c r="G3222" s="2"/>
    </row>
    <row r="3223" spans="4:7" customFormat="1" x14ac:dyDescent="0.35">
      <c r="D3223" s="51"/>
      <c r="E3223" s="57"/>
      <c r="F3223" s="57"/>
      <c r="G3223" s="2"/>
    </row>
    <row r="3224" spans="4:7" customFormat="1" x14ac:dyDescent="0.35">
      <c r="D3224" s="51"/>
      <c r="E3224" s="57"/>
      <c r="F3224" s="57"/>
      <c r="G3224" s="2"/>
    </row>
    <row r="3225" spans="4:7" customFormat="1" x14ac:dyDescent="0.35">
      <c r="D3225" s="51"/>
      <c r="E3225" s="57"/>
      <c r="F3225" s="57"/>
      <c r="G3225" s="2"/>
    </row>
    <row r="3226" spans="4:7" customFormat="1" x14ac:dyDescent="0.35">
      <c r="D3226" s="51"/>
      <c r="E3226" s="57"/>
      <c r="F3226" s="57"/>
      <c r="G3226" s="2"/>
    </row>
    <row r="3227" spans="4:7" customFormat="1" x14ac:dyDescent="0.35">
      <c r="D3227" s="51"/>
      <c r="E3227" s="57"/>
      <c r="F3227" s="57"/>
      <c r="G3227" s="2"/>
    </row>
    <row r="3228" spans="4:7" customFormat="1" x14ac:dyDescent="0.35">
      <c r="D3228" s="51"/>
      <c r="E3228" s="57"/>
      <c r="F3228" s="57"/>
      <c r="G3228" s="2"/>
    </row>
    <row r="3229" spans="4:7" customFormat="1" x14ac:dyDescent="0.35">
      <c r="D3229" s="51"/>
      <c r="E3229" s="57"/>
      <c r="F3229" s="57"/>
      <c r="G3229" s="2"/>
    </row>
    <row r="3230" spans="4:7" customFormat="1" x14ac:dyDescent="0.35">
      <c r="D3230" s="51"/>
      <c r="E3230" s="57"/>
      <c r="F3230" s="57"/>
      <c r="G3230" s="2"/>
    </row>
    <row r="3231" spans="4:7" customFormat="1" x14ac:dyDescent="0.35">
      <c r="D3231" s="51"/>
      <c r="E3231" s="57"/>
      <c r="F3231" s="57"/>
      <c r="G3231" s="2"/>
    </row>
    <row r="3232" spans="4:7" customFormat="1" x14ac:dyDescent="0.35">
      <c r="D3232" s="51"/>
      <c r="E3232" s="57"/>
      <c r="F3232" s="57"/>
      <c r="G3232" s="2"/>
    </row>
    <row r="3233" spans="4:7" customFormat="1" x14ac:dyDescent="0.35">
      <c r="D3233" s="51"/>
      <c r="E3233" s="57"/>
      <c r="F3233" s="57"/>
      <c r="G3233" s="2"/>
    </row>
    <row r="3234" spans="4:7" customFormat="1" x14ac:dyDescent="0.35">
      <c r="D3234" s="51"/>
      <c r="E3234" s="57"/>
      <c r="F3234" s="57"/>
      <c r="G3234" s="2"/>
    </row>
    <row r="3235" spans="4:7" customFormat="1" x14ac:dyDescent="0.35">
      <c r="D3235" s="51"/>
      <c r="E3235" s="57"/>
      <c r="F3235" s="57"/>
      <c r="G3235" s="2"/>
    </row>
    <row r="3236" spans="4:7" customFormat="1" x14ac:dyDescent="0.35">
      <c r="D3236" s="51"/>
      <c r="E3236" s="57"/>
      <c r="F3236" s="57"/>
      <c r="G3236" s="2"/>
    </row>
    <row r="3237" spans="4:7" customFormat="1" x14ac:dyDescent="0.35">
      <c r="D3237" s="51"/>
      <c r="E3237" s="57"/>
      <c r="F3237" s="57"/>
      <c r="G3237" s="2"/>
    </row>
    <row r="3238" spans="4:7" customFormat="1" x14ac:dyDescent="0.35">
      <c r="D3238" s="51"/>
      <c r="E3238" s="57"/>
      <c r="F3238" s="57"/>
      <c r="G3238" s="2"/>
    </row>
    <row r="3239" spans="4:7" customFormat="1" x14ac:dyDescent="0.35">
      <c r="D3239" s="51"/>
      <c r="E3239" s="57"/>
      <c r="F3239" s="57"/>
      <c r="G3239" s="2"/>
    </row>
    <row r="3240" spans="4:7" customFormat="1" x14ac:dyDescent="0.35">
      <c r="D3240" s="51"/>
      <c r="E3240" s="57"/>
      <c r="F3240" s="57"/>
      <c r="G3240" s="2"/>
    </row>
    <row r="3241" spans="4:7" customFormat="1" x14ac:dyDescent="0.35">
      <c r="D3241" s="51"/>
      <c r="E3241" s="57"/>
      <c r="F3241" s="57"/>
      <c r="G3241" s="2"/>
    </row>
    <row r="3242" spans="4:7" customFormat="1" x14ac:dyDescent="0.35">
      <c r="D3242" s="51"/>
      <c r="E3242" s="57"/>
      <c r="F3242" s="57"/>
      <c r="G3242" s="2"/>
    </row>
    <row r="3243" spans="4:7" customFormat="1" x14ac:dyDescent="0.35">
      <c r="D3243" s="51"/>
      <c r="E3243" s="57"/>
      <c r="F3243" s="57"/>
      <c r="G3243" s="2"/>
    </row>
    <row r="3244" spans="4:7" customFormat="1" x14ac:dyDescent="0.35">
      <c r="D3244" s="51"/>
      <c r="E3244" s="57"/>
      <c r="F3244" s="57"/>
      <c r="G3244" s="2"/>
    </row>
    <row r="3245" spans="4:7" customFormat="1" x14ac:dyDescent="0.35">
      <c r="D3245" s="51"/>
      <c r="E3245" s="57"/>
      <c r="F3245" s="57"/>
      <c r="G3245" s="2"/>
    </row>
    <row r="3246" spans="4:7" customFormat="1" x14ac:dyDescent="0.35">
      <c r="D3246" s="51"/>
      <c r="E3246" s="57"/>
      <c r="F3246" s="57"/>
      <c r="G3246" s="2"/>
    </row>
    <row r="3247" spans="4:7" customFormat="1" x14ac:dyDescent="0.35">
      <c r="D3247" s="51"/>
      <c r="E3247" s="57"/>
      <c r="F3247" s="57"/>
      <c r="G3247" s="2"/>
    </row>
    <row r="3248" spans="4:7" customFormat="1" x14ac:dyDescent="0.35">
      <c r="D3248" s="51"/>
      <c r="E3248" s="57"/>
      <c r="F3248" s="57"/>
      <c r="G3248" s="2"/>
    </row>
    <row r="3249" spans="4:7" customFormat="1" x14ac:dyDescent="0.35">
      <c r="D3249" s="51"/>
      <c r="E3249" s="57"/>
      <c r="F3249" s="57"/>
      <c r="G3249" s="2"/>
    </row>
    <row r="3250" spans="4:7" customFormat="1" x14ac:dyDescent="0.35">
      <c r="D3250" s="51"/>
      <c r="E3250" s="57"/>
      <c r="F3250" s="57"/>
      <c r="G3250" s="2"/>
    </row>
    <row r="3251" spans="4:7" customFormat="1" x14ac:dyDescent="0.35">
      <c r="D3251" s="51"/>
      <c r="E3251" s="57"/>
      <c r="F3251" s="57"/>
      <c r="G3251" s="2"/>
    </row>
    <row r="3252" spans="4:7" customFormat="1" x14ac:dyDescent="0.35">
      <c r="D3252" s="51"/>
      <c r="E3252" s="57"/>
      <c r="F3252" s="57"/>
      <c r="G3252" s="2"/>
    </row>
    <row r="3253" spans="4:7" customFormat="1" x14ac:dyDescent="0.35">
      <c r="D3253" s="51"/>
      <c r="E3253" s="57"/>
      <c r="F3253" s="57"/>
      <c r="G3253" s="2"/>
    </row>
    <row r="3254" spans="4:7" customFormat="1" x14ac:dyDescent="0.35">
      <c r="D3254" s="51"/>
      <c r="E3254" s="57"/>
      <c r="F3254" s="57"/>
      <c r="G3254" s="2"/>
    </row>
    <row r="3255" spans="4:7" customFormat="1" x14ac:dyDescent="0.35">
      <c r="D3255" s="51"/>
      <c r="E3255" s="57"/>
      <c r="F3255" s="57"/>
      <c r="G3255" s="2"/>
    </row>
    <row r="3256" spans="4:7" customFormat="1" x14ac:dyDescent="0.35">
      <c r="D3256" s="51"/>
      <c r="E3256" s="57"/>
      <c r="F3256" s="57"/>
      <c r="G3256" s="2"/>
    </row>
    <row r="3257" spans="4:7" customFormat="1" x14ac:dyDescent="0.35">
      <c r="D3257" s="51"/>
      <c r="E3257" s="57"/>
      <c r="F3257" s="57"/>
      <c r="G3257" s="2"/>
    </row>
    <row r="3258" spans="4:7" customFormat="1" x14ac:dyDescent="0.35">
      <c r="D3258" s="51"/>
      <c r="E3258" s="57"/>
      <c r="F3258" s="57"/>
      <c r="G3258" s="2"/>
    </row>
    <row r="3259" spans="4:7" customFormat="1" x14ac:dyDescent="0.35">
      <c r="D3259" s="51"/>
      <c r="E3259" s="57"/>
      <c r="F3259" s="57"/>
      <c r="G3259" s="2"/>
    </row>
    <row r="3260" spans="4:7" customFormat="1" x14ac:dyDescent="0.35">
      <c r="D3260" s="51"/>
      <c r="E3260" s="57"/>
      <c r="F3260" s="57"/>
      <c r="G3260" s="2"/>
    </row>
    <row r="3261" spans="4:7" customFormat="1" x14ac:dyDescent="0.35">
      <c r="D3261" s="51"/>
      <c r="E3261" s="57"/>
      <c r="F3261" s="57"/>
      <c r="G3261" s="2"/>
    </row>
    <row r="3262" spans="4:7" customFormat="1" x14ac:dyDescent="0.35">
      <c r="D3262" s="51"/>
      <c r="E3262" s="57"/>
      <c r="F3262" s="57"/>
      <c r="G3262" s="2"/>
    </row>
    <row r="3263" spans="4:7" customFormat="1" x14ac:dyDescent="0.35">
      <c r="D3263" s="51"/>
      <c r="E3263" s="57"/>
      <c r="F3263" s="57"/>
      <c r="G3263" s="2"/>
    </row>
    <row r="3264" spans="4:7" customFormat="1" x14ac:dyDescent="0.35">
      <c r="D3264" s="51"/>
      <c r="E3264" s="57"/>
      <c r="F3264" s="57"/>
      <c r="G3264" s="2"/>
    </row>
    <row r="3265" spans="4:7" customFormat="1" x14ac:dyDescent="0.35">
      <c r="D3265" s="51"/>
      <c r="E3265" s="57"/>
      <c r="F3265" s="57"/>
      <c r="G3265" s="2"/>
    </row>
    <row r="3266" spans="4:7" customFormat="1" x14ac:dyDescent="0.35">
      <c r="D3266" s="51"/>
      <c r="E3266" s="57"/>
      <c r="F3266" s="57"/>
      <c r="G3266" s="2"/>
    </row>
    <row r="3267" spans="4:7" customFormat="1" x14ac:dyDescent="0.35">
      <c r="D3267" s="51"/>
      <c r="E3267" s="57"/>
      <c r="F3267" s="57"/>
      <c r="G3267" s="2"/>
    </row>
    <row r="3268" spans="4:7" customFormat="1" x14ac:dyDescent="0.35">
      <c r="D3268" s="51"/>
      <c r="E3268" s="57"/>
      <c r="F3268" s="57"/>
      <c r="G3268" s="2"/>
    </row>
    <row r="3269" spans="4:7" customFormat="1" x14ac:dyDescent="0.35">
      <c r="D3269" s="51"/>
      <c r="E3269" s="57"/>
      <c r="F3269" s="57"/>
      <c r="G3269" s="2"/>
    </row>
    <row r="3270" spans="4:7" customFormat="1" x14ac:dyDescent="0.35">
      <c r="D3270" s="51"/>
      <c r="E3270" s="57"/>
      <c r="F3270" s="57"/>
      <c r="G3270" s="2"/>
    </row>
    <row r="3271" spans="4:7" customFormat="1" x14ac:dyDescent="0.35">
      <c r="D3271" s="51"/>
      <c r="E3271" s="57"/>
      <c r="F3271" s="57"/>
      <c r="G3271" s="2"/>
    </row>
    <row r="3272" spans="4:7" customFormat="1" x14ac:dyDescent="0.35">
      <c r="D3272" s="51"/>
      <c r="E3272" s="57"/>
      <c r="F3272" s="57"/>
      <c r="G3272" s="2"/>
    </row>
    <row r="3273" spans="4:7" customFormat="1" x14ac:dyDescent="0.35">
      <c r="D3273" s="51"/>
      <c r="E3273" s="57"/>
      <c r="F3273" s="57"/>
      <c r="G3273" s="2"/>
    </row>
    <row r="3274" spans="4:7" customFormat="1" x14ac:dyDescent="0.35">
      <c r="D3274" s="51"/>
      <c r="E3274" s="57"/>
      <c r="F3274" s="57"/>
      <c r="G3274" s="2"/>
    </row>
    <row r="3275" spans="4:7" customFormat="1" x14ac:dyDescent="0.35">
      <c r="D3275" s="51"/>
      <c r="E3275" s="57"/>
      <c r="F3275" s="57"/>
      <c r="G3275" s="2"/>
    </row>
    <row r="3276" spans="4:7" customFormat="1" x14ac:dyDescent="0.35">
      <c r="D3276" s="51"/>
      <c r="E3276" s="57"/>
      <c r="F3276" s="57"/>
      <c r="G3276" s="2"/>
    </row>
    <row r="3277" spans="4:7" customFormat="1" x14ac:dyDescent="0.35">
      <c r="D3277" s="51"/>
      <c r="E3277" s="57"/>
      <c r="F3277" s="57"/>
      <c r="G3277" s="2"/>
    </row>
    <row r="3278" spans="4:7" customFormat="1" x14ac:dyDescent="0.35">
      <c r="D3278" s="51"/>
      <c r="E3278" s="57"/>
      <c r="F3278" s="57"/>
      <c r="G3278" s="2"/>
    </row>
    <row r="3279" spans="4:7" customFormat="1" x14ac:dyDescent="0.35">
      <c r="D3279" s="51"/>
      <c r="E3279" s="57"/>
      <c r="F3279" s="57"/>
      <c r="G3279" s="2"/>
    </row>
    <row r="3280" spans="4:7" customFormat="1" x14ac:dyDescent="0.35">
      <c r="D3280" s="51"/>
      <c r="E3280" s="57"/>
      <c r="F3280" s="57"/>
      <c r="G3280" s="2"/>
    </row>
    <row r="3281" spans="4:7" customFormat="1" x14ac:dyDescent="0.35">
      <c r="D3281" s="51"/>
      <c r="E3281" s="57"/>
      <c r="F3281" s="57"/>
      <c r="G3281" s="2"/>
    </row>
    <row r="3282" spans="4:7" customFormat="1" x14ac:dyDescent="0.35">
      <c r="D3282" s="51"/>
      <c r="E3282" s="57"/>
      <c r="F3282" s="57"/>
      <c r="G3282" s="2"/>
    </row>
    <row r="3283" spans="4:7" customFormat="1" x14ac:dyDescent="0.35">
      <c r="D3283" s="51"/>
      <c r="E3283" s="57"/>
      <c r="F3283" s="57"/>
      <c r="G3283" s="2"/>
    </row>
    <row r="3284" spans="4:7" customFormat="1" x14ac:dyDescent="0.35">
      <c r="D3284" s="51"/>
      <c r="E3284" s="57"/>
      <c r="F3284" s="57"/>
      <c r="G3284" s="2"/>
    </row>
    <row r="3285" spans="4:7" customFormat="1" x14ac:dyDescent="0.35">
      <c r="D3285" s="51"/>
      <c r="E3285" s="57"/>
      <c r="F3285" s="57"/>
      <c r="G3285" s="2"/>
    </row>
    <row r="3286" spans="4:7" customFormat="1" x14ac:dyDescent="0.35">
      <c r="D3286" s="51"/>
      <c r="E3286" s="57"/>
      <c r="F3286" s="57"/>
      <c r="G3286" s="2"/>
    </row>
    <row r="3287" spans="4:7" customFormat="1" x14ac:dyDescent="0.35">
      <c r="D3287" s="51"/>
      <c r="E3287" s="57"/>
      <c r="F3287" s="57"/>
      <c r="G3287" s="2"/>
    </row>
    <row r="3288" spans="4:7" customFormat="1" x14ac:dyDescent="0.35">
      <c r="D3288" s="51"/>
      <c r="E3288" s="57"/>
      <c r="F3288" s="57"/>
      <c r="G3288" s="2"/>
    </row>
    <row r="3289" spans="4:7" customFormat="1" x14ac:dyDescent="0.35">
      <c r="D3289" s="51"/>
      <c r="E3289" s="57"/>
      <c r="F3289" s="57"/>
      <c r="G3289" s="2"/>
    </row>
    <row r="3290" spans="4:7" customFormat="1" x14ac:dyDescent="0.35">
      <c r="D3290" s="51"/>
      <c r="E3290" s="57"/>
      <c r="F3290" s="57"/>
      <c r="G3290" s="2"/>
    </row>
    <row r="3291" spans="4:7" customFormat="1" x14ac:dyDescent="0.35">
      <c r="D3291" s="51"/>
      <c r="E3291" s="57"/>
      <c r="F3291" s="57"/>
      <c r="G3291" s="2"/>
    </row>
    <row r="3292" spans="4:7" customFormat="1" x14ac:dyDescent="0.35">
      <c r="D3292" s="51"/>
      <c r="E3292" s="57"/>
      <c r="F3292" s="57"/>
      <c r="G3292" s="2"/>
    </row>
    <row r="3293" spans="4:7" customFormat="1" x14ac:dyDescent="0.35">
      <c r="D3293" s="51"/>
      <c r="E3293" s="57"/>
      <c r="F3293" s="57"/>
      <c r="G3293" s="2"/>
    </row>
    <row r="3294" spans="4:7" customFormat="1" x14ac:dyDescent="0.35">
      <c r="D3294" s="51"/>
      <c r="E3294" s="57"/>
      <c r="F3294" s="57"/>
      <c r="G3294" s="2"/>
    </row>
    <row r="3295" spans="4:7" customFormat="1" x14ac:dyDescent="0.35">
      <c r="D3295" s="51"/>
      <c r="E3295" s="57"/>
      <c r="F3295" s="57"/>
      <c r="G3295" s="2"/>
    </row>
    <row r="3296" spans="4:7" customFormat="1" x14ac:dyDescent="0.35">
      <c r="D3296" s="51"/>
      <c r="E3296" s="57"/>
      <c r="F3296" s="57"/>
      <c r="G3296" s="2"/>
    </row>
    <row r="3297" spans="4:7" customFormat="1" x14ac:dyDescent="0.35">
      <c r="D3297" s="51"/>
      <c r="E3297" s="57"/>
      <c r="F3297" s="57"/>
      <c r="G3297" s="2"/>
    </row>
    <row r="3298" spans="4:7" customFormat="1" x14ac:dyDescent="0.35">
      <c r="D3298" s="51"/>
      <c r="E3298" s="57"/>
      <c r="F3298" s="57"/>
      <c r="G3298" s="2"/>
    </row>
    <row r="3299" spans="4:7" customFormat="1" x14ac:dyDescent="0.35">
      <c r="D3299" s="51"/>
      <c r="E3299" s="57"/>
      <c r="F3299" s="57"/>
      <c r="G3299" s="2"/>
    </row>
    <row r="3300" spans="4:7" customFormat="1" x14ac:dyDescent="0.35">
      <c r="D3300" s="51"/>
      <c r="E3300" s="57"/>
      <c r="F3300" s="57"/>
      <c r="G3300" s="2"/>
    </row>
    <row r="3301" spans="4:7" customFormat="1" x14ac:dyDescent="0.35">
      <c r="D3301" s="51"/>
      <c r="E3301" s="57"/>
      <c r="F3301" s="57"/>
      <c r="G3301" s="2"/>
    </row>
    <row r="3302" spans="4:7" customFormat="1" x14ac:dyDescent="0.35">
      <c r="D3302" s="51"/>
      <c r="E3302" s="57"/>
      <c r="F3302" s="57"/>
      <c r="G3302" s="2"/>
    </row>
    <row r="3303" spans="4:7" customFormat="1" x14ac:dyDescent="0.35">
      <c r="D3303" s="51"/>
      <c r="E3303" s="57"/>
      <c r="F3303" s="57"/>
      <c r="G3303" s="2"/>
    </row>
    <row r="3304" spans="4:7" customFormat="1" x14ac:dyDescent="0.35">
      <c r="D3304" s="51"/>
      <c r="E3304" s="57"/>
      <c r="F3304" s="57"/>
      <c r="G3304" s="2"/>
    </row>
    <row r="3305" spans="4:7" customFormat="1" x14ac:dyDescent="0.35">
      <c r="D3305" s="51"/>
      <c r="E3305" s="57"/>
      <c r="F3305" s="57"/>
      <c r="G3305" s="2"/>
    </row>
    <row r="3306" spans="4:7" customFormat="1" x14ac:dyDescent="0.35">
      <c r="D3306" s="51"/>
      <c r="E3306" s="57"/>
      <c r="F3306" s="57"/>
      <c r="G3306" s="2"/>
    </row>
    <row r="3307" spans="4:7" customFormat="1" x14ac:dyDescent="0.35">
      <c r="D3307" s="51"/>
      <c r="E3307" s="57"/>
      <c r="F3307" s="57"/>
      <c r="G3307" s="2"/>
    </row>
    <row r="3308" spans="4:7" customFormat="1" x14ac:dyDescent="0.35">
      <c r="D3308" s="51"/>
      <c r="E3308" s="57"/>
      <c r="F3308" s="57"/>
      <c r="G3308" s="2"/>
    </row>
    <row r="3309" spans="4:7" customFormat="1" x14ac:dyDescent="0.35">
      <c r="D3309" s="51"/>
      <c r="E3309" s="57"/>
      <c r="F3309" s="57"/>
      <c r="G3309" s="2"/>
    </row>
    <row r="3310" spans="4:7" customFormat="1" x14ac:dyDescent="0.35">
      <c r="D3310" s="51"/>
      <c r="E3310" s="57"/>
      <c r="F3310" s="57"/>
      <c r="G3310" s="2"/>
    </row>
    <row r="3311" spans="4:7" customFormat="1" x14ac:dyDescent="0.35">
      <c r="D3311" s="51"/>
      <c r="E3311" s="57"/>
      <c r="F3311" s="57"/>
      <c r="G3311" s="2"/>
    </row>
    <row r="3312" spans="4:7" customFormat="1" x14ac:dyDescent="0.35">
      <c r="D3312" s="51"/>
      <c r="E3312" s="57"/>
      <c r="F3312" s="57"/>
      <c r="G3312" s="2"/>
    </row>
    <row r="3313" spans="4:7" customFormat="1" x14ac:dyDescent="0.35">
      <c r="D3313" s="51"/>
      <c r="E3313" s="57"/>
      <c r="F3313" s="57"/>
      <c r="G3313" s="2"/>
    </row>
    <row r="3314" spans="4:7" customFormat="1" x14ac:dyDescent="0.35">
      <c r="D3314" s="51"/>
      <c r="E3314" s="57"/>
      <c r="F3314" s="57"/>
      <c r="G3314" s="2"/>
    </row>
    <row r="3315" spans="4:7" customFormat="1" x14ac:dyDescent="0.35">
      <c r="D3315" s="51"/>
      <c r="E3315" s="57"/>
      <c r="F3315" s="57"/>
      <c r="G3315" s="2"/>
    </row>
    <row r="3316" spans="4:7" customFormat="1" x14ac:dyDescent="0.35">
      <c r="D3316" s="51"/>
      <c r="E3316" s="57"/>
      <c r="F3316" s="57"/>
      <c r="G3316" s="2"/>
    </row>
    <row r="3317" spans="4:7" customFormat="1" x14ac:dyDescent="0.35">
      <c r="D3317" s="51"/>
      <c r="E3317" s="57"/>
      <c r="F3317" s="57"/>
      <c r="G3317" s="2"/>
    </row>
    <row r="3318" spans="4:7" customFormat="1" x14ac:dyDescent="0.35">
      <c r="D3318" s="51"/>
      <c r="E3318" s="57"/>
      <c r="F3318" s="57"/>
      <c r="G3318" s="2"/>
    </row>
    <row r="3319" spans="4:7" customFormat="1" x14ac:dyDescent="0.35">
      <c r="D3319" s="51"/>
      <c r="E3319" s="57"/>
      <c r="F3319" s="57"/>
      <c r="G3319" s="2"/>
    </row>
    <row r="3320" spans="4:7" customFormat="1" x14ac:dyDescent="0.35">
      <c r="D3320" s="51"/>
      <c r="E3320" s="57"/>
      <c r="F3320" s="57"/>
      <c r="G3320" s="2"/>
    </row>
    <row r="3321" spans="4:7" customFormat="1" x14ac:dyDescent="0.35">
      <c r="D3321" s="51"/>
      <c r="E3321" s="57"/>
      <c r="F3321" s="57"/>
      <c r="G3321" s="2"/>
    </row>
    <row r="3322" spans="4:7" customFormat="1" x14ac:dyDescent="0.35">
      <c r="D3322" s="51"/>
      <c r="E3322" s="57"/>
      <c r="F3322" s="57"/>
      <c r="G3322" s="2"/>
    </row>
    <row r="3323" spans="4:7" customFormat="1" x14ac:dyDescent="0.35">
      <c r="D3323" s="51"/>
      <c r="E3323" s="57"/>
      <c r="F3323" s="57"/>
      <c r="G3323" s="2"/>
    </row>
    <row r="3324" spans="4:7" customFormat="1" x14ac:dyDescent="0.35">
      <c r="D3324" s="51"/>
      <c r="E3324" s="57"/>
      <c r="F3324" s="57"/>
      <c r="G3324" s="2"/>
    </row>
    <row r="3325" spans="4:7" customFormat="1" x14ac:dyDescent="0.35">
      <c r="D3325" s="51"/>
      <c r="E3325" s="57"/>
      <c r="F3325" s="57"/>
      <c r="G3325" s="2"/>
    </row>
    <row r="3326" spans="4:7" customFormat="1" x14ac:dyDescent="0.35">
      <c r="D3326" s="51"/>
      <c r="E3326" s="57"/>
      <c r="F3326" s="57"/>
      <c r="G3326" s="2"/>
    </row>
    <row r="3327" spans="4:7" customFormat="1" x14ac:dyDescent="0.35">
      <c r="D3327" s="51"/>
      <c r="E3327" s="57"/>
      <c r="F3327" s="57"/>
      <c r="G3327" s="2"/>
    </row>
    <row r="3328" spans="4:7" customFormat="1" x14ac:dyDescent="0.35">
      <c r="D3328" s="51"/>
      <c r="E3328" s="57"/>
      <c r="F3328" s="57"/>
      <c r="G3328" s="2"/>
    </row>
    <row r="3329" spans="4:7" customFormat="1" x14ac:dyDescent="0.35">
      <c r="D3329" s="51"/>
      <c r="E3329" s="57"/>
      <c r="F3329" s="57"/>
      <c r="G3329" s="2"/>
    </row>
    <row r="3330" spans="4:7" customFormat="1" x14ac:dyDescent="0.35">
      <c r="D3330" s="51"/>
      <c r="E3330" s="57"/>
      <c r="F3330" s="57"/>
      <c r="G3330" s="2"/>
    </row>
    <row r="3331" spans="4:7" customFormat="1" x14ac:dyDescent="0.35">
      <c r="D3331" s="51"/>
      <c r="E3331" s="57"/>
      <c r="F3331" s="57"/>
      <c r="G3331" s="2"/>
    </row>
    <row r="3332" spans="4:7" customFormat="1" x14ac:dyDescent="0.35">
      <c r="D3332" s="51"/>
      <c r="E3332" s="57"/>
      <c r="F3332" s="57"/>
      <c r="G3332" s="2"/>
    </row>
    <row r="3333" spans="4:7" customFormat="1" x14ac:dyDescent="0.35">
      <c r="D3333" s="51"/>
      <c r="E3333" s="57"/>
      <c r="F3333" s="57"/>
      <c r="G3333" s="2"/>
    </row>
    <row r="3334" spans="4:7" customFormat="1" x14ac:dyDescent="0.35">
      <c r="D3334" s="51"/>
      <c r="E3334" s="57"/>
      <c r="F3334" s="57"/>
      <c r="G3334" s="2"/>
    </row>
    <row r="3335" spans="4:7" customFormat="1" x14ac:dyDescent="0.35">
      <c r="D3335" s="51"/>
      <c r="E3335" s="57"/>
      <c r="F3335" s="57"/>
      <c r="G3335" s="2"/>
    </row>
    <row r="3336" spans="4:7" customFormat="1" x14ac:dyDescent="0.35">
      <c r="D3336" s="51"/>
      <c r="E3336" s="57"/>
      <c r="F3336" s="57"/>
      <c r="G3336" s="2"/>
    </row>
    <row r="3337" spans="4:7" customFormat="1" x14ac:dyDescent="0.35">
      <c r="D3337" s="51"/>
      <c r="E3337" s="57"/>
      <c r="F3337" s="57"/>
      <c r="G3337" s="2"/>
    </row>
    <row r="3338" spans="4:7" customFormat="1" x14ac:dyDescent="0.35">
      <c r="D3338" s="51"/>
      <c r="E3338" s="57"/>
      <c r="F3338" s="57"/>
      <c r="G3338" s="2"/>
    </row>
    <row r="3339" spans="4:7" customFormat="1" x14ac:dyDescent="0.35">
      <c r="D3339" s="51"/>
      <c r="E3339" s="57"/>
      <c r="F3339" s="57"/>
      <c r="G3339" s="2"/>
    </row>
    <row r="3340" spans="4:7" customFormat="1" x14ac:dyDescent="0.35">
      <c r="D3340" s="51"/>
      <c r="E3340" s="57"/>
      <c r="F3340" s="57"/>
      <c r="G3340" s="2"/>
    </row>
    <row r="3341" spans="4:7" customFormat="1" x14ac:dyDescent="0.35">
      <c r="D3341" s="51"/>
      <c r="E3341" s="57"/>
      <c r="F3341" s="57"/>
      <c r="G3341" s="2"/>
    </row>
    <row r="3342" spans="4:7" customFormat="1" x14ac:dyDescent="0.35">
      <c r="D3342" s="51"/>
      <c r="E3342" s="57"/>
      <c r="F3342" s="57"/>
      <c r="G3342" s="2"/>
    </row>
    <row r="3343" spans="4:7" customFormat="1" x14ac:dyDescent="0.35">
      <c r="D3343" s="51"/>
      <c r="E3343" s="57"/>
      <c r="F3343" s="57"/>
      <c r="G3343" s="2"/>
    </row>
    <row r="3344" spans="4:7" customFormat="1" x14ac:dyDescent="0.35">
      <c r="D3344" s="51"/>
      <c r="E3344" s="57"/>
      <c r="F3344" s="57"/>
      <c r="G3344" s="2"/>
    </row>
    <row r="3345" spans="4:7" customFormat="1" x14ac:dyDescent="0.35">
      <c r="D3345" s="51"/>
      <c r="E3345" s="57"/>
      <c r="F3345" s="57"/>
      <c r="G3345" s="2"/>
    </row>
    <row r="3346" spans="4:7" customFormat="1" x14ac:dyDescent="0.35">
      <c r="D3346" s="51"/>
      <c r="E3346" s="57"/>
      <c r="F3346" s="57"/>
      <c r="G3346" s="2"/>
    </row>
    <row r="3347" spans="4:7" customFormat="1" x14ac:dyDescent="0.35">
      <c r="D3347" s="51"/>
      <c r="E3347" s="57"/>
      <c r="F3347" s="57"/>
      <c r="G3347" s="2"/>
    </row>
    <row r="3348" spans="4:7" customFormat="1" x14ac:dyDescent="0.35">
      <c r="D3348" s="51"/>
      <c r="E3348" s="57"/>
      <c r="F3348" s="57"/>
      <c r="G3348" s="2"/>
    </row>
    <row r="3349" spans="4:7" customFormat="1" x14ac:dyDescent="0.35">
      <c r="D3349" s="51"/>
      <c r="E3349" s="57"/>
      <c r="F3349" s="57"/>
      <c r="G3349" s="2"/>
    </row>
    <row r="3350" spans="4:7" customFormat="1" x14ac:dyDescent="0.35">
      <c r="D3350" s="51"/>
      <c r="E3350" s="57"/>
      <c r="F3350" s="57"/>
      <c r="G3350" s="2"/>
    </row>
    <row r="3351" spans="4:7" customFormat="1" x14ac:dyDescent="0.35">
      <c r="D3351" s="51"/>
      <c r="E3351" s="57"/>
      <c r="F3351" s="57"/>
      <c r="G3351" s="2"/>
    </row>
    <row r="3352" spans="4:7" customFormat="1" x14ac:dyDescent="0.35">
      <c r="D3352" s="51"/>
      <c r="E3352" s="57"/>
      <c r="F3352" s="57"/>
      <c r="G3352" s="2"/>
    </row>
    <row r="3353" spans="4:7" customFormat="1" x14ac:dyDescent="0.35">
      <c r="D3353" s="51"/>
      <c r="E3353" s="57"/>
      <c r="F3353" s="57"/>
      <c r="G3353" s="2"/>
    </row>
    <row r="3354" spans="4:7" customFormat="1" x14ac:dyDescent="0.35">
      <c r="D3354" s="51"/>
      <c r="E3354" s="57"/>
      <c r="F3354" s="57"/>
      <c r="G3354" s="2"/>
    </row>
    <row r="3355" spans="4:7" customFormat="1" x14ac:dyDescent="0.35">
      <c r="D3355" s="51"/>
      <c r="E3355" s="57"/>
      <c r="F3355" s="57"/>
      <c r="G3355" s="2"/>
    </row>
    <row r="3356" spans="4:7" customFormat="1" x14ac:dyDescent="0.35">
      <c r="D3356" s="51"/>
      <c r="E3356" s="57"/>
      <c r="F3356" s="57"/>
      <c r="G3356" s="2"/>
    </row>
    <row r="3357" spans="4:7" customFormat="1" x14ac:dyDescent="0.35">
      <c r="D3357" s="51"/>
      <c r="E3357" s="57"/>
      <c r="F3357" s="57"/>
      <c r="G3357" s="2"/>
    </row>
    <row r="3358" spans="4:7" customFormat="1" x14ac:dyDescent="0.35">
      <c r="D3358" s="51"/>
      <c r="E3358" s="57"/>
      <c r="F3358" s="57"/>
      <c r="G3358" s="2"/>
    </row>
    <row r="3359" spans="4:7" customFormat="1" x14ac:dyDescent="0.35">
      <c r="D3359" s="51"/>
      <c r="E3359" s="57"/>
      <c r="F3359" s="57"/>
      <c r="G3359" s="2"/>
    </row>
    <row r="3360" spans="4:7" customFormat="1" x14ac:dyDescent="0.35">
      <c r="D3360" s="51"/>
      <c r="E3360" s="57"/>
      <c r="F3360" s="57"/>
      <c r="G3360" s="2"/>
    </row>
    <row r="3361" spans="4:7" customFormat="1" x14ac:dyDescent="0.35">
      <c r="D3361" s="51"/>
      <c r="E3361" s="57"/>
      <c r="F3361" s="57"/>
      <c r="G3361" s="2"/>
    </row>
    <row r="3362" spans="4:7" customFormat="1" x14ac:dyDescent="0.35">
      <c r="D3362" s="51"/>
      <c r="E3362" s="57"/>
      <c r="F3362" s="57"/>
      <c r="G3362" s="2"/>
    </row>
    <row r="3363" spans="4:7" customFormat="1" x14ac:dyDescent="0.35">
      <c r="D3363" s="51"/>
      <c r="E3363" s="57"/>
      <c r="F3363" s="57"/>
      <c r="G3363" s="2"/>
    </row>
    <row r="3364" spans="4:7" customFormat="1" x14ac:dyDescent="0.35">
      <c r="D3364" s="51"/>
      <c r="E3364" s="57"/>
      <c r="F3364" s="57"/>
      <c r="G3364" s="2"/>
    </row>
    <row r="3365" spans="4:7" customFormat="1" x14ac:dyDescent="0.35">
      <c r="D3365" s="51"/>
      <c r="E3365" s="57"/>
      <c r="F3365" s="57"/>
      <c r="G3365" s="2"/>
    </row>
    <row r="3366" spans="4:7" customFormat="1" x14ac:dyDescent="0.35">
      <c r="D3366" s="51"/>
      <c r="E3366" s="57"/>
      <c r="F3366" s="57"/>
      <c r="G3366" s="2"/>
    </row>
    <row r="3367" spans="4:7" customFormat="1" x14ac:dyDescent="0.35">
      <c r="D3367" s="51"/>
      <c r="E3367" s="57"/>
      <c r="F3367" s="57"/>
      <c r="G3367" s="2"/>
    </row>
    <row r="3368" spans="4:7" customFormat="1" x14ac:dyDescent="0.35">
      <c r="D3368" s="51"/>
      <c r="E3368" s="57"/>
      <c r="F3368" s="57"/>
      <c r="G3368" s="2"/>
    </row>
    <row r="3369" spans="4:7" customFormat="1" x14ac:dyDescent="0.35">
      <c r="D3369" s="51"/>
      <c r="E3369" s="57"/>
      <c r="F3369" s="57"/>
      <c r="G3369" s="2"/>
    </row>
    <row r="3370" spans="4:7" customFormat="1" x14ac:dyDescent="0.35">
      <c r="D3370" s="51"/>
      <c r="E3370" s="57"/>
      <c r="F3370" s="57"/>
      <c r="G3370" s="2"/>
    </row>
    <row r="3371" spans="4:7" customFormat="1" x14ac:dyDescent="0.35">
      <c r="D3371" s="51"/>
      <c r="E3371" s="57"/>
      <c r="F3371" s="57"/>
      <c r="G3371" s="2"/>
    </row>
    <row r="3372" spans="4:7" customFormat="1" x14ac:dyDescent="0.35">
      <c r="D3372" s="51"/>
      <c r="E3372" s="57"/>
      <c r="F3372" s="57"/>
      <c r="G3372" s="2"/>
    </row>
    <row r="3373" spans="4:7" customFormat="1" x14ac:dyDescent="0.35">
      <c r="D3373" s="51"/>
      <c r="E3373" s="57"/>
      <c r="F3373" s="57"/>
      <c r="G3373" s="2"/>
    </row>
    <row r="3374" spans="4:7" customFormat="1" x14ac:dyDescent="0.35">
      <c r="D3374" s="51"/>
      <c r="E3374" s="57"/>
      <c r="F3374" s="57"/>
      <c r="G3374" s="2"/>
    </row>
    <row r="3375" spans="4:7" customFormat="1" x14ac:dyDescent="0.35">
      <c r="D3375" s="51"/>
      <c r="E3375" s="57"/>
      <c r="F3375" s="57"/>
      <c r="G3375" s="2"/>
    </row>
    <row r="3376" spans="4:7" customFormat="1" x14ac:dyDescent="0.35">
      <c r="D3376" s="51"/>
      <c r="E3376" s="57"/>
      <c r="F3376" s="57"/>
      <c r="G3376" s="2"/>
    </row>
    <row r="3377" spans="4:7" customFormat="1" x14ac:dyDescent="0.35">
      <c r="D3377" s="51"/>
      <c r="E3377" s="57"/>
      <c r="F3377" s="57"/>
      <c r="G3377" s="2"/>
    </row>
    <row r="3378" spans="4:7" customFormat="1" x14ac:dyDescent="0.35">
      <c r="D3378" s="51"/>
      <c r="E3378" s="57"/>
      <c r="F3378" s="57"/>
      <c r="G3378" s="2"/>
    </row>
    <row r="3379" spans="4:7" customFormat="1" x14ac:dyDescent="0.35">
      <c r="D3379" s="51"/>
      <c r="E3379" s="57"/>
      <c r="F3379" s="57"/>
      <c r="G3379" s="2"/>
    </row>
    <row r="3380" spans="4:7" customFormat="1" x14ac:dyDescent="0.35">
      <c r="D3380" s="51"/>
      <c r="E3380" s="57"/>
      <c r="F3380" s="57"/>
      <c r="G3380" s="2"/>
    </row>
    <row r="3381" spans="4:7" customFormat="1" x14ac:dyDescent="0.35">
      <c r="D3381" s="51"/>
      <c r="E3381" s="57"/>
      <c r="F3381" s="57"/>
      <c r="G3381" s="2"/>
    </row>
    <row r="3382" spans="4:7" customFormat="1" x14ac:dyDescent="0.35">
      <c r="D3382" s="51"/>
      <c r="E3382" s="57"/>
      <c r="F3382" s="57"/>
      <c r="G3382" s="2"/>
    </row>
    <row r="3383" spans="4:7" customFormat="1" x14ac:dyDescent="0.35">
      <c r="D3383" s="51"/>
      <c r="E3383" s="57"/>
      <c r="F3383" s="57"/>
      <c r="G3383" s="2"/>
    </row>
    <row r="3384" spans="4:7" customFormat="1" x14ac:dyDescent="0.35">
      <c r="D3384" s="51"/>
      <c r="E3384" s="57"/>
      <c r="F3384" s="57"/>
      <c r="G3384" s="2"/>
    </row>
    <row r="3385" spans="4:7" customFormat="1" x14ac:dyDescent="0.35">
      <c r="D3385" s="51"/>
      <c r="E3385" s="57"/>
      <c r="F3385" s="57"/>
      <c r="G3385" s="2"/>
    </row>
    <row r="3386" spans="4:7" customFormat="1" x14ac:dyDescent="0.35">
      <c r="D3386" s="51"/>
      <c r="E3386" s="57"/>
      <c r="F3386" s="57"/>
      <c r="G3386" s="2"/>
    </row>
    <row r="3387" spans="4:7" customFormat="1" x14ac:dyDescent="0.35">
      <c r="D3387" s="51"/>
      <c r="E3387" s="57"/>
      <c r="F3387" s="57"/>
      <c r="G3387" s="2"/>
    </row>
    <row r="3388" spans="4:7" customFormat="1" x14ac:dyDescent="0.35">
      <c r="D3388" s="51"/>
      <c r="E3388" s="57"/>
      <c r="F3388" s="57"/>
      <c r="G3388" s="2"/>
    </row>
    <row r="3389" spans="4:7" customFormat="1" x14ac:dyDescent="0.35">
      <c r="D3389" s="51"/>
      <c r="E3389" s="57"/>
      <c r="F3389" s="57"/>
      <c r="G3389" s="2"/>
    </row>
    <row r="3390" spans="4:7" customFormat="1" x14ac:dyDescent="0.35">
      <c r="D3390" s="51"/>
      <c r="E3390" s="57"/>
      <c r="F3390" s="57"/>
      <c r="G3390" s="2"/>
    </row>
    <row r="3391" spans="4:7" customFormat="1" x14ac:dyDescent="0.35">
      <c r="D3391" s="51"/>
      <c r="E3391" s="57"/>
      <c r="F3391" s="57"/>
      <c r="G3391" s="2"/>
    </row>
    <row r="3392" spans="4:7" customFormat="1" x14ac:dyDescent="0.35">
      <c r="D3392" s="51"/>
      <c r="E3392" s="57"/>
      <c r="F3392" s="57"/>
      <c r="G3392" s="2"/>
    </row>
    <row r="3393" spans="4:7" customFormat="1" x14ac:dyDescent="0.35">
      <c r="D3393" s="51"/>
      <c r="E3393" s="57"/>
      <c r="F3393" s="57"/>
      <c r="G3393" s="2"/>
    </row>
    <row r="3394" spans="4:7" customFormat="1" x14ac:dyDescent="0.35">
      <c r="D3394" s="51"/>
      <c r="E3394" s="57"/>
      <c r="F3394" s="57"/>
      <c r="G3394" s="2"/>
    </row>
    <row r="3395" spans="4:7" customFormat="1" x14ac:dyDescent="0.35">
      <c r="D3395" s="51"/>
      <c r="E3395" s="57"/>
      <c r="F3395" s="57"/>
      <c r="G3395" s="2"/>
    </row>
    <row r="3396" spans="4:7" customFormat="1" x14ac:dyDescent="0.35">
      <c r="D3396" s="51"/>
      <c r="E3396" s="57"/>
      <c r="F3396" s="57"/>
      <c r="G3396" s="2"/>
    </row>
    <row r="3397" spans="4:7" customFormat="1" x14ac:dyDescent="0.35">
      <c r="D3397" s="51"/>
      <c r="E3397" s="57"/>
      <c r="F3397" s="57"/>
      <c r="G3397" s="2"/>
    </row>
    <row r="3398" spans="4:7" customFormat="1" x14ac:dyDescent="0.35">
      <c r="D3398" s="51"/>
      <c r="E3398" s="57"/>
      <c r="F3398" s="57"/>
      <c r="G3398" s="2"/>
    </row>
    <row r="3399" spans="4:7" customFormat="1" x14ac:dyDescent="0.35">
      <c r="D3399" s="51"/>
      <c r="E3399" s="57"/>
      <c r="F3399" s="57"/>
      <c r="G3399" s="2"/>
    </row>
    <row r="3400" spans="4:7" customFormat="1" x14ac:dyDescent="0.35">
      <c r="D3400" s="51"/>
      <c r="E3400" s="57"/>
      <c r="F3400" s="57"/>
      <c r="G3400" s="2"/>
    </row>
    <row r="3401" spans="4:7" customFormat="1" x14ac:dyDescent="0.35">
      <c r="D3401" s="51"/>
      <c r="E3401" s="57"/>
      <c r="F3401" s="57"/>
      <c r="G3401" s="2"/>
    </row>
    <row r="3402" spans="4:7" customFormat="1" x14ac:dyDescent="0.35">
      <c r="D3402" s="51"/>
      <c r="E3402" s="57"/>
      <c r="F3402" s="57"/>
      <c r="G3402" s="2"/>
    </row>
    <row r="3403" spans="4:7" customFormat="1" x14ac:dyDescent="0.35">
      <c r="D3403" s="51"/>
      <c r="E3403" s="57"/>
      <c r="F3403" s="57"/>
      <c r="G3403" s="2"/>
    </row>
    <row r="3404" spans="4:7" customFormat="1" x14ac:dyDescent="0.35">
      <c r="D3404" s="51"/>
      <c r="E3404" s="57"/>
      <c r="F3404" s="57"/>
      <c r="G3404" s="2"/>
    </row>
    <row r="3405" spans="4:7" customFormat="1" x14ac:dyDescent="0.35">
      <c r="D3405" s="51"/>
      <c r="E3405" s="57"/>
      <c r="F3405" s="57"/>
      <c r="G3405" s="2"/>
    </row>
    <row r="3406" spans="4:7" customFormat="1" x14ac:dyDescent="0.35">
      <c r="D3406" s="51"/>
      <c r="E3406" s="57"/>
      <c r="F3406" s="57"/>
      <c r="G3406" s="2"/>
    </row>
    <row r="3407" spans="4:7" customFormat="1" x14ac:dyDescent="0.35">
      <c r="D3407" s="51"/>
      <c r="E3407" s="57"/>
      <c r="F3407" s="57"/>
      <c r="G3407" s="2"/>
    </row>
    <row r="3408" spans="4:7" customFormat="1" x14ac:dyDescent="0.35">
      <c r="D3408" s="51"/>
      <c r="E3408" s="57"/>
      <c r="F3408" s="57"/>
      <c r="G3408" s="2"/>
    </row>
    <row r="3409" spans="4:7" customFormat="1" x14ac:dyDescent="0.35">
      <c r="D3409" s="51"/>
      <c r="E3409" s="57"/>
      <c r="F3409" s="57"/>
      <c r="G3409" s="2"/>
    </row>
    <row r="3410" spans="4:7" customFormat="1" x14ac:dyDescent="0.35">
      <c r="D3410" s="51"/>
      <c r="E3410" s="57"/>
      <c r="F3410" s="57"/>
      <c r="G3410" s="2"/>
    </row>
    <row r="3411" spans="4:7" customFormat="1" x14ac:dyDescent="0.35">
      <c r="D3411" s="51"/>
      <c r="E3411" s="57"/>
      <c r="F3411" s="57"/>
      <c r="G3411" s="2"/>
    </row>
    <row r="3412" spans="4:7" customFormat="1" x14ac:dyDescent="0.35">
      <c r="D3412" s="51"/>
      <c r="E3412" s="57"/>
      <c r="F3412" s="57"/>
      <c r="G3412" s="2"/>
    </row>
    <row r="3413" spans="4:7" customFormat="1" x14ac:dyDescent="0.35">
      <c r="D3413" s="51"/>
      <c r="E3413" s="57"/>
      <c r="F3413" s="57"/>
      <c r="G3413" s="2"/>
    </row>
    <row r="3414" spans="4:7" customFormat="1" x14ac:dyDescent="0.35">
      <c r="D3414" s="51"/>
      <c r="E3414" s="57"/>
      <c r="F3414" s="57"/>
      <c r="G3414" s="2"/>
    </row>
    <row r="3415" spans="4:7" customFormat="1" x14ac:dyDescent="0.35">
      <c r="D3415" s="51"/>
      <c r="E3415" s="57"/>
      <c r="F3415" s="57"/>
      <c r="G3415" s="2"/>
    </row>
    <row r="3416" spans="4:7" customFormat="1" x14ac:dyDescent="0.35">
      <c r="D3416" s="51"/>
      <c r="E3416" s="57"/>
      <c r="F3416" s="57"/>
      <c r="G3416" s="2"/>
    </row>
    <row r="3417" spans="4:7" customFormat="1" x14ac:dyDescent="0.35">
      <c r="D3417" s="51"/>
      <c r="E3417" s="57"/>
      <c r="F3417" s="57"/>
      <c r="G3417" s="2"/>
    </row>
    <row r="3418" spans="4:7" customFormat="1" x14ac:dyDescent="0.35">
      <c r="D3418" s="51"/>
      <c r="E3418" s="57"/>
      <c r="F3418" s="57"/>
      <c r="G3418" s="2"/>
    </row>
    <row r="3419" spans="4:7" customFormat="1" x14ac:dyDescent="0.35">
      <c r="D3419" s="51"/>
      <c r="E3419" s="57"/>
      <c r="F3419" s="57"/>
      <c r="G3419" s="2"/>
    </row>
    <row r="3420" spans="4:7" customFormat="1" x14ac:dyDescent="0.35">
      <c r="D3420" s="51"/>
      <c r="E3420" s="57"/>
      <c r="F3420" s="57"/>
      <c r="G3420" s="2"/>
    </row>
    <row r="3421" spans="4:7" customFormat="1" x14ac:dyDescent="0.35">
      <c r="D3421" s="51"/>
      <c r="E3421" s="57"/>
      <c r="F3421" s="57"/>
      <c r="G3421" s="2"/>
    </row>
    <row r="3422" spans="4:7" customFormat="1" x14ac:dyDescent="0.35">
      <c r="D3422" s="51"/>
      <c r="E3422" s="57"/>
      <c r="F3422" s="57"/>
      <c r="G3422" s="2"/>
    </row>
    <row r="3423" spans="4:7" customFormat="1" x14ac:dyDescent="0.35">
      <c r="D3423" s="51"/>
      <c r="E3423" s="57"/>
      <c r="F3423" s="57"/>
      <c r="G3423" s="2"/>
    </row>
    <row r="3424" spans="4:7" customFormat="1" x14ac:dyDescent="0.35">
      <c r="D3424" s="51"/>
      <c r="E3424" s="57"/>
      <c r="F3424" s="57"/>
      <c r="G3424" s="2"/>
    </row>
    <row r="3425" spans="4:7" customFormat="1" x14ac:dyDescent="0.35">
      <c r="D3425" s="51"/>
      <c r="E3425" s="57"/>
      <c r="F3425" s="57"/>
      <c r="G3425" s="2"/>
    </row>
    <row r="3426" spans="4:7" customFormat="1" x14ac:dyDescent="0.35">
      <c r="D3426" s="51"/>
      <c r="E3426" s="57"/>
      <c r="F3426" s="57"/>
      <c r="G3426" s="2"/>
    </row>
    <row r="3427" spans="4:7" customFormat="1" x14ac:dyDescent="0.35">
      <c r="D3427" s="51"/>
      <c r="E3427" s="57"/>
      <c r="F3427" s="57"/>
      <c r="G3427" s="2"/>
    </row>
    <row r="3428" spans="4:7" customFormat="1" x14ac:dyDescent="0.35">
      <c r="D3428" s="51"/>
      <c r="E3428" s="57"/>
      <c r="F3428" s="57"/>
      <c r="G3428" s="2"/>
    </row>
    <row r="3429" spans="4:7" customFormat="1" x14ac:dyDescent="0.35">
      <c r="D3429" s="51"/>
      <c r="E3429" s="57"/>
      <c r="F3429" s="57"/>
      <c r="G3429" s="2"/>
    </row>
    <row r="3430" spans="4:7" customFormat="1" x14ac:dyDescent="0.35">
      <c r="D3430" s="51"/>
      <c r="E3430" s="57"/>
      <c r="F3430" s="57"/>
      <c r="G3430" s="2"/>
    </row>
    <row r="3431" spans="4:7" customFormat="1" x14ac:dyDescent="0.35">
      <c r="D3431" s="51"/>
      <c r="E3431" s="57"/>
      <c r="F3431" s="57"/>
      <c r="G3431" s="2"/>
    </row>
    <row r="3432" spans="4:7" customFormat="1" x14ac:dyDescent="0.35">
      <c r="D3432" s="51"/>
      <c r="E3432" s="57"/>
      <c r="F3432" s="57"/>
      <c r="G3432" s="2"/>
    </row>
    <row r="3433" spans="4:7" customFormat="1" x14ac:dyDescent="0.35">
      <c r="D3433" s="51"/>
      <c r="E3433" s="57"/>
      <c r="F3433" s="57"/>
      <c r="G3433" s="2"/>
    </row>
    <row r="3434" spans="4:7" customFormat="1" x14ac:dyDescent="0.35">
      <c r="D3434" s="51"/>
      <c r="E3434" s="57"/>
      <c r="F3434" s="57"/>
      <c r="G3434" s="2"/>
    </row>
    <row r="3435" spans="4:7" customFormat="1" x14ac:dyDescent="0.35">
      <c r="D3435" s="51"/>
      <c r="E3435" s="57"/>
      <c r="F3435" s="57"/>
      <c r="G3435" s="2"/>
    </row>
    <row r="3436" spans="4:7" customFormat="1" x14ac:dyDescent="0.35">
      <c r="D3436" s="51"/>
      <c r="E3436" s="57"/>
      <c r="F3436" s="57"/>
      <c r="G3436" s="2"/>
    </row>
    <row r="3437" spans="4:7" customFormat="1" x14ac:dyDescent="0.35">
      <c r="D3437" s="51"/>
      <c r="E3437" s="57"/>
      <c r="F3437" s="57"/>
      <c r="G3437" s="2"/>
    </row>
    <row r="3438" spans="4:7" customFormat="1" x14ac:dyDescent="0.35">
      <c r="D3438" s="51"/>
      <c r="E3438" s="57"/>
      <c r="F3438" s="57"/>
      <c r="G3438" s="2"/>
    </row>
    <row r="3439" spans="4:7" customFormat="1" x14ac:dyDescent="0.35">
      <c r="D3439" s="51"/>
      <c r="E3439" s="57"/>
      <c r="F3439" s="57"/>
      <c r="G3439" s="2"/>
    </row>
    <row r="3440" spans="4:7" customFormat="1" x14ac:dyDescent="0.35">
      <c r="D3440" s="51"/>
      <c r="E3440" s="57"/>
      <c r="F3440" s="57"/>
      <c r="G3440" s="2"/>
    </row>
    <row r="3441" spans="4:7" customFormat="1" x14ac:dyDescent="0.35">
      <c r="D3441" s="51"/>
      <c r="E3441" s="57"/>
      <c r="F3441" s="57"/>
      <c r="G3441" s="2"/>
    </row>
    <row r="3442" spans="4:7" customFormat="1" x14ac:dyDescent="0.35">
      <c r="D3442" s="51"/>
      <c r="E3442" s="57"/>
      <c r="F3442" s="57"/>
      <c r="G3442" s="2"/>
    </row>
    <row r="3443" spans="4:7" customFormat="1" x14ac:dyDescent="0.35">
      <c r="D3443" s="51"/>
      <c r="E3443" s="57"/>
      <c r="F3443" s="57"/>
      <c r="G3443" s="2"/>
    </row>
    <row r="3444" spans="4:7" customFormat="1" x14ac:dyDescent="0.35">
      <c r="D3444" s="51"/>
      <c r="E3444" s="57"/>
      <c r="F3444" s="57"/>
      <c r="G3444" s="2"/>
    </row>
    <row r="3445" spans="4:7" customFormat="1" x14ac:dyDescent="0.35">
      <c r="D3445" s="51"/>
      <c r="E3445" s="57"/>
      <c r="F3445" s="57"/>
      <c r="G3445" s="2"/>
    </row>
    <row r="3446" spans="4:7" customFormat="1" x14ac:dyDescent="0.35">
      <c r="D3446" s="51"/>
      <c r="E3446" s="57"/>
      <c r="F3446" s="57"/>
      <c r="G3446" s="2"/>
    </row>
    <row r="3447" spans="4:7" customFormat="1" x14ac:dyDescent="0.35">
      <c r="D3447" s="51"/>
      <c r="E3447" s="57"/>
      <c r="F3447" s="57"/>
      <c r="G3447" s="2"/>
    </row>
    <row r="3448" spans="4:7" customFormat="1" x14ac:dyDescent="0.35">
      <c r="D3448" s="51"/>
      <c r="E3448" s="57"/>
      <c r="F3448" s="57"/>
      <c r="G3448" s="2"/>
    </row>
    <row r="3449" spans="4:7" customFormat="1" x14ac:dyDescent="0.35">
      <c r="D3449" s="51"/>
      <c r="E3449" s="57"/>
      <c r="F3449" s="57"/>
      <c r="G3449" s="2"/>
    </row>
    <row r="3450" spans="4:7" customFormat="1" x14ac:dyDescent="0.35">
      <c r="D3450" s="51"/>
      <c r="E3450" s="57"/>
      <c r="F3450" s="57"/>
      <c r="G3450" s="2"/>
    </row>
    <row r="3451" spans="4:7" customFormat="1" x14ac:dyDescent="0.35">
      <c r="D3451" s="51"/>
      <c r="E3451" s="57"/>
      <c r="F3451" s="57"/>
      <c r="G3451" s="2"/>
    </row>
    <row r="3452" spans="4:7" customFormat="1" x14ac:dyDescent="0.35">
      <c r="D3452" s="51"/>
      <c r="E3452" s="57"/>
      <c r="F3452" s="57"/>
      <c r="G3452" s="2"/>
    </row>
    <row r="3453" spans="4:7" customFormat="1" x14ac:dyDescent="0.35">
      <c r="D3453" s="51"/>
      <c r="E3453" s="57"/>
      <c r="F3453" s="57"/>
      <c r="G3453" s="2"/>
    </row>
    <row r="3454" spans="4:7" customFormat="1" x14ac:dyDescent="0.35">
      <c r="D3454" s="51"/>
      <c r="E3454" s="57"/>
      <c r="F3454" s="57"/>
      <c r="G3454" s="2"/>
    </row>
    <row r="3455" spans="4:7" customFormat="1" x14ac:dyDescent="0.35">
      <c r="D3455" s="51"/>
      <c r="E3455" s="57"/>
      <c r="F3455" s="57"/>
      <c r="G3455" s="2"/>
    </row>
    <row r="3456" spans="4:7" customFormat="1" x14ac:dyDescent="0.35">
      <c r="D3456" s="51"/>
      <c r="E3456" s="57"/>
      <c r="F3456" s="57"/>
      <c r="G3456" s="2"/>
    </row>
    <row r="3457" spans="4:7" customFormat="1" x14ac:dyDescent="0.35">
      <c r="D3457" s="51"/>
      <c r="E3457" s="57"/>
      <c r="F3457" s="57"/>
      <c r="G3457" s="2"/>
    </row>
    <row r="3458" spans="4:7" customFormat="1" x14ac:dyDescent="0.35">
      <c r="D3458" s="51"/>
      <c r="E3458" s="57"/>
      <c r="F3458" s="57"/>
      <c r="G3458" s="2"/>
    </row>
    <row r="3459" spans="4:7" customFormat="1" x14ac:dyDescent="0.35">
      <c r="D3459" s="51"/>
      <c r="E3459" s="57"/>
      <c r="F3459" s="57"/>
      <c r="G3459" s="2"/>
    </row>
    <row r="3460" spans="4:7" customFormat="1" x14ac:dyDescent="0.35">
      <c r="D3460" s="51"/>
      <c r="E3460" s="57"/>
      <c r="F3460" s="57"/>
      <c r="G3460" s="2"/>
    </row>
    <row r="3461" spans="4:7" customFormat="1" x14ac:dyDescent="0.35">
      <c r="D3461" s="51"/>
      <c r="E3461" s="57"/>
      <c r="F3461" s="57"/>
      <c r="G3461" s="2"/>
    </row>
    <row r="3462" spans="4:7" customFormat="1" x14ac:dyDescent="0.35">
      <c r="D3462" s="51"/>
      <c r="E3462" s="57"/>
      <c r="F3462" s="57"/>
      <c r="G3462" s="2"/>
    </row>
    <row r="3463" spans="4:7" customFormat="1" x14ac:dyDescent="0.35">
      <c r="D3463" s="51"/>
      <c r="E3463" s="57"/>
      <c r="F3463" s="57"/>
      <c r="G3463" s="2"/>
    </row>
    <row r="3464" spans="4:7" customFormat="1" x14ac:dyDescent="0.35">
      <c r="D3464" s="51"/>
      <c r="E3464" s="57"/>
      <c r="F3464" s="57"/>
      <c r="G3464" s="2"/>
    </row>
    <row r="3465" spans="4:7" customFormat="1" x14ac:dyDescent="0.35">
      <c r="D3465" s="51"/>
      <c r="E3465" s="57"/>
      <c r="F3465" s="57"/>
      <c r="G3465" s="2"/>
    </row>
    <row r="3466" spans="4:7" customFormat="1" x14ac:dyDescent="0.35">
      <c r="D3466" s="51"/>
      <c r="E3466" s="57"/>
      <c r="F3466" s="57"/>
      <c r="G3466" s="2"/>
    </row>
    <row r="3467" spans="4:7" customFormat="1" x14ac:dyDescent="0.35">
      <c r="D3467" s="51"/>
      <c r="E3467" s="57"/>
      <c r="F3467" s="57"/>
      <c r="G3467" s="2"/>
    </row>
    <row r="3468" spans="4:7" customFormat="1" x14ac:dyDescent="0.35">
      <c r="D3468" s="51"/>
      <c r="E3468" s="57"/>
      <c r="F3468" s="57"/>
      <c r="G3468" s="2"/>
    </row>
    <row r="3469" spans="4:7" customFormat="1" x14ac:dyDescent="0.35">
      <c r="D3469" s="51"/>
      <c r="E3469" s="57"/>
      <c r="F3469" s="57"/>
      <c r="G3469" s="2"/>
    </row>
    <row r="3470" spans="4:7" customFormat="1" x14ac:dyDescent="0.35">
      <c r="D3470" s="51"/>
      <c r="E3470" s="57"/>
      <c r="F3470" s="57"/>
      <c r="G3470" s="2"/>
    </row>
    <row r="3471" spans="4:7" customFormat="1" x14ac:dyDescent="0.35">
      <c r="D3471" s="51"/>
      <c r="E3471" s="57"/>
      <c r="F3471" s="57"/>
      <c r="G3471" s="2"/>
    </row>
    <row r="3472" spans="4:7" customFormat="1" x14ac:dyDescent="0.35">
      <c r="D3472" s="51"/>
      <c r="E3472" s="57"/>
      <c r="F3472" s="57"/>
      <c r="G3472" s="2"/>
    </row>
    <row r="3473" spans="4:7" customFormat="1" x14ac:dyDescent="0.35">
      <c r="D3473" s="51"/>
      <c r="E3473" s="57"/>
      <c r="F3473" s="57"/>
      <c r="G3473" s="2"/>
    </row>
    <row r="3474" spans="4:7" customFormat="1" x14ac:dyDescent="0.35">
      <c r="D3474" s="51"/>
      <c r="E3474" s="57"/>
      <c r="F3474" s="57"/>
      <c r="G3474" s="2"/>
    </row>
    <row r="3475" spans="4:7" customFormat="1" x14ac:dyDescent="0.35">
      <c r="D3475" s="51"/>
      <c r="E3475" s="57"/>
      <c r="F3475" s="57"/>
      <c r="G3475" s="2"/>
    </row>
    <row r="3476" spans="4:7" customFormat="1" x14ac:dyDescent="0.35">
      <c r="D3476" s="51"/>
      <c r="E3476" s="57"/>
      <c r="F3476" s="57"/>
      <c r="G3476" s="2"/>
    </row>
    <row r="3477" spans="4:7" customFormat="1" x14ac:dyDescent="0.35">
      <c r="D3477" s="51"/>
      <c r="E3477" s="57"/>
      <c r="F3477" s="57"/>
      <c r="G3477" s="2"/>
    </row>
    <row r="3478" spans="4:7" customFormat="1" x14ac:dyDescent="0.35">
      <c r="D3478" s="51"/>
      <c r="E3478" s="57"/>
      <c r="F3478" s="57"/>
      <c r="G3478" s="2"/>
    </row>
    <row r="3479" spans="4:7" customFormat="1" x14ac:dyDescent="0.35">
      <c r="D3479" s="51"/>
      <c r="E3479" s="57"/>
      <c r="F3479" s="57"/>
      <c r="G3479" s="2"/>
    </row>
    <row r="3480" spans="4:7" customFormat="1" x14ac:dyDescent="0.35">
      <c r="D3480" s="51"/>
      <c r="E3480" s="57"/>
      <c r="F3480" s="57"/>
      <c r="G3480" s="2"/>
    </row>
    <row r="3481" spans="4:7" customFormat="1" x14ac:dyDescent="0.35">
      <c r="D3481" s="51"/>
      <c r="E3481" s="57"/>
      <c r="F3481" s="57"/>
      <c r="G3481" s="2"/>
    </row>
    <row r="3482" spans="4:7" customFormat="1" x14ac:dyDescent="0.35">
      <c r="D3482" s="51"/>
      <c r="E3482" s="57"/>
      <c r="F3482" s="57"/>
      <c r="G3482" s="2"/>
    </row>
    <row r="3483" spans="4:7" customFormat="1" x14ac:dyDescent="0.35">
      <c r="D3483" s="51"/>
      <c r="E3483" s="57"/>
      <c r="F3483" s="57"/>
      <c r="G3483" s="2"/>
    </row>
    <row r="3484" spans="4:7" customFormat="1" x14ac:dyDescent="0.35">
      <c r="D3484" s="51"/>
      <c r="E3484" s="57"/>
      <c r="F3484" s="57"/>
      <c r="G3484" s="2"/>
    </row>
    <row r="3485" spans="4:7" customFormat="1" x14ac:dyDescent="0.35">
      <c r="D3485" s="51"/>
      <c r="E3485" s="57"/>
      <c r="F3485" s="57"/>
      <c r="G3485" s="2"/>
    </row>
    <row r="3486" spans="4:7" customFormat="1" x14ac:dyDescent="0.35">
      <c r="D3486" s="51"/>
      <c r="E3486" s="57"/>
      <c r="F3486" s="57"/>
      <c r="G3486" s="2"/>
    </row>
    <row r="3487" spans="4:7" customFormat="1" x14ac:dyDescent="0.35">
      <c r="D3487" s="51"/>
      <c r="E3487" s="57"/>
      <c r="F3487" s="57"/>
      <c r="G3487" s="2"/>
    </row>
    <row r="3488" spans="4:7" customFormat="1" x14ac:dyDescent="0.35">
      <c r="D3488" s="51"/>
      <c r="E3488" s="57"/>
      <c r="F3488" s="57"/>
      <c r="G3488" s="2"/>
    </row>
    <row r="3489" spans="4:7" customFormat="1" x14ac:dyDescent="0.35">
      <c r="D3489" s="51"/>
      <c r="E3489" s="57"/>
      <c r="F3489" s="57"/>
      <c r="G3489" s="2"/>
    </row>
    <row r="3490" spans="4:7" customFormat="1" x14ac:dyDescent="0.35">
      <c r="D3490" s="51"/>
      <c r="E3490" s="57"/>
      <c r="F3490" s="57"/>
      <c r="G3490" s="2"/>
    </row>
    <row r="3491" spans="4:7" customFormat="1" x14ac:dyDescent="0.35">
      <c r="D3491" s="51"/>
      <c r="E3491" s="57"/>
      <c r="F3491" s="57"/>
      <c r="G3491" s="2"/>
    </row>
    <row r="3492" spans="4:7" customFormat="1" x14ac:dyDescent="0.35">
      <c r="D3492" s="51"/>
      <c r="E3492" s="57"/>
      <c r="F3492" s="57"/>
      <c r="G3492" s="2"/>
    </row>
    <row r="3493" spans="4:7" customFormat="1" x14ac:dyDescent="0.35">
      <c r="D3493" s="51"/>
      <c r="E3493" s="57"/>
      <c r="F3493" s="57"/>
      <c r="G3493" s="2"/>
    </row>
    <row r="3494" spans="4:7" customFormat="1" x14ac:dyDescent="0.35">
      <c r="D3494" s="51"/>
      <c r="E3494" s="57"/>
      <c r="F3494" s="57"/>
      <c r="G3494" s="2"/>
    </row>
    <row r="3495" spans="4:7" customFormat="1" x14ac:dyDescent="0.35">
      <c r="D3495" s="51"/>
      <c r="E3495" s="57"/>
      <c r="F3495" s="57"/>
      <c r="G3495" s="2"/>
    </row>
    <row r="3496" spans="4:7" customFormat="1" x14ac:dyDescent="0.35">
      <c r="D3496" s="51"/>
      <c r="E3496" s="57"/>
      <c r="F3496" s="57"/>
      <c r="G3496" s="2"/>
    </row>
    <row r="3497" spans="4:7" customFormat="1" x14ac:dyDescent="0.35">
      <c r="D3497" s="51"/>
      <c r="E3497" s="57"/>
      <c r="F3497" s="57"/>
      <c r="G3497" s="2"/>
    </row>
    <row r="3498" spans="4:7" customFormat="1" x14ac:dyDescent="0.35">
      <c r="D3498" s="51"/>
      <c r="E3498" s="57"/>
      <c r="F3498" s="57"/>
      <c r="G3498" s="2"/>
    </row>
    <row r="3499" spans="4:7" customFormat="1" x14ac:dyDescent="0.35">
      <c r="D3499" s="51"/>
      <c r="E3499" s="57"/>
      <c r="F3499" s="57"/>
      <c r="G3499" s="2"/>
    </row>
    <row r="3500" spans="4:7" customFormat="1" x14ac:dyDescent="0.35">
      <c r="D3500" s="51"/>
      <c r="E3500" s="57"/>
      <c r="F3500" s="57"/>
      <c r="G3500" s="2"/>
    </row>
    <row r="3501" spans="4:7" customFormat="1" x14ac:dyDescent="0.35">
      <c r="D3501" s="51"/>
      <c r="E3501" s="57"/>
      <c r="F3501" s="57"/>
      <c r="G3501" s="2"/>
    </row>
    <row r="3502" spans="4:7" customFormat="1" x14ac:dyDescent="0.35">
      <c r="D3502" s="51"/>
      <c r="E3502" s="57"/>
      <c r="F3502" s="57"/>
      <c r="G3502" s="2"/>
    </row>
    <row r="3503" spans="4:7" customFormat="1" x14ac:dyDescent="0.35">
      <c r="D3503" s="51"/>
      <c r="E3503" s="57"/>
      <c r="F3503" s="57"/>
      <c r="G3503" s="2"/>
    </row>
    <row r="3504" spans="4:7" customFormat="1" x14ac:dyDescent="0.35">
      <c r="D3504" s="51"/>
      <c r="E3504" s="57"/>
      <c r="F3504" s="57"/>
      <c r="G3504" s="2"/>
    </row>
    <row r="3505" spans="4:7" customFormat="1" x14ac:dyDescent="0.35">
      <c r="D3505" s="51"/>
      <c r="E3505" s="57"/>
      <c r="F3505" s="57"/>
      <c r="G3505" s="2"/>
    </row>
    <row r="3506" spans="4:7" customFormat="1" x14ac:dyDescent="0.35">
      <c r="D3506" s="51"/>
      <c r="E3506" s="57"/>
      <c r="F3506" s="57"/>
      <c r="G3506" s="2"/>
    </row>
    <row r="3507" spans="4:7" customFormat="1" x14ac:dyDescent="0.35">
      <c r="D3507" s="51"/>
      <c r="E3507" s="57"/>
      <c r="F3507" s="57"/>
      <c r="G3507" s="2"/>
    </row>
    <row r="3508" spans="4:7" customFormat="1" x14ac:dyDescent="0.35">
      <c r="D3508" s="51"/>
      <c r="E3508" s="57"/>
      <c r="F3508" s="57"/>
      <c r="G3508" s="2"/>
    </row>
    <row r="3509" spans="4:7" customFormat="1" x14ac:dyDescent="0.35">
      <c r="D3509" s="51"/>
      <c r="E3509" s="57"/>
      <c r="F3509" s="57"/>
      <c r="G3509" s="2"/>
    </row>
    <row r="3510" spans="4:7" customFormat="1" x14ac:dyDescent="0.35">
      <c r="D3510" s="51"/>
      <c r="E3510" s="57"/>
      <c r="F3510" s="57"/>
      <c r="G3510" s="2"/>
    </row>
    <row r="3511" spans="4:7" customFormat="1" x14ac:dyDescent="0.35">
      <c r="D3511" s="51"/>
      <c r="E3511" s="57"/>
      <c r="F3511" s="57"/>
      <c r="G3511" s="2"/>
    </row>
    <row r="3512" spans="4:7" customFormat="1" x14ac:dyDescent="0.35">
      <c r="D3512" s="51"/>
      <c r="E3512" s="57"/>
      <c r="F3512" s="57"/>
      <c r="G3512" s="2"/>
    </row>
    <row r="3513" spans="4:7" customFormat="1" x14ac:dyDescent="0.35">
      <c r="D3513" s="51"/>
      <c r="E3513" s="57"/>
      <c r="F3513" s="57"/>
      <c r="G3513" s="2"/>
    </row>
    <row r="3514" spans="4:7" customFormat="1" x14ac:dyDescent="0.35">
      <c r="D3514" s="51"/>
      <c r="E3514" s="57"/>
      <c r="F3514" s="57"/>
      <c r="G3514" s="2"/>
    </row>
    <row r="3515" spans="4:7" customFormat="1" x14ac:dyDescent="0.35">
      <c r="D3515" s="51"/>
      <c r="E3515" s="57"/>
      <c r="F3515" s="57"/>
      <c r="G3515" s="2"/>
    </row>
    <row r="3516" spans="4:7" customFormat="1" x14ac:dyDescent="0.35">
      <c r="D3516" s="51"/>
      <c r="E3516" s="57"/>
      <c r="F3516" s="57"/>
      <c r="G3516" s="2"/>
    </row>
    <row r="3517" spans="4:7" customFormat="1" x14ac:dyDescent="0.35">
      <c r="D3517" s="51"/>
      <c r="E3517" s="57"/>
      <c r="F3517" s="57"/>
      <c r="G3517" s="2"/>
    </row>
    <row r="3518" spans="4:7" customFormat="1" x14ac:dyDescent="0.35">
      <c r="D3518" s="51"/>
      <c r="E3518" s="57"/>
      <c r="F3518" s="57"/>
      <c r="G3518" s="2"/>
    </row>
    <row r="3519" spans="4:7" customFormat="1" x14ac:dyDescent="0.35">
      <c r="D3519" s="51"/>
      <c r="E3519" s="57"/>
      <c r="F3519" s="57"/>
      <c r="G3519" s="2"/>
    </row>
    <row r="3520" spans="4:7" customFormat="1" x14ac:dyDescent="0.35">
      <c r="D3520" s="51"/>
      <c r="E3520" s="57"/>
      <c r="F3520" s="57"/>
      <c r="G3520" s="2"/>
    </row>
    <row r="3521" spans="4:7" customFormat="1" x14ac:dyDescent="0.35">
      <c r="D3521" s="51"/>
      <c r="E3521" s="57"/>
      <c r="F3521" s="57"/>
      <c r="G3521" s="2"/>
    </row>
    <row r="3522" spans="4:7" customFormat="1" x14ac:dyDescent="0.35">
      <c r="D3522" s="51"/>
      <c r="E3522" s="57"/>
      <c r="F3522" s="57"/>
      <c r="G3522" s="2"/>
    </row>
    <row r="3523" spans="4:7" customFormat="1" x14ac:dyDescent="0.35">
      <c r="D3523" s="51"/>
      <c r="E3523" s="57"/>
      <c r="F3523" s="57"/>
      <c r="G3523" s="2"/>
    </row>
    <row r="3524" spans="4:7" customFormat="1" x14ac:dyDescent="0.35">
      <c r="D3524" s="51"/>
      <c r="E3524" s="57"/>
      <c r="F3524" s="57"/>
      <c r="G3524" s="2"/>
    </row>
    <row r="3525" spans="4:7" customFormat="1" x14ac:dyDescent="0.35">
      <c r="D3525" s="51"/>
      <c r="E3525" s="57"/>
      <c r="F3525" s="57"/>
      <c r="G3525" s="2"/>
    </row>
    <row r="3526" spans="4:7" customFormat="1" x14ac:dyDescent="0.35">
      <c r="D3526" s="51"/>
      <c r="E3526" s="57"/>
      <c r="F3526" s="57"/>
      <c r="G3526" s="2"/>
    </row>
    <row r="3527" spans="4:7" customFormat="1" x14ac:dyDescent="0.35">
      <c r="D3527" s="51"/>
      <c r="E3527" s="57"/>
      <c r="F3527" s="57"/>
      <c r="G3527" s="2"/>
    </row>
    <row r="3528" spans="4:7" customFormat="1" x14ac:dyDescent="0.35">
      <c r="D3528" s="51"/>
      <c r="E3528" s="57"/>
      <c r="F3528" s="57"/>
      <c r="G3528" s="2"/>
    </row>
    <row r="3529" spans="4:7" customFormat="1" x14ac:dyDescent="0.35">
      <c r="D3529" s="51"/>
      <c r="E3529" s="57"/>
      <c r="F3529" s="57"/>
      <c r="G3529" s="2"/>
    </row>
    <row r="3530" spans="4:7" customFormat="1" x14ac:dyDescent="0.35">
      <c r="D3530" s="51"/>
      <c r="E3530" s="57"/>
      <c r="F3530" s="57"/>
      <c r="G3530" s="2"/>
    </row>
    <row r="3531" spans="4:7" customFormat="1" x14ac:dyDescent="0.35">
      <c r="D3531" s="51"/>
      <c r="E3531" s="57"/>
      <c r="F3531" s="57"/>
      <c r="G3531" s="2"/>
    </row>
    <row r="3532" spans="4:7" customFormat="1" x14ac:dyDescent="0.35">
      <c r="D3532" s="51"/>
      <c r="E3532" s="57"/>
      <c r="F3532" s="57"/>
      <c r="G3532" s="2"/>
    </row>
    <row r="3533" spans="4:7" customFormat="1" x14ac:dyDescent="0.35">
      <c r="D3533" s="51"/>
      <c r="E3533" s="57"/>
      <c r="F3533" s="57"/>
      <c r="G3533" s="2"/>
    </row>
    <row r="3534" spans="4:7" customFormat="1" x14ac:dyDescent="0.35">
      <c r="D3534" s="51"/>
      <c r="E3534" s="57"/>
      <c r="F3534" s="57"/>
      <c r="G3534" s="2"/>
    </row>
    <row r="3535" spans="4:7" customFormat="1" x14ac:dyDescent="0.35">
      <c r="D3535" s="51"/>
      <c r="E3535" s="57"/>
      <c r="F3535" s="57"/>
      <c r="G3535" s="2"/>
    </row>
    <row r="3536" spans="4:7" customFormat="1" x14ac:dyDescent="0.35">
      <c r="D3536" s="51"/>
      <c r="E3536" s="57"/>
      <c r="F3536" s="57"/>
      <c r="G3536" s="2"/>
    </row>
    <row r="3537" spans="4:7" customFormat="1" x14ac:dyDescent="0.35">
      <c r="D3537" s="51"/>
      <c r="E3537" s="57"/>
      <c r="F3537" s="57"/>
      <c r="G3537" s="2"/>
    </row>
    <row r="3538" spans="4:7" customFormat="1" x14ac:dyDescent="0.35">
      <c r="D3538" s="51"/>
      <c r="E3538" s="57"/>
      <c r="F3538" s="57"/>
      <c r="G3538" s="2"/>
    </row>
    <row r="3539" spans="4:7" customFormat="1" x14ac:dyDescent="0.35">
      <c r="D3539" s="51"/>
      <c r="E3539" s="57"/>
      <c r="F3539" s="57"/>
      <c r="G3539" s="2"/>
    </row>
    <row r="3540" spans="4:7" customFormat="1" x14ac:dyDescent="0.35">
      <c r="D3540" s="51"/>
      <c r="E3540" s="57"/>
      <c r="F3540" s="57"/>
      <c r="G3540" s="2"/>
    </row>
    <row r="3541" spans="4:7" customFormat="1" x14ac:dyDescent="0.35">
      <c r="D3541" s="51"/>
      <c r="E3541" s="57"/>
      <c r="F3541" s="57"/>
      <c r="G3541" s="2"/>
    </row>
    <row r="3542" spans="4:7" customFormat="1" x14ac:dyDescent="0.35">
      <c r="D3542" s="51"/>
      <c r="E3542" s="57"/>
      <c r="F3542" s="57"/>
      <c r="G3542" s="2"/>
    </row>
    <row r="3543" spans="4:7" customFormat="1" x14ac:dyDescent="0.35">
      <c r="D3543" s="51"/>
      <c r="E3543" s="57"/>
      <c r="F3543" s="57"/>
      <c r="G3543" s="2"/>
    </row>
    <row r="3544" spans="4:7" customFormat="1" x14ac:dyDescent="0.35">
      <c r="D3544" s="51"/>
      <c r="E3544" s="57"/>
      <c r="F3544" s="57"/>
      <c r="G3544" s="2"/>
    </row>
    <row r="3545" spans="4:7" customFormat="1" x14ac:dyDescent="0.35">
      <c r="D3545" s="51"/>
      <c r="E3545" s="57"/>
      <c r="F3545" s="57"/>
      <c r="G3545" s="2"/>
    </row>
    <row r="3546" spans="4:7" customFormat="1" x14ac:dyDescent="0.35">
      <c r="D3546" s="51"/>
      <c r="E3546" s="57"/>
      <c r="F3546" s="57"/>
      <c r="G3546" s="2"/>
    </row>
    <row r="3547" spans="4:7" customFormat="1" x14ac:dyDescent="0.35">
      <c r="D3547" s="51"/>
      <c r="E3547" s="57"/>
      <c r="F3547" s="57"/>
      <c r="G3547" s="2"/>
    </row>
    <row r="3548" spans="4:7" customFormat="1" x14ac:dyDescent="0.35">
      <c r="D3548" s="51"/>
      <c r="E3548" s="57"/>
      <c r="F3548" s="57"/>
      <c r="G3548" s="2"/>
    </row>
    <row r="3549" spans="4:7" customFormat="1" x14ac:dyDescent="0.35">
      <c r="D3549" s="51"/>
      <c r="E3549" s="57"/>
      <c r="F3549" s="57"/>
      <c r="G3549" s="2"/>
    </row>
    <row r="3550" spans="4:7" customFormat="1" x14ac:dyDescent="0.35">
      <c r="D3550" s="51"/>
      <c r="E3550" s="57"/>
      <c r="F3550" s="57"/>
      <c r="G3550" s="2"/>
    </row>
    <row r="3551" spans="4:7" customFormat="1" x14ac:dyDescent="0.35">
      <c r="D3551" s="51"/>
      <c r="E3551" s="57"/>
      <c r="F3551" s="57"/>
      <c r="G3551" s="2"/>
    </row>
    <row r="3552" spans="4:7" customFormat="1" x14ac:dyDescent="0.35">
      <c r="D3552" s="51"/>
      <c r="E3552" s="57"/>
      <c r="F3552" s="57"/>
      <c r="G3552" s="2"/>
    </row>
    <row r="3553" spans="4:7" customFormat="1" x14ac:dyDescent="0.35">
      <c r="D3553" s="51"/>
      <c r="E3553" s="57"/>
      <c r="F3553" s="57"/>
      <c r="G3553" s="2"/>
    </row>
    <row r="3554" spans="4:7" customFormat="1" x14ac:dyDescent="0.35">
      <c r="D3554" s="51"/>
      <c r="E3554" s="57"/>
      <c r="F3554" s="57"/>
      <c r="G3554" s="2"/>
    </row>
    <row r="3555" spans="4:7" customFormat="1" x14ac:dyDescent="0.35">
      <c r="D3555" s="51"/>
      <c r="E3555" s="57"/>
      <c r="F3555" s="57"/>
      <c r="G3555" s="2"/>
    </row>
    <row r="3556" spans="4:7" customFormat="1" x14ac:dyDescent="0.35">
      <c r="D3556" s="51"/>
      <c r="E3556" s="57"/>
      <c r="F3556" s="57"/>
      <c r="G3556" s="2"/>
    </row>
    <row r="3557" spans="4:7" customFormat="1" x14ac:dyDescent="0.35">
      <c r="D3557" s="51"/>
      <c r="E3557" s="57"/>
      <c r="F3557" s="57"/>
      <c r="G3557" s="2"/>
    </row>
    <row r="3558" spans="4:7" customFormat="1" x14ac:dyDescent="0.35">
      <c r="D3558" s="51"/>
      <c r="E3558" s="57"/>
      <c r="F3558" s="57"/>
      <c r="G3558" s="2"/>
    </row>
    <row r="3559" spans="4:7" customFormat="1" x14ac:dyDescent="0.35">
      <c r="D3559" s="51"/>
      <c r="E3559" s="57"/>
      <c r="F3559" s="57"/>
      <c r="G3559" s="2"/>
    </row>
    <row r="3560" spans="4:7" customFormat="1" x14ac:dyDescent="0.35">
      <c r="D3560" s="51"/>
      <c r="E3560" s="57"/>
      <c r="F3560" s="57"/>
      <c r="G3560" s="2"/>
    </row>
    <row r="3561" spans="4:7" customFormat="1" x14ac:dyDescent="0.35">
      <c r="D3561" s="51"/>
      <c r="E3561" s="57"/>
      <c r="F3561" s="57"/>
      <c r="G3561" s="2"/>
    </row>
    <row r="3562" spans="4:7" customFormat="1" x14ac:dyDescent="0.35">
      <c r="D3562" s="51"/>
      <c r="E3562" s="57"/>
      <c r="F3562" s="57"/>
      <c r="G3562" s="2"/>
    </row>
    <row r="3563" spans="4:7" customFormat="1" x14ac:dyDescent="0.35">
      <c r="D3563" s="51"/>
      <c r="E3563" s="57"/>
      <c r="F3563" s="57"/>
      <c r="G3563" s="2"/>
    </row>
    <row r="3564" spans="4:7" customFormat="1" x14ac:dyDescent="0.35">
      <c r="D3564" s="51"/>
      <c r="E3564" s="57"/>
      <c r="F3564" s="57"/>
      <c r="G3564" s="2"/>
    </row>
    <row r="3565" spans="4:7" customFormat="1" x14ac:dyDescent="0.35">
      <c r="D3565" s="51"/>
      <c r="E3565" s="57"/>
      <c r="F3565" s="57"/>
      <c r="G3565" s="2"/>
    </row>
    <row r="3566" spans="4:7" customFormat="1" x14ac:dyDescent="0.35">
      <c r="D3566" s="51"/>
      <c r="E3566" s="57"/>
      <c r="F3566" s="57"/>
      <c r="G3566" s="2"/>
    </row>
    <row r="3567" spans="4:7" customFormat="1" x14ac:dyDescent="0.35">
      <c r="D3567" s="51"/>
      <c r="E3567" s="57"/>
      <c r="F3567" s="57"/>
      <c r="G3567" s="2"/>
    </row>
    <row r="3568" spans="4:7" customFormat="1" x14ac:dyDescent="0.35">
      <c r="D3568" s="51"/>
      <c r="E3568" s="57"/>
      <c r="F3568" s="57"/>
      <c r="G3568" s="2"/>
    </row>
    <row r="3569" spans="4:7" customFormat="1" x14ac:dyDescent="0.35">
      <c r="D3569" s="51"/>
      <c r="E3569" s="57"/>
      <c r="F3569" s="57"/>
      <c r="G3569" s="2"/>
    </row>
    <row r="3570" spans="4:7" customFormat="1" x14ac:dyDescent="0.35">
      <c r="D3570" s="51"/>
      <c r="E3570" s="57"/>
      <c r="F3570" s="57"/>
      <c r="G3570" s="2"/>
    </row>
    <row r="3571" spans="4:7" customFormat="1" x14ac:dyDescent="0.35">
      <c r="D3571" s="51"/>
      <c r="E3571" s="57"/>
      <c r="F3571" s="57"/>
      <c r="G3571" s="2"/>
    </row>
    <row r="3572" spans="4:7" customFormat="1" x14ac:dyDescent="0.35">
      <c r="D3572" s="51"/>
      <c r="E3572" s="57"/>
      <c r="F3572" s="57"/>
      <c r="G3572" s="2"/>
    </row>
    <row r="3573" spans="4:7" customFormat="1" x14ac:dyDescent="0.35">
      <c r="D3573" s="51"/>
      <c r="E3573" s="57"/>
      <c r="F3573" s="57"/>
      <c r="G3573" s="2"/>
    </row>
    <row r="3574" spans="4:7" customFormat="1" x14ac:dyDescent="0.35">
      <c r="D3574" s="51"/>
      <c r="E3574" s="57"/>
      <c r="F3574" s="57"/>
      <c r="G3574" s="2"/>
    </row>
    <row r="3575" spans="4:7" customFormat="1" x14ac:dyDescent="0.35">
      <c r="D3575" s="51"/>
      <c r="E3575" s="57"/>
      <c r="F3575" s="57"/>
      <c r="G3575" s="2"/>
    </row>
    <row r="3576" spans="4:7" customFormat="1" x14ac:dyDescent="0.35">
      <c r="D3576" s="51"/>
      <c r="E3576" s="57"/>
      <c r="F3576" s="57"/>
      <c r="G3576" s="2"/>
    </row>
    <row r="3577" spans="4:7" customFormat="1" x14ac:dyDescent="0.35">
      <c r="D3577" s="51"/>
      <c r="E3577" s="57"/>
      <c r="F3577" s="57"/>
      <c r="G3577" s="2"/>
    </row>
    <row r="3578" spans="4:7" customFormat="1" x14ac:dyDescent="0.35">
      <c r="D3578" s="51"/>
      <c r="E3578" s="57"/>
      <c r="F3578" s="57"/>
      <c r="G3578" s="2"/>
    </row>
    <row r="3579" spans="4:7" customFormat="1" x14ac:dyDescent="0.35">
      <c r="D3579" s="51"/>
      <c r="E3579" s="57"/>
      <c r="F3579" s="57"/>
      <c r="G3579" s="2"/>
    </row>
    <row r="3580" spans="4:7" customFormat="1" x14ac:dyDescent="0.35">
      <c r="D3580" s="51"/>
      <c r="E3580" s="57"/>
      <c r="F3580" s="57"/>
      <c r="G3580" s="2"/>
    </row>
    <row r="3581" spans="4:7" customFormat="1" x14ac:dyDescent="0.35">
      <c r="D3581" s="51"/>
      <c r="E3581" s="57"/>
      <c r="F3581" s="57"/>
      <c r="G3581" s="2"/>
    </row>
    <row r="3582" spans="4:7" customFormat="1" x14ac:dyDescent="0.35">
      <c r="D3582" s="51"/>
      <c r="E3582" s="57"/>
      <c r="F3582" s="57"/>
      <c r="G3582" s="2"/>
    </row>
    <row r="3583" spans="4:7" customFormat="1" x14ac:dyDescent="0.35">
      <c r="D3583" s="51"/>
      <c r="E3583" s="57"/>
      <c r="F3583" s="57"/>
      <c r="G3583" s="2"/>
    </row>
    <row r="3584" spans="4:7" customFormat="1" x14ac:dyDescent="0.35">
      <c r="D3584" s="51"/>
      <c r="E3584" s="57"/>
      <c r="F3584" s="57"/>
      <c r="G3584" s="2"/>
    </row>
    <row r="3585" spans="4:7" customFormat="1" x14ac:dyDescent="0.35">
      <c r="D3585" s="51"/>
      <c r="E3585" s="57"/>
      <c r="F3585" s="57"/>
      <c r="G3585" s="2"/>
    </row>
    <row r="3586" spans="4:7" customFormat="1" x14ac:dyDescent="0.35">
      <c r="D3586" s="51"/>
      <c r="E3586" s="57"/>
      <c r="F3586" s="57"/>
      <c r="G3586" s="2"/>
    </row>
    <row r="3587" spans="4:7" customFormat="1" x14ac:dyDescent="0.35">
      <c r="D3587" s="51"/>
      <c r="E3587" s="57"/>
      <c r="F3587" s="57"/>
      <c r="G3587" s="2"/>
    </row>
    <row r="3588" spans="4:7" customFormat="1" x14ac:dyDescent="0.35">
      <c r="D3588" s="51"/>
      <c r="E3588" s="57"/>
      <c r="F3588" s="57"/>
      <c r="G3588" s="2"/>
    </row>
    <row r="3589" spans="4:7" customFormat="1" x14ac:dyDescent="0.35">
      <c r="D3589" s="51"/>
      <c r="E3589" s="57"/>
      <c r="F3589" s="57"/>
      <c r="G3589" s="2"/>
    </row>
    <row r="3590" spans="4:7" customFormat="1" x14ac:dyDescent="0.35">
      <c r="D3590" s="51"/>
      <c r="E3590" s="57"/>
      <c r="F3590" s="57"/>
      <c r="G3590" s="2"/>
    </row>
    <row r="3591" spans="4:7" customFormat="1" x14ac:dyDescent="0.35">
      <c r="D3591" s="51"/>
      <c r="E3591" s="57"/>
      <c r="F3591" s="57"/>
      <c r="G3591" s="2"/>
    </row>
    <row r="3592" spans="4:7" customFormat="1" x14ac:dyDescent="0.35">
      <c r="D3592" s="51"/>
      <c r="E3592" s="57"/>
      <c r="F3592" s="57"/>
      <c r="G3592" s="2"/>
    </row>
    <row r="3593" spans="4:7" customFormat="1" x14ac:dyDescent="0.35">
      <c r="D3593" s="51"/>
      <c r="E3593" s="57"/>
      <c r="F3593" s="57"/>
      <c r="G3593" s="2"/>
    </row>
    <row r="3594" spans="4:7" customFormat="1" x14ac:dyDescent="0.35">
      <c r="D3594" s="51"/>
      <c r="E3594" s="57"/>
      <c r="F3594" s="57"/>
      <c r="G3594" s="2"/>
    </row>
    <row r="3595" spans="4:7" customFormat="1" x14ac:dyDescent="0.35">
      <c r="D3595" s="51"/>
      <c r="E3595" s="57"/>
      <c r="F3595" s="57"/>
      <c r="G3595" s="2"/>
    </row>
    <row r="3596" spans="4:7" customFormat="1" x14ac:dyDescent="0.35">
      <c r="D3596" s="51"/>
      <c r="E3596" s="57"/>
      <c r="F3596" s="57"/>
      <c r="G3596" s="2"/>
    </row>
    <row r="3597" spans="4:7" customFormat="1" x14ac:dyDescent="0.35">
      <c r="D3597" s="51"/>
      <c r="E3597" s="57"/>
      <c r="F3597" s="57"/>
      <c r="G3597" s="2"/>
    </row>
    <row r="3598" spans="4:7" customFormat="1" x14ac:dyDescent="0.35">
      <c r="D3598" s="51"/>
      <c r="E3598" s="57"/>
      <c r="F3598" s="57"/>
      <c r="G3598" s="2"/>
    </row>
    <row r="3599" spans="4:7" customFormat="1" x14ac:dyDescent="0.35">
      <c r="D3599" s="51"/>
      <c r="E3599" s="57"/>
      <c r="F3599" s="57"/>
      <c r="G3599" s="2"/>
    </row>
    <row r="3600" spans="4:7" customFormat="1" x14ac:dyDescent="0.35">
      <c r="D3600" s="51"/>
      <c r="E3600" s="57"/>
      <c r="F3600" s="57"/>
      <c r="G3600" s="2"/>
    </row>
    <row r="3601" spans="4:7" customFormat="1" x14ac:dyDescent="0.35">
      <c r="D3601" s="51"/>
      <c r="E3601" s="57"/>
      <c r="F3601" s="57"/>
      <c r="G3601" s="2"/>
    </row>
    <row r="3602" spans="4:7" customFormat="1" x14ac:dyDescent="0.35">
      <c r="D3602" s="51"/>
      <c r="E3602" s="57"/>
      <c r="F3602" s="57"/>
      <c r="G3602" s="2"/>
    </row>
    <row r="3603" spans="4:7" customFormat="1" x14ac:dyDescent="0.35">
      <c r="D3603" s="51"/>
      <c r="E3603" s="57"/>
      <c r="F3603" s="57"/>
      <c r="G3603" s="2"/>
    </row>
    <row r="3604" spans="4:7" customFormat="1" x14ac:dyDescent="0.35">
      <c r="D3604" s="51"/>
      <c r="E3604" s="57"/>
      <c r="F3604" s="57"/>
      <c r="G3604" s="2"/>
    </row>
    <row r="3605" spans="4:7" customFormat="1" x14ac:dyDescent="0.35">
      <c r="D3605" s="51"/>
      <c r="E3605" s="57"/>
      <c r="F3605" s="57"/>
      <c r="G3605" s="2"/>
    </row>
    <row r="3606" spans="4:7" customFormat="1" x14ac:dyDescent="0.35">
      <c r="D3606" s="51"/>
      <c r="E3606" s="57"/>
      <c r="F3606" s="57"/>
      <c r="G3606" s="2"/>
    </row>
    <row r="3607" spans="4:7" customFormat="1" x14ac:dyDescent="0.35">
      <c r="D3607" s="51"/>
      <c r="E3607" s="57"/>
      <c r="F3607" s="57"/>
      <c r="G3607" s="2"/>
    </row>
    <row r="3608" spans="4:7" customFormat="1" x14ac:dyDescent="0.35">
      <c r="D3608" s="51"/>
      <c r="E3608" s="57"/>
      <c r="F3608" s="57"/>
      <c r="G3608" s="2"/>
    </row>
    <row r="3609" spans="4:7" customFormat="1" x14ac:dyDescent="0.35">
      <c r="D3609" s="51"/>
      <c r="E3609" s="57"/>
      <c r="F3609" s="57"/>
      <c r="G3609" s="2"/>
    </row>
    <row r="3610" spans="4:7" customFormat="1" x14ac:dyDescent="0.35">
      <c r="D3610" s="51"/>
      <c r="E3610" s="57"/>
      <c r="F3610" s="57"/>
      <c r="G3610" s="2"/>
    </row>
    <row r="3611" spans="4:7" customFormat="1" x14ac:dyDescent="0.35">
      <c r="D3611" s="51"/>
      <c r="E3611" s="57"/>
      <c r="F3611" s="57"/>
      <c r="G3611" s="2"/>
    </row>
    <row r="3612" spans="4:7" customFormat="1" x14ac:dyDescent="0.35">
      <c r="D3612" s="51"/>
      <c r="E3612" s="57"/>
      <c r="F3612" s="57"/>
      <c r="G3612" s="2"/>
    </row>
    <row r="3613" spans="4:7" customFormat="1" x14ac:dyDescent="0.35">
      <c r="D3613" s="51"/>
      <c r="E3613" s="57"/>
      <c r="F3613" s="57"/>
      <c r="G3613" s="2"/>
    </row>
    <row r="3614" spans="4:7" customFormat="1" x14ac:dyDescent="0.35">
      <c r="D3614" s="51"/>
      <c r="E3614" s="57"/>
      <c r="F3614" s="57"/>
      <c r="G3614" s="2"/>
    </row>
    <row r="3615" spans="4:7" customFormat="1" x14ac:dyDescent="0.35">
      <c r="D3615" s="51"/>
      <c r="E3615" s="57"/>
      <c r="F3615" s="57"/>
      <c r="G3615" s="2"/>
    </row>
    <row r="3616" spans="4:7" customFormat="1" x14ac:dyDescent="0.35">
      <c r="D3616" s="51"/>
      <c r="E3616" s="57"/>
      <c r="F3616" s="57"/>
      <c r="G3616" s="2"/>
    </row>
    <row r="3617" spans="4:7" customFormat="1" x14ac:dyDescent="0.35">
      <c r="D3617" s="51"/>
      <c r="E3617" s="57"/>
      <c r="F3617" s="57"/>
      <c r="G3617" s="2"/>
    </row>
    <row r="3618" spans="4:7" customFormat="1" x14ac:dyDescent="0.35">
      <c r="D3618" s="51"/>
      <c r="E3618" s="57"/>
      <c r="F3618" s="57"/>
      <c r="G3618" s="2"/>
    </row>
    <row r="3619" spans="4:7" customFormat="1" x14ac:dyDescent="0.35">
      <c r="D3619" s="51"/>
      <c r="E3619" s="57"/>
      <c r="F3619" s="57"/>
      <c r="G3619" s="2"/>
    </row>
    <row r="3620" spans="4:7" customFormat="1" x14ac:dyDescent="0.35">
      <c r="D3620" s="51"/>
      <c r="E3620" s="57"/>
      <c r="F3620" s="57"/>
      <c r="G3620" s="2"/>
    </row>
    <row r="3621" spans="4:7" customFormat="1" x14ac:dyDescent="0.35">
      <c r="D3621" s="51"/>
      <c r="E3621" s="57"/>
      <c r="F3621" s="57"/>
      <c r="G3621" s="2"/>
    </row>
    <row r="3622" spans="4:7" customFormat="1" x14ac:dyDescent="0.35">
      <c r="D3622" s="51"/>
      <c r="E3622" s="57"/>
      <c r="F3622" s="57"/>
      <c r="G3622" s="2"/>
    </row>
    <row r="3623" spans="4:7" customFormat="1" x14ac:dyDescent="0.35">
      <c r="D3623" s="51"/>
      <c r="E3623" s="57"/>
      <c r="F3623" s="57"/>
      <c r="G3623" s="2"/>
    </row>
    <row r="3624" spans="4:7" customFormat="1" x14ac:dyDescent="0.35">
      <c r="D3624" s="51"/>
      <c r="E3624" s="57"/>
      <c r="F3624" s="57"/>
      <c r="G3624" s="2"/>
    </row>
    <row r="3625" spans="4:7" customFormat="1" x14ac:dyDescent="0.35">
      <c r="D3625" s="51"/>
      <c r="E3625" s="57"/>
      <c r="F3625" s="57"/>
      <c r="G3625" s="2"/>
    </row>
    <row r="3626" spans="4:7" customFormat="1" x14ac:dyDescent="0.35">
      <c r="D3626" s="51"/>
      <c r="E3626" s="57"/>
      <c r="F3626" s="57"/>
      <c r="G3626" s="2"/>
    </row>
    <row r="3627" spans="4:7" customFormat="1" x14ac:dyDescent="0.35">
      <c r="D3627" s="51"/>
      <c r="E3627" s="57"/>
      <c r="F3627" s="57"/>
      <c r="G3627" s="2"/>
    </row>
    <row r="3628" spans="4:7" customFormat="1" x14ac:dyDescent="0.35">
      <c r="D3628" s="51"/>
      <c r="E3628" s="57"/>
      <c r="F3628" s="57"/>
      <c r="G3628" s="2"/>
    </row>
    <row r="3629" spans="4:7" customFormat="1" x14ac:dyDescent="0.35">
      <c r="D3629" s="51"/>
      <c r="E3629" s="57"/>
      <c r="F3629" s="57"/>
      <c r="G3629" s="2"/>
    </row>
    <row r="3630" spans="4:7" customFormat="1" x14ac:dyDescent="0.35">
      <c r="D3630" s="51"/>
      <c r="E3630" s="57"/>
      <c r="F3630" s="57"/>
      <c r="G3630" s="2"/>
    </row>
    <row r="3631" spans="4:7" customFormat="1" x14ac:dyDescent="0.35">
      <c r="D3631" s="51"/>
      <c r="E3631" s="57"/>
      <c r="F3631" s="57"/>
      <c r="G3631" s="2"/>
    </row>
    <row r="3632" spans="4:7" customFormat="1" x14ac:dyDescent="0.35">
      <c r="D3632" s="51"/>
      <c r="E3632" s="57"/>
      <c r="F3632" s="57"/>
      <c r="G3632" s="2"/>
    </row>
    <row r="3633" spans="4:7" customFormat="1" x14ac:dyDescent="0.35">
      <c r="D3633" s="51"/>
      <c r="E3633" s="57"/>
      <c r="F3633" s="57"/>
      <c r="G3633" s="2"/>
    </row>
    <row r="3634" spans="4:7" customFormat="1" x14ac:dyDescent="0.35">
      <c r="D3634" s="51"/>
      <c r="E3634" s="57"/>
      <c r="F3634" s="57"/>
      <c r="G3634" s="2"/>
    </row>
    <row r="3635" spans="4:7" customFormat="1" x14ac:dyDescent="0.35">
      <c r="D3635" s="51"/>
      <c r="E3635" s="57"/>
      <c r="F3635" s="57"/>
      <c r="G3635" s="2"/>
    </row>
    <row r="3636" spans="4:7" customFormat="1" x14ac:dyDescent="0.35">
      <c r="D3636" s="51"/>
      <c r="E3636" s="57"/>
      <c r="F3636" s="57"/>
      <c r="G3636" s="2"/>
    </row>
    <row r="3637" spans="4:7" customFormat="1" x14ac:dyDescent="0.35">
      <c r="D3637" s="51"/>
      <c r="E3637" s="57"/>
      <c r="F3637" s="57"/>
      <c r="G3637" s="2"/>
    </row>
    <row r="3638" spans="4:7" customFormat="1" x14ac:dyDescent="0.35">
      <c r="D3638" s="51"/>
      <c r="E3638" s="57"/>
      <c r="F3638" s="57"/>
      <c r="G3638" s="2"/>
    </row>
    <row r="3639" spans="4:7" customFormat="1" x14ac:dyDescent="0.35">
      <c r="D3639" s="51"/>
      <c r="E3639" s="57"/>
      <c r="F3639" s="57"/>
      <c r="G3639" s="2"/>
    </row>
    <row r="3640" spans="4:7" customFormat="1" x14ac:dyDescent="0.35">
      <c r="D3640" s="51"/>
      <c r="E3640" s="57"/>
      <c r="F3640" s="57"/>
      <c r="G3640" s="2"/>
    </row>
    <row r="3641" spans="4:7" customFormat="1" x14ac:dyDescent="0.35">
      <c r="D3641" s="51"/>
      <c r="E3641" s="57"/>
      <c r="F3641" s="57"/>
      <c r="G3641" s="2"/>
    </row>
    <row r="3642" spans="4:7" customFormat="1" x14ac:dyDescent="0.35">
      <c r="D3642" s="51"/>
      <c r="E3642" s="57"/>
      <c r="F3642" s="57"/>
      <c r="G3642" s="2"/>
    </row>
    <row r="3643" spans="4:7" customFormat="1" x14ac:dyDescent="0.35">
      <c r="D3643" s="51"/>
      <c r="E3643" s="57"/>
      <c r="F3643" s="57"/>
      <c r="G3643" s="2"/>
    </row>
    <row r="3644" spans="4:7" customFormat="1" x14ac:dyDescent="0.35">
      <c r="D3644" s="51"/>
      <c r="E3644" s="57"/>
      <c r="F3644" s="57"/>
      <c r="G3644" s="2"/>
    </row>
    <row r="3645" spans="4:7" customFormat="1" x14ac:dyDescent="0.35">
      <c r="D3645" s="51"/>
      <c r="E3645" s="57"/>
      <c r="F3645" s="57"/>
      <c r="G3645" s="2"/>
    </row>
    <row r="3646" spans="4:7" customFormat="1" x14ac:dyDescent="0.35">
      <c r="D3646" s="51"/>
      <c r="E3646" s="57"/>
      <c r="F3646" s="57"/>
      <c r="G3646" s="2"/>
    </row>
    <row r="3647" spans="4:7" customFormat="1" x14ac:dyDescent="0.35">
      <c r="D3647" s="51"/>
      <c r="E3647" s="57"/>
      <c r="F3647" s="57"/>
      <c r="G3647" s="2"/>
    </row>
    <row r="3648" spans="4:7" customFormat="1" x14ac:dyDescent="0.35">
      <c r="D3648" s="51"/>
      <c r="E3648" s="57"/>
      <c r="F3648" s="57"/>
      <c r="G3648" s="2"/>
    </row>
    <row r="3649" spans="4:7" customFormat="1" x14ac:dyDescent="0.35">
      <c r="D3649" s="51"/>
      <c r="E3649" s="57"/>
      <c r="F3649" s="57"/>
      <c r="G3649" s="2"/>
    </row>
    <row r="3650" spans="4:7" customFormat="1" x14ac:dyDescent="0.35">
      <c r="D3650" s="51"/>
      <c r="E3650" s="57"/>
      <c r="F3650" s="57"/>
      <c r="G3650" s="2"/>
    </row>
    <row r="3651" spans="4:7" customFormat="1" x14ac:dyDescent="0.35">
      <c r="D3651" s="51"/>
      <c r="E3651" s="57"/>
      <c r="F3651" s="57"/>
      <c r="G3651" s="2"/>
    </row>
    <row r="3652" spans="4:7" customFormat="1" x14ac:dyDescent="0.35">
      <c r="D3652" s="51"/>
      <c r="E3652" s="57"/>
      <c r="F3652" s="57"/>
      <c r="G3652" s="2"/>
    </row>
    <row r="3653" spans="4:7" customFormat="1" x14ac:dyDescent="0.35">
      <c r="D3653" s="51"/>
      <c r="E3653" s="57"/>
      <c r="F3653" s="57"/>
      <c r="G3653" s="2"/>
    </row>
    <row r="3654" spans="4:7" customFormat="1" x14ac:dyDescent="0.35">
      <c r="D3654" s="51"/>
      <c r="E3654" s="57"/>
      <c r="F3654" s="57"/>
      <c r="G3654" s="2"/>
    </row>
    <row r="3655" spans="4:7" customFormat="1" x14ac:dyDescent="0.35">
      <c r="D3655" s="51"/>
      <c r="E3655" s="57"/>
      <c r="F3655" s="57"/>
      <c r="G3655" s="2"/>
    </row>
    <row r="3656" spans="4:7" customFormat="1" x14ac:dyDescent="0.35">
      <c r="D3656" s="51"/>
      <c r="E3656" s="57"/>
      <c r="F3656" s="57"/>
      <c r="G3656" s="2"/>
    </row>
    <row r="3657" spans="4:7" customFormat="1" x14ac:dyDescent="0.35">
      <c r="D3657" s="51"/>
      <c r="E3657" s="57"/>
      <c r="F3657" s="57"/>
      <c r="G3657" s="2"/>
    </row>
    <row r="3658" spans="4:7" customFormat="1" x14ac:dyDescent="0.35">
      <c r="D3658" s="51"/>
      <c r="E3658" s="57"/>
      <c r="F3658" s="57"/>
      <c r="G3658" s="2"/>
    </row>
    <row r="3659" spans="4:7" customFormat="1" x14ac:dyDescent="0.35">
      <c r="D3659" s="51"/>
      <c r="E3659" s="57"/>
      <c r="F3659" s="57"/>
      <c r="G3659" s="2"/>
    </row>
    <row r="3660" spans="4:7" customFormat="1" x14ac:dyDescent="0.35">
      <c r="D3660" s="51"/>
      <c r="E3660" s="57"/>
      <c r="F3660" s="57"/>
      <c r="G3660" s="2"/>
    </row>
    <row r="3661" spans="4:7" customFormat="1" x14ac:dyDescent="0.35">
      <c r="D3661" s="51"/>
      <c r="E3661" s="57"/>
      <c r="F3661" s="57"/>
      <c r="G3661" s="2"/>
    </row>
    <row r="3662" spans="4:7" customFormat="1" x14ac:dyDescent="0.35">
      <c r="D3662" s="51"/>
      <c r="E3662" s="57"/>
      <c r="F3662" s="57"/>
      <c r="G3662" s="2"/>
    </row>
    <row r="3663" spans="4:7" customFormat="1" x14ac:dyDescent="0.35">
      <c r="D3663" s="51"/>
      <c r="E3663" s="57"/>
      <c r="F3663" s="57"/>
      <c r="G3663" s="2"/>
    </row>
    <row r="3664" spans="4:7" customFormat="1" x14ac:dyDescent="0.35">
      <c r="D3664" s="51"/>
      <c r="E3664" s="57"/>
      <c r="F3664" s="57"/>
      <c r="G3664" s="2"/>
    </row>
    <row r="3665" spans="4:7" customFormat="1" x14ac:dyDescent="0.35">
      <c r="D3665" s="51"/>
      <c r="E3665" s="57"/>
      <c r="F3665" s="57"/>
      <c r="G3665" s="2"/>
    </row>
    <row r="3666" spans="4:7" customFormat="1" x14ac:dyDescent="0.35">
      <c r="D3666" s="51"/>
      <c r="E3666" s="57"/>
      <c r="F3666" s="57"/>
      <c r="G3666" s="2"/>
    </row>
    <row r="3667" spans="4:7" customFormat="1" x14ac:dyDescent="0.35">
      <c r="D3667" s="51"/>
      <c r="E3667" s="57"/>
      <c r="F3667" s="57"/>
      <c r="G3667" s="2"/>
    </row>
    <row r="3668" spans="4:7" customFormat="1" x14ac:dyDescent="0.35">
      <c r="D3668" s="51"/>
      <c r="E3668" s="57"/>
      <c r="F3668" s="57"/>
      <c r="G3668" s="2"/>
    </row>
    <row r="3669" spans="4:7" customFormat="1" x14ac:dyDescent="0.35">
      <c r="D3669" s="51"/>
      <c r="E3669" s="57"/>
      <c r="F3669" s="57"/>
      <c r="G3669" s="2"/>
    </row>
    <row r="3670" spans="4:7" customFormat="1" x14ac:dyDescent="0.35">
      <c r="D3670" s="51"/>
      <c r="E3670" s="57"/>
      <c r="F3670" s="57"/>
      <c r="G3670" s="2"/>
    </row>
    <row r="3671" spans="4:7" customFormat="1" x14ac:dyDescent="0.35">
      <c r="D3671" s="51"/>
      <c r="E3671" s="57"/>
      <c r="F3671" s="57"/>
      <c r="G3671" s="2"/>
    </row>
    <row r="3672" spans="4:7" customFormat="1" x14ac:dyDescent="0.35">
      <c r="D3672" s="51"/>
      <c r="E3672" s="57"/>
      <c r="F3672" s="57"/>
      <c r="G3672" s="2"/>
    </row>
    <row r="3673" spans="4:7" customFormat="1" x14ac:dyDescent="0.35">
      <c r="D3673" s="51"/>
      <c r="E3673" s="57"/>
      <c r="F3673" s="57"/>
      <c r="G3673" s="2"/>
    </row>
    <row r="3674" spans="4:7" customFormat="1" x14ac:dyDescent="0.35">
      <c r="D3674" s="51"/>
      <c r="E3674" s="57"/>
      <c r="F3674" s="57"/>
      <c r="G3674" s="2"/>
    </row>
    <row r="3675" spans="4:7" customFormat="1" x14ac:dyDescent="0.35">
      <c r="D3675" s="51"/>
      <c r="E3675" s="57"/>
      <c r="F3675" s="57"/>
      <c r="G3675" s="2"/>
    </row>
    <row r="3676" spans="4:7" customFormat="1" x14ac:dyDescent="0.35">
      <c r="D3676" s="51"/>
      <c r="E3676" s="57"/>
      <c r="F3676" s="57"/>
      <c r="G3676" s="2"/>
    </row>
    <row r="3677" spans="4:7" customFormat="1" x14ac:dyDescent="0.35">
      <c r="D3677" s="51"/>
      <c r="E3677" s="57"/>
      <c r="F3677" s="57"/>
      <c r="G3677" s="2"/>
    </row>
    <row r="3678" spans="4:7" customFormat="1" x14ac:dyDescent="0.35">
      <c r="D3678" s="51"/>
      <c r="E3678" s="57"/>
      <c r="F3678" s="57"/>
      <c r="G3678" s="2"/>
    </row>
    <row r="3679" spans="4:7" customFormat="1" x14ac:dyDescent="0.35">
      <c r="D3679" s="51"/>
      <c r="E3679" s="57"/>
      <c r="F3679" s="57"/>
      <c r="G3679" s="2"/>
    </row>
    <row r="3680" spans="4:7" customFormat="1" x14ac:dyDescent="0.35">
      <c r="D3680" s="51"/>
      <c r="E3680" s="57"/>
      <c r="F3680" s="57"/>
      <c r="G3680" s="2"/>
    </row>
    <row r="3681" spans="4:7" customFormat="1" x14ac:dyDescent="0.35">
      <c r="D3681" s="51"/>
      <c r="E3681" s="57"/>
      <c r="F3681" s="57"/>
      <c r="G3681" s="2"/>
    </row>
    <row r="3682" spans="4:7" customFormat="1" x14ac:dyDescent="0.35">
      <c r="D3682" s="51"/>
      <c r="E3682" s="57"/>
      <c r="F3682" s="57"/>
      <c r="G3682" s="2"/>
    </row>
    <row r="3683" spans="4:7" customFormat="1" x14ac:dyDescent="0.35">
      <c r="D3683" s="51"/>
      <c r="E3683" s="57"/>
      <c r="F3683" s="57"/>
      <c r="G3683" s="2"/>
    </row>
    <row r="3684" spans="4:7" customFormat="1" x14ac:dyDescent="0.35">
      <c r="D3684" s="51"/>
      <c r="E3684" s="57"/>
      <c r="F3684" s="57"/>
      <c r="G3684" s="2"/>
    </row>
    <row r="3685" spans="4:7" customFormat="1" x14ac:dyDescent="0.35">
      <c r="D3685" s="51"/>
      <c r="E3685" s="57"/>
      <c r="F3685" s="57"/>
      <c r="G3685" s="2"/>
    </row>
    <row r="3686" spans="4:7" customFormat="1" x14ac:dyDescent="0.35">
      <c r="D3686" s="51"/>
      <c r="E3686" s="57"/>
      <c r="F3686" s="57"/>
      <c r="G3686" s="2"/>
    </row>
    <row r="3687" spans="4:7" customFormat="1" x14ac:dyDescent="0.35">
      <c r="D3687" s="51"/>
      <c r="E3687" s="57"/>
      <c r="F3687" s="57"/>
      <c r="G3687" s="2"/>
    </row>
    <row r="3688" spans="4:7" customFormat="1" x14ac:dyDescent="0.35">
      <c r="D3688" s="51"/>
      <c r="E3688" s="57"/>
      <c r="F3688" s="57"/>
      <c r="G3688" s="2"/>
    </row>
    <row r="3689" spans="4:7" customFormat="1" x14ac:dyDescent="0.35">
      <c r="D3689" s="51"/>
      <c r="E3689" s="57"/>
      <c r="F3689" s="57"/>
      <c r="G3689" s="2"/>
    </row>
    <row r="3690" spans="4:7" customFormat="1" x14ac:dyDescent="0.35">
      <c r="D3690" s="51"/>
      <c r="E3690" s="57"/>
      <c r="F3690" s="57"/>
      <c r="G3690" s="2"/>
    </row>
    <row r="3691" spans="4:7" customFormat="1" x14ac:dyDescent="0.35">
      <c r="D3691" s="51"/>
      <c r="E3691" s="57"/>
      <c r="F3691" s="57"/>
      <c r="G3691" s="2"/>
    </row>
    <row r="3692" spans="4:7" customFormat="1" x14ac:dyDescent="0.35">
      <c r="D3692" s="51"/>
      <c r="E3692" s="57"/>
      <c r="F3692" s="57"/>
      <c r="G3692" s="2"/>
    </row>
    <row r="3693" spans="4:7" customFormat="1" x14ac:dyDescent="0.35">
      <c r="D3693" s="51"/>
      <c r="E3693" s="57"/>
      <c r="F3693" s="57"/>
      <c r="G3693" s="2"/>
    </row>
    <row r="3694" spans="4:7" customFormat="1" x14ac:dyDescent="0.35">
      <c r="D3694" s="51"/>
      <c r="E3694" s="57"/>
      <c r="F3694" s="57"/>
      <c r="G3694" s="2"/>
    </row>
    <row r="3695" spans="4:7" customFormat="1" x14ac:dyDescent="0.35">
      <c r="D3695" s="51"/>
      <c r="E3695" s="57"/>
      <c r="F3695" s="57"/>
      <c r="G3695" s="2"/>
    </row>
    <row r="3696" spans="4:7" customFormat="1" x14ac:dyDescent="0.35">
      <c r="D3696" s="51"/>
      <c r="E3696" s="57"/>
      <c r="F3696" s="57"/>
      <c r="G3696" s="2"/>
    </row>
    <row r="3697" spans="4:7" customFormat="1" x14ac:dyDescent="0.35">
      <c r="D3697" s="51"/>
      <c r="E3697" s="57"/>
      <c r="F3697" s="57"/>
      <c r="G3697" s="2"/>
    </row>
    <row r="3698" spans="4:7" customFormat="1" x14ac:dyDescent="0.35">
      <c r="D3698" s="51"/>
      <c r="E3698" s="57"/>
      <c r="F3698" s="57"/>
      <c r="G3698" s="2"/>
    </row>
    <row r="3699" spans="4:7" customFormat="1" x14ac:dyDescent="0.35">
      <c r="D3699" s="51"/>
      <c r="E3699" s="57"/>
      <c r="F3699" s="57"/>
      <c r="G3699" s="2"/>
    </row>
    <row r="3700" spans="4:7" customFormat="1" x14ac:dyDescent="0.35">
      <c r="D3700" s="51"/>
      <c r="E3700" s="57"/>
      <c r="F3700" s="57"/>
      <c r="G3700" s="2"/>
    </row>
    <row r="3701" spans="4:7" customFormat="1" x14ac:dyDescent="0.35">
      <c r="D3701" s="51"/>
      <c r="E3701" s="57"/>
      <c r="F3701" s="57"/>
      <c r="G3701" s="2"/>
    </row>
    <row r="3702" spans="4:7" customFormat="1" x14ac:dyDescent="0.35">
      <c r="D3702" s="51"/>
      <c r="E3702" s="57"/>
      <c r="F3702" s="57"/>
      <c r="G3702" s="2"/>
    </row>
    <row r="3703" spans="4:7" customFormat="1" x14ac:dyDescent="0.35">
      <c r="D3703" s="51"/>
      <c r="E3703" s="57"/>
      <c r="F3703" s="57"/>
      <c r="G3703" s="2"/>
    </row>
    <row r="3704" spans="4:7" customFormat="1" x14ac:dyDescent="0.35">
      <c r="D3704" s="51"/>
      <c r="E3704" s="57"/>
      <c r="F3704" s="57"/>
      <c r="G3704" s="2"/>
    </row>
    <row r="3705" spans="4:7" customFormat="1" x14ac:dyDescent="0.35">
      <c r="D3705" s="51"/>
      <c r="E3705" s="57"/>
      <c r="F3705" s="57"/>
      <c r="G3705" s="2"/>
    </row>
    <row r="3706" spans="4:7" customFormat="1" x14ac:dyDescent="0.35">
      <c r="D3706" s="51"/>
      <c r="E3706" s="57"/>
      <c r="F3706" s="57"/>
      <c r="G3706" s="2"/>
    </row>
    <row r="3707" spans="4:7" customFormat="1" x14ac:dyDescent="0.35">
      <c r="D3707" s="51"/>
      <c r="E3707" s="57"/>
      <c r="F3707" s="57"/>
      <c r="G3707" s="2"/>
    </row>
    <row r="3708" spans="4:7" customFormat="1" x14ac:dyDescent="0.35">
      <c r="D3708" s="51"/>
      <c r="E3708" s="57"/>
      <c r="F3708" s="57"/>
      <c r="G3708" s="2"/>
    </row>
    <row r="3709" spans="4:7" customFormat="1" x14ac:dyDescent="0.35">
      <c r="D3709" s="51"/>
      <c r="E3709" s="57"/>
      <c r="F3709" s="57"/>
      <c r="G3709" s="2"/>
    </row>
    <row r="3710" spans="4:7" customFormat="1" x14ac:dyDescent="0.35">
      <c r="D3710" s="51"/>
      <c r="E3710" s="57"/>
      <c r="F3710" s="57"/>
      <c r="G3710" s="2"/>
    </row>
    <row r="3711" spans="4:7" customFormat="1" x14ac:dyDescent="0.35">
      <c r="D3711" s="51"/>
      <c r="E3711" s="57"/>
      <c r="F3711" s="57"/>
      <c r="G3711" s="2"/>
    </row>
    <row r="3712" spans="4:7" customFormat="1" x14ac:dyDescent="0.35">
      <c r="D3712" s="51"/>
      <c r="E3712" s="57"/>
      <c r="F3712" s="57"/>
      <c r="G3712" s="2"/>
    </row>
    <row r="3713" spans="4:7" customFormat="1" x14ac:dyDescent="0.35">
      <c r="D3713" s="51"/>
      <c r="E3713" s="57"/>
      <c r="F3713" s="57"/>
      <c r="G3713" s="2"/>
    </row>
    <row r="3714" spans="4:7" customFormat="1" x14ac:dyDescent="0.35">
      <c r="D3714" s="51"/>
      <c r="E3714" s="57"/>
      <c r="F3714" s="57"/>
      <c r="G3714" s="2"/>
    </row>
    <row r="3715" spans="4:7" customFormat="1" x14ac:dyDescent="0.35">
      <c r="D3715" s="51"/>
      <c r="E3715" s="57"/>
      <c r="F3715" s="57"/>
      <c r="G3715" s="2"/>
    </row>
    <row r="3716" spans="4:7" customFormat="1" x14ac:dyDescent="0.35">
      <c r="D3716" s="51"/>
      <c r="E3716" s="57"/>
      <c r="F3716" s="57"/>
      <c r="G3716" s="2"/>
    </row>
    <row r="3717" spans="4:7" customFormat="1" x14ac:dyDescent="0.35">
      <c r="D3717" s="51"/>
      <c r="E3717" s="57"/>
      <c r="F3717" s="57"/>
      <c r="G3717" s="2"/>
    </row>
    <row r="3718" spans="4:7" customFormat="1" x14ac:dyDescent="0.35">
      <c r="D3718" s="51"/>
      <c r="E3718" s="57"/>
      <c r="F3718" s="57"/>
      <c r="G3718" s="2"/>
    </row>
    <row r="3719" spans="4:7" customFormat="1" x14ac:dyDescent="0.35">
      <c r="D3719" s="51"/>
      <c r="E3719" s="57"/>
      <c r="F3719" s="57"/>
      <c r="G3719" s="2"/>
    </row>
    <row r="3720" spans="4:7" customFormat="1" x14ac:dyDescent="0.35">
      <c r="D3720" s="51"/>
      <c r="E3720" s="57"/>
      <c r="F3720" s="57"/>
      <c r="G3720" s="2"/>
    </row>
    <row r="3721" spans="4:7" customFormat="1" x14ac:dyDescent="0.35">
      <c r="D3721" s="51"/>
      <c r="E3721" s="57"/>
      <c r="F3721" s="57"/>
      <c r="G3721" s="2"/>
    </row>
    <row r="3722" spans="4:7" customFormat="1" x14ac:dyDescent="0.35">
      <c r="D3722" s="51"/>
      <c r="E3722" s="57"/>
      <c r="F3722" s="57"/>
      <c r="G3722" s="2"/>
    </row>
    <row r="3723" spans="4:7" customFormat="1" x14ac:dyDescent="0.35">
      <c r="D3723" s="51"/>
      <c r="E3723" s="57"/>
      <c r="F3723" s="57"/>
      <c r="G3723" s="2"/>
    </row>
    <row r="3724" spans="4:7" customFormat="1" x14ac:dyDescent="0.35">
      <c r="D3724" s="51"/>
      <c r="E3724" s="57"/>
      <c r="F3724" s="57"/>
      <c r="G3724" s="2"/>
    </row>
    <row r="3725" spans="4:7" customFormat="1" x14ac:dyDescent="0.35">
      <c r="D3725" s="51"/>
      <c r="E3725" s="57"/>
      <c r="F3725" s="57"/>
      <c r="G3725" s="2"/>
    </row>
    <row r="3726" spans="4:7" customFormat="1" x14ac:dyDescent="0.35">
      <c r="D3726" s="51"/>
      <c r="E3726" s="57"/>
      <c r="F3726" s="57"/>
      <c r="G3726" s="2"/>
    </row>
    <row r="3727" spans="4:7" customFormat="1" x14ac:dyDescent="0.35">
      <c r="D3727" s="51"/>
      <c r="E3727" s="57"/>
      <c r="F3727" s="57"/>
      <c r="G3727" s="2"/>
    </row>
    <row r="3728" spans="4:7" customFormat="1" x14ac:dyDescent="0.35">
      <c r="D3728" s="51"/>
      <c r="E3728" s="57"/>
      <c r="F3728" s="57"/>
      <c r="G3728" s="2"/>
    </row>
    <row r="3729" spans="4:7" customFormat="1" x14ac:dyDescent="0.35">
      <c r="D3729" s="51"/>
      <c r="E3729" s="57"/>
      <c r="F3729" s="57"/>
      <c r="G3729" s="2"/>
    </row>
    <row r="3730" spans="4:7" customFormat="1" x14ac:dyDescent="0.35">
      <c r="D3730" s="51"/>
      <c r="E3730" s="57"/>
      <c r="F3730" s="57"/>
      <c r="G3730" s="2"/>
    </row>
    <row r="3731" spans="4:7" customFormat="1" x14ac:dyDescent="0.35">
      <c r="D3731" s="51"/>
      <c r="E3731" s="57"/>
      <c r="F3731" s="57"/>
      <c r="G3731" s="2"/>
    </row>
    <row r="3732" spans="4:7" customFormat="1" x14ac:dyDescent="0.35">
      <c r="D3732" s="51"/>
      <c r="E3732" s="57"/>
      <c r="F3732" s="57"/>
      <c r="G3732" s="2"/>
    </row>
    <row r="3733" spans="4:7" customFormat="1" x14ac:dyDescent="0.35">
      <c r="D3733" s="51"/>
      <c r="E3733" s="57"/>
      <c r="F3733" s="57"/>
      <c r="G3733" s="2"/>
    </row>
    <row r="3734" spans="4:7" customFormat="1" x14ac:dyDescent="0.35">
      <c r="D3734" s="51"/>
      <c r="E3734" s="57"/>
      <c r="F3734" s="57"/>
      <c r="G3734" s="2"/>
    </row>
    <row r="3735" spans="4:7" customFormat="1" x14ac:dyDescent="0.35">
      <c r="D3735" s="51"/>
      <c r="E3735" s="57"/>
      <c r="F3735" s="57"/>
      <c r="G3735" s="2"/>
    </row>
    <row r="3736" spans="4:7" customFormat="1" x14ac:dyDescent="0.35">
      <c r="D3736" s="51"/>
      <c r="E3736" s="57"/>
      <c r="F3736" s="57"/>
      <c r="G3736" s="2"/>
    </row>
    <row r="3737" spans="4:7" customFormat="1" x14ac:dyDescent="0.35">
      <c r="D3737" s="51"/>
      <c r="E3737" s="57"/>
      <c r="F3737" s="57"/>
      <c r="G3737" s="2"/>
    </row>
    <row r="3738" spans="4:7" customFormat="1" x14ac:dyDescent="0.35">
      <c r="D3738" s="51"/>
      <c r="E3738" s="57"/>
      <c r="F3738" s="57"/>
      <c r="G3738" s="2"/>
    </row>
    <row r="3739" spans="4:7" customFormat="1" x14ac:dyDescent="0.35">
      <c r="D3739" s="51"/>
      <c r="E3739" s="57"/>
      <c r="F3739" s="57"/>
      <c r="G3739" s="2"/>
    </row>
    <row r="3740" spans="4:7" customFormat="1" x14ac:dyDescent="0.35">
      <c r="D3740" s="51"/>
      <c r="E3740" s="57"/>
      <c r="F3740" s="57"/>
      <c r="G3740" s="2"/>
    </row>
    <row r="3741" spans="4:7" customFormat="1" x14ac:dyDescent="0.35">
      <c r="D3741" s="51"/>
      <c r="E3741" s="57"/>
      <c r="F3741" s="57"/>
      <c r="G3741" s="2"/>
    </row>
    <row r="3742" spans="4:7" customFormat="1" x14ac:dyDescent="0.35">
      <c r="D3742" s="51"/>
      <c r="E3742" s="57"/>
      <c r="F3742" s="57"/>
      <c r="G3742" s="2"/>
    </row>
    <row r="3743" spans="4:7" customFormat="1" x14ac:dyDescent="0.35">
      <c r="D3743" s="51"/>
      <c r="E3743" s="57"/>
      <c r="F3743" s="57"/>
      <c r="G3743" s="2"/>
    </row>
    <row r="3744" spans="4:7" customFormat="1" x14ac:dyDescent="0.35">
      <c r="D3744" s="51"/>
      <c r="E3744" s="57"/>
      <c r="F3744" s="57"/>
      <c r="G3744" s="2"/>
    </row>
    <row r="3745" spans="4:7" customFormat="1" x14ac:dyDescent="0.35">
      <c r="D3745" s="51"/>
      <c r="E3745" s="57"/>
      <c r="F3745" s="57"/>
      <c r="G3745" s="2"/>
    </row>
    <row r="3746" spans="4:7" customFormat="1" x14ac:dyDescent="0.35">
      <c r="D3746" s="51"/>
      <c r="E3746" s="57"/>
      <c r="F3746" s="57"/>
      <c r="G3746" s="2"/>
    </row>
    <row r="3747" spans="4:7" customFormat="1" x14ac:dyDescent="0.35">
      <c r="D3747" s="51"/>
      <c r="E3747" s="57"/>
      <c r="F3747" s="57"/>
      <c r="G3747" s="2"/>
    </row>
    <row r="3748" spans="4:7" customFormat="1" x14ac:dyDescent="0.35">
      <c r="D3748" s="51"/>
      <c r="E3748" s="57"/>
      <c r="F3748" s="57"/>
      <c r="G3748" s="2"/>
    </row>
    <row r="3749" spans="4:7" customFormat="1" x14ac:dyDescent="0.35">
      <c r="D3749" s="51"/>
      <c r="E3749" s="57"/>
      <c r="F3749" s="57"/>
      <c r="G3749" s="2"/>
    </row>
    <row r="3750" spans="4:7" customFormat="1" x14ac:dyDescent="0.35">
      <c r="D3750" s="51"/>
      <c r="E3750" s="57"/>
      <c r="F3750" s="57"/>
      <c r="G3750" s="2"/>
    </row>
    <row r="3751" spans="4:7" customFormat="1" x14ac:dyDescent="0.35">
      <c r="D3751" s="51"/>
      <c r="E3751" s="57"/>
      <c r="F3751" s="57"/>
      <c r="G3751" s="2"/>
    </row>
    <row r="3752" spans="4:7" customFormat="1" x14ac:dyDescent="0.35">
      <c r="D3752" s="51"/>
      <c r="E3752" s="57"/>
      <c r="F3752" s="57"/>
      <c r="G3752" s="2"/>
    </row>
    <row r="3753" spans="4:7" customFormat="1" x14ac:dyDescent="0.35">
      <c r="D3753" s="51"/>
      <c r="E3753" s="57"/>
      <c r="F3753" s="57"/>
      <c r="G3753" s="2"/>
    </row>
    <row r="3754" spans="4:7" customFormat="1" x14ac:dyDescent="0.35">
      <c r="D3754" s="51"/>
      <c r="E3754" s="57"/>
      <c r="F3754" s="57"/>
      <c r="G3754" s="2"/>
    </row>
    <row r="3755" spans="4:7" customFormat="1" x14ac:dyDescent="0.35">
      <c r="D3755" s="51"/>
      <c r="E3755" s="57"/>
      <c r="F3755" s="57"/>
      <c r="G3755" s="2"/>
    </row>
    <row r="3756" spans="4:7" customFormat="1" x14ac:dyDescent="0.35">
      <c r="D3756" s="51"/>
      <c r="E3756" s="57"/>
      <c r="F3756" s="57"/>
      <c r="G3756" s="2"/>
    </row>
    <row r="3757" spans="4:7" customFormat="1" x14ac:dyDescent="0.35">
      <c r="D3757" s="51"/>
      <c r="E3757" s="57"/>
      <c r="F3757" s="57"/>
      <c r="G3757" s="2"/>
    </row>
    <row r="3758" spans="4:7" customFormat="1" x14ac:dyDescent="0.35">
      <c r="D3758" s="51"/>
      <c r="E3758" s="57"/>
      <c r="F3758" s="57"/>
      <c r="G3758" s="2"/>
    </row>
    <row r="3759" spans="4:7" customFormat="1" x14ac:dyDescent="0.35">
      <c r="D3759" s="51"/>
      <c r="E3759" s="57"/>
      <c r="F3759" s="57"/>
      <c r="G3759" s="2"/>
    </row>
    <row r="3760" spans="4:7" customFormat="1" x14ac:dyDescent="0.35">
      <c r="D3760" s="51"/>
      <c r="E3760" s="57"/>
      <c r="F3760" s="57"/>
      <c r="G3760" s="2"/>
    </row>
    <row r="3761" spans="4:7" customFormat="1" x14ac:dyDescent="0.35">
      <c r="D3761" s="51"/>
      <c r="E3761" s="57"/>
      <c r="F3761" s="57"/>
      <c r="G3761" s="2"/>
    </row>
    <row r="3762" spans="4:7" customFormat="1" x14ac:dyDescent="0.35">
      <c r="D3762" s="51"/>
      <c r="E3762" s="57"/>
      <c r="F3762" s="57"/>
      <c r="G3762" s="2"/>
    </row>
    <row r="3763" spans="4:7" customFormat="1" x14ac:dyDescent="0.35">
      <c r="D3763" s="51"/>
      <c r="E3763" s="57"/>
      <c r="F3763" s="57"/>
      <c r="G3763" s="2"/>
    </row>
    <row r="3764" spans="4:7" customFormat="1" x14ac:dyDescent="0.35">
      <c r="D3764" s="51"/>
      <c r="E3764" s="57"/>
      <c r="F3764" s="57"/>
      <c r="G3764" s="2"/>
    </row>
    <row r="3765" spans="4:7" customFormat="1" x14ac:dyDescent="0.35">
      <c r="D3765" s="51"/>
      <c r="E3765" s="57"/>
      <c r="F3765" s="57"/>
      <c r="G3765" s="2"/>
    </row>
    <row r="3766" spans="4:7" customFormat="1" x14ac:dyDescent="0.35">
      <c r="D3766" s="51"/>
      <c r="E3766" s="57"/>
      <c r="F3766" s="57"/>
      <c r="G3766" s="2"/>
    </row>
    <row r="3767" spans="4:7" customFormat="1" x14ac:dyDescent="0.35">
      <c r="D3767" s="51"/>
      <c r="E3767" s="57"/>
      <c r="F3767" s="57"/>
      <c r="G3767" s="2"/>
    </row>
    <row r="3768" spans="4:7" customFormat="1" x14ac:dyDescent="0.35">
      <c r="D3768" s="51"/>
      <c r="E3768" s="57"/>
      <c r="F3768" s="57"/>
      <c r="G3768" s="2"/>
    </row>
    <row r="3769" spans="4:7" customFormat="1" x14ac:dyDescent="0.35">
      <c r="D3769" s="51"/>
      <c r="E3769" s="57"/>
      <c r="F3769" s="57"/>
      <c r="G3769" s="2"/>
    </row>
    <row r="3770" spans="4:7" customFormat="1" x14ac:dyDescent="0.35">
      <c r="D3770" s="51"/>
      <c r="E3770" s="57"/>
      <c r="F3770" s="57"/>
      <c r="G3770" s="2"/>
    </row>
    <row r="3771" spans="4:7" customFormat="1" x14ac:dyDescent="0.35">
      <c r="D3771" s="51"/>
      <c r="E3771" s="57"/>
      <c r="F3771" s="57"/>
      <c r="G3771" s="2"/>
    </row>
    <row r="3772" spans="4:7" customFormat="1" x14ac:dyDescent="0.35">
      <c r="D3772" s="51"/>
      <c r="E3772" s="57"/>
      <c r="F3772" s="57"/>
      <c r="G3772" s="2"/>
    </row>
    <row r="3773" spans="4:7" customFormat="1" x14ac:dyDescent="0.35">
      <c r="D3773" s="51"/>
      <c r="E3773" s="57"/>
      <c r="F3773" s="57"/>
      <c r="G3773" s="2"/>
    </row>
    <row r="3774" spans="4:7" customFormat="1" x14ac:dyDescent="0.35">
      <c r="D3774" s="51"/>
      <c r="E3774" s="57"/>
      <c r="F3774" s="57"/>
      <c r="G3774" s="2"/>
    </row>
    <row r="3775" spans="4:7" customFormat="1" x14ac:dyDescent="0.35">
      <c r="D3775" s="51"/>
      <c r="E3775" s="57"/>
      <c r="F3775" s="57"/>
      <c r="G3775" s="2"/>
    </row>
    <row r="3776" spans="4:7" customFormat="1" x14ac:dyDescent="0.35">
      <c r="D3776" s="51"/>
      <c r="E3776" s="57"/>
      <c r="F3776" s="57"/>
      <c r="G3776" s="2"/>
    </row>
    <row r="3777" spans="4:7" customFormat="1" x14ac:dyDescent="0.35">
      <c r="D3777" s="51"/>
      <c r="E3777" s="57"/>
      <c r="F3777" s="57"/>
      <c r="G3777" s="2"/>
    </row>
    <row r="3778" spans="4:7" customFormat="1" x14ac:dyDescent="0.35">
      <c r="D3778" s="51"/>
      <c r="E3778" s="57"/>
      <c r="F3778" s="57"/>
      <c r="G3778" s="2"/>
    </row>
    <row r="3779" spans="4:7" customFormat="1" x14ac:dyDescent="0.35">
      <c r="D3779" s="51"/>
      <c r="E3779" s="57"/>
      <c r="F3779" s="57"/>
      <c r="G3779" s="2"/>
    </row>
    <row r="3780" spans="4:7" customFormat="1" x14ac:dyDescent="0.35">
      <c r="D3780" s="51"/>
      <c r="E3780" s="57"/>
      <c r="F3780" s="57"/>
      <c r="G3780" s="2"/>
    </row>
    <row r="3781" spans="4:7" customFormat="1" x14ac:dyDescent="0.35">
      <c r="D3781" s="51"/>
      <c r="E3781" s="57"/>
      <c r="F3781" s="57"/>
      <c r="G3781" s="2"/>
    </row>
    <row r="3782" spans="4:7" customFormat="1" x14ac:dyDescent="0.35">
      <c r="D3782" s="51"/>
      <c r="E3782" s="57"/>
      <c r="F3782" s="57"/>
      <c r="G3782" s="2"/>
    </row>
    <row r="3783" spans="4:7" customFormat="1" x14ac:dyDescent="0.35">
      <c r="D3783" s="51"/>
      <c r="E3783" s="57"/>
      <c r="F3783" s="57"/>
      <c r="G3783" s="2"/>
    </row>
    <row r="3784" spans="4:7" customFormat="1" x14ac:dyDescent="0.35">
      <c r="D3784" s="51"/>
      <c r="E3784" s="57"/>
      <c r="F3784" s="57"/>
      <c r="G3784" s="2"/>
    </row>
    <row r="3785" spans="4:7" customFormat="1" x14ac:dyDescent="0.35">
      <c r="D3785" s="51"/>
      <c r="E3785" s="57"/>
      <c r="F3785" s="57"/>
      <c r="G3785" s="2"/>
    </row>
    <row r="3786" spans="4:7" customFormat="1" x14ac:dyDescent="0.35">
      <c r="D3786" s="51"/>
      <c r="E3786" s="57"/>
      <c r="F3786" s="57"/>
      <c r="G3786" s="2"/>
    </row>
    <row r="3787" spans="4:7" customFormat="1" x14ac:dyDescent="0.35">
      <c r="D3787" s="51"/>
      <c r="E3787" s="57"/>
      <c r="F3787" s="57"/>
      <c r="G3787" s="2"/>
    </row>
    <row r="3788" spans="4:7" customFormat="1" x14ac:dyDescent="0.35">
      <c r="D3788" s="51"/>
      <c r="E3788" s="57"/>
      <c r="F3788" s="57"/>
      <c r="G3788" s="2"/>
    </row>
    <row r="3789" spans="4:7" customFormat="1" x14ac:dyDescent="0.35">
      <c r="D3789" s="51"/>
      <c r="E3789" s="57"/>
      <c r="F3789" s="57"/>
      <c r="G3789" s="2"/>
    </row>
    <row r="3790" spans="4:7" customFormat="1" x14ac:dyDescent="0.35">
      <c r="D3790" s="51"/>
      <c r="E3790" s="57"/>
      <c r="F3790" s="57"/>
      <c r="G3790" s="2"/>
    </row>
    <row r="3791" spans="4:7" customFormat="1" x14ac:dyDescent="0.35">
      <c r="D3791" s="51"/>
      <c r="E3791" s="57"/>
      <c r="F3791" s="57"/>
      <c r="G3791" s="2"/>
    </row>
    <row r="3792" spans="4:7" customFormat="1" x14ac:dyDescent="0.35">
      <c r="D3792" s="51"/>
      <c r="E3792" s="57"/>
      <c r="F3792" s="57"/>
      <c r="G3792" s="2"/>
    </row>
    <row r="3793" spans="4:7" customFormat="1" x14ac:dyDescent="0.35">
      <c r="D3793" s="51"/>
      <c r="E3793" s="57"/>
      <c r="F3793" s="57"/>
      <c r="G3793" s="2"/>
    </row>
    <row r="3794" spans="4:7" customFormat="1" x14ac:dyDescent="0.35">
      <c r="D3794" s="51"/>
      <c r="E3794" s="57"/>
      <c r="F3794" s="57"/>
      <c r="G3794" s="2"/>
    </row>
    <row r="3795" spans="4:7" customFormat="1" x14ac:dyDescent="0.35">
      <c r="D3795" s="51"/>
      <c r="E3795" s="57"/>
      <c r="F3795" s="57"/>
      <c r="G3795" s="2"/>
    </row>
    <row r="3796" spans="4:7" customFormat="1" x14ac:dyDescent="0.35">
      <c r="D3796" s="51"/>
      <c r="E3796" s="57"/>
      <c r="F3796" s="57"/>
      <c r="G3796" s="2"/>
    </row>
    <row r="3797" spans="4:7" customFormat="1" x14ac:dyDescent="0.35">
      <c r="D3797" s="51"/>
      <c r="E3797" s="57"/>
      <c r="F3797" s="57"/>
      <c r="G3797" s="2"/>
    </row>
    <row r="3798" spans="4:7" customFormat="1" x14ac:dyDescent="0.35">
      <c r="D3798" s="51"/>
      <c r="E3798" s="57"/>
      <c r="F3798" s="57"/>
      <c r="G3798" s="2"/>
    </row>
    <row r="3799" spans="4:7" customFormat="1" x14ac:dyDescent="0.35">
      <c r="D3799" s="51"/>
      <c r="E3799" s="57"/>
      <c r="F3799" s="57"/>
      <c r="G3799" s="2"/>
    </row>
    <row r="3800" spans="4:7" customFormat="1" x14ac:dyDescent="0.35">
      <c r="D3800" s="51"/>
      <c r="E3800" s="57"/>
      <c r="F3800" s="57"/>
      <c r="G3800" s="2"/>
    </row>
    <row r="3801" spans="4:7" customFormat="1" x14ac:dyDescent="0.35">
      <c r="D3801" s="51"/>
      <c r="E3801" s="57"/>
      <c r="F3801" s="57"/>
      <c r="G3801" s="2"/>
    </row>
    <row r="3802" spans="4:7" customFormat="1" x14ac:dyDescent="0.35">
      <c r="D3802" s="51"/>
      <c r="E3802" s="57"/>
      <c r="F3802" s="57"/>
      <c r="G3802" s="2"/>
    </row>
    <row r="3803" spans="4:7" customFormat="1" x14ac:dyDescent="0.35">
      <c r="D3803" s="51"/>
      <c r="E3803" s="57"/>
      <c r="F3803" s="57"/>
      <c r="G3803" s="2"/>
    </row>
    <row r="3804" spans="4:7" customFormat="1" x14ac:dyDescent="0.35">
      <c r="D3804" s="51"/>
      <c r="E3804" s="57"/>
      <c r="F3804" s="57"/>
      <c r="G3804" s="2"/>
    </row>
    <row r="3805" spans="4:7" customFormat="1" x14ac:dyDescent="0.35">
      <c r="D3805" s="51"/>
      <c r="E3805" s="57"/>
      <c r="F3805" s="57"/>
      <c r="G3805" s="2"/>
    </row>
    <row r="3806" spans="4:7" customFormat="1" x14ac:dyDescent="0.35">
      <c r="D3806" s="51"/>
      <c r="E3806" s="57"/>
      <c r="F3806" s="57"/>
      <c r="G3806" s="2"/>
    </row>
    <row r="3807" spans="4:7" customFormat="1" x14ac:dyDescent="0.35">
      <c r="D3807" s="51"/>
      <c r="E3807" s="57"/>
      <c r="F3807" s="57"/>
      <c r="G3807" s="2"/>
    </row>
    <row r="3808" spans="4:7" customFormat="1" x14ac:dyDescent="0.35">
      <c r="D3808" s="51"/>
      <c r="E3808" s="57"/>
      <c r="F3808" s="57"/>
      <c r="G3808" s="2"/>
    </row>
    <row r="3809" spans="4:7" customFormat="1" x14ac:dyDescent="0.35">
      <c r="D3809" s="51"/>
      <c r="E3809" s="57"/>
      <c r="F3809" s="57"/>
      <c r="G3809" s="2"/>
    </row>
    <row r="3810" spans="4:7" customFormat="1" x14ac:dyDescent="0.35">
      <c r="D3810" s="51"/>
      <c r="E3810" s="57"/>
      <c r="F3810" s="57"/>
      <c r="G3810" s="2"/>
    </row>
    <row r="3811" spans="4:7" customFormat="1" x14ac:dyDescent="0.35">
      <c r="D3811" s="51"/>
      <c r="E3811" s="57"/>
      <c r="F3811" s="57"/>
      <c r="G3811" s="2"/>
    </row>
    <row r="3812" spans="4:7" customFormat="1" x14ac:dyDescent="0.35">
      <c r="D3812" s="51"/>
      <c r="E3812" s="57"/>
      <c r="F3812" s="57"/>
      <c r="G3812" s="2"/>
    </row>
    <row r="3813" spans="4:7" customFormat="1" x14ac:dyDescent="0.35">
      <c r="D3813" s="51"/>
      <c r="E3813" s="57"/>
      <c r="F3813" s="57"/>
      <c r="G3813" s="2"/>
    </row>
    <row r="3814" spans="4:7" customFormat="1" x14ac:dyDescent="0.35">
      <c r="D3814" s="51"/>
      <c r="E3814" s="57"/>
      <c r="F3814" s="57"/>
      <c r="G3814" s="2"/>
    </row>
    <row r="3815" spans="4:7" customFormat="1" x14ac:dyDescent="0.35">
      <c r="D3815" s="51"/>
      <c r="E3815" s="57"/>
      <c r="F3815" s="57"/>
      <c r="G3815" s="2"/>
    </row>
    <row r="3816" spans="4:7" customFormat="1" x14ac:dyDescent="0.35">
      <c r="D3816" s="51"/>
      <c r="E3816" s="57"/>
      <c r="F3816" s="57"/>
      <c r="G3816" s="2"/>
    </row>
    <row r="3817" spans="4:7" customFormat="1" x14ac:dyDescent="0.35">
      <c r="D3817" s="51"/>
      <c r="E3817" s="57"/>
      <c r="F3817" s="57"/>
      <c r="G3817" s="2"/>
    </row>
    <row r="3818" spans="4:7" customFormat="1" x14ac:dyDescent="0.35">
      <c r="D3818" s="51"/>
      <c r="E3818" s="57"/>
      <c r="F3818" s="57"/>
      <c r="G3818" s="2"/>
    </row>
    <row r="3819" spans="4:7" customFormat="1" x14ac:dyDescent="0.35">
      <c r="D3819" s="51"/>
      <c r="E3819" s="57"/>
      <c r="F3819" s="57"/>
      <c r="G3819" s="2"/>
    </row>
    <row r="3820" spans="4:7" customFormat="1" x14ac:dyDescent="0.35">
      <c r="D3820" s="51"/>
      <c r="E3820" s="57"/>
      <c r="F3820" s="57"/>
      <c r="G3820" s="2"/>
    </row>
    <row r="3821" spans="4:7" customFormat="1" x14ac:dyDescent="0.35">
      <c r="D3821" s="51"/>
      <c r="E3821" s="57"/>
      <c r="F3821" s="57"/>
      <c r="G3821" s="2"/>
    </row>
    <row r="3822" spans="4:7" customFormat="1" x14ac:dyDescent="0.35">
      <c r="D3822" s="51"/>
      <c r="E3822" s="57"/>
      <c r="F3822" s="57"/>
      <c r="G3822" s="2"/>
    </row>
    <row r="3823" spans="4:7" customFormat="1" x14ac:dyDescent="0.35">
      <c r="D3823" s="51"/>
      <c r="E3823" s="57"/>
      <c r="F3823" s="57"/>
      <c r="G3823" s="2"/>
    </row>
    <row r="3824" spans="4:7" customFormat="1" x14ac:dyDescent="0.35">
      <c r="D3824" s="51"/>
      <c r="E3824" s="57"/>
      <c r="F3824" s="57"/>
      <c r="G3824" s="2"/>
    </row>
    <row r="3825" spans="4:7" customFormat="1" x14ac:dyDescent="0.35">
      <c r="D3825" s="51"/>
      <c r="E3825" s="57"/>
      <c r="F3825" s="57"/>
      <c r="G3825" s="2"/>
    </row>
    <row r="3826" spans="4:7" customFormat="1" x14ac:dyDescent="0.35">
      <c r="D3826" s="51"/>
      <c r="E3826" s="57"/>
      <c r="F3826" s="57"/>
      <c r="G3826" s="2"/>
    </row>
    <row r="3827" spans="4:7" customFormat="1" x14ac:dyDescent="0.35">
      <c r="D3827" s="51"/>
      <c r="E3827" s="57"/>
      <c r="F3827" s="57"/>
      <c r="G3827" s="2"/>
    </row>
    <row r="3828" spans="4:7" customFormat="1" x14ac:dyDescent="0.35">
      <c r="D3828" s="51"/>
      <c r="E3828" s="57"/>
      <c r="F3828" s="57"/>
      <c r="G3828" s="2"/>
    </row>
    <row r="3829" spans="4:7" customFormat="1" x14ac:dyDescent="0.35">
      <c r="D3829" s="51"/>
      <c r="E3829" s="57"/>
      <c r="F3829" s="57"/>
      <c r="G3829" s="2"/>
    </row>
    <row r="3830" spans="4:7" customFormat="1" x14ac:dyDescent="0.35">
      <c r="D3830" s="51"/>
      <c r="E3830" s="57"/>
      <c r="F3830" s="57"/>
      <c r="G3830" s="2"/>
    </row>
    <row r="3831" spans="4:7" customFormat="1" x14ac:dyDescent="0.35">
      <c r="D3831" s="51"/>
      <c r="E3831" s="57"/>
      <c r="F3831" s="57"/>
      <c r="G3831" s="2"/>
    </row>
    <row r="3832" spans="4:7" customFormat="1" x14ac:dyDescent="0.35">
      <c r="D3832" s="51"/>
      <c r="E3832" s="57"/>
      <c r="F3832" s="57"/>
      <c r="G3832" s="2"/>
    </row>
    <row r="3833" spans="4:7" customFormat="1" x14ac:dyDescent="0.35">
      <c r="D3833" s="51"/>
      <c r="E3833" s="57"/>
      <c r="F3833" s="57"/>
      <c r="G3833" s="2"/>
    </row>
    <row r="3834" spans="4:7" customFormat="1" x14ac:dyDescent="0.35">
      <c r="D3834" s="51"/>
      <c r="E3834" s="57"/>
      <c r="F3834" s="57"/>
      <c r="G3834" s="2"/>
    </row>
    <row r="3835" spans="4:7" customFormat="1" x14ac:dyDescent="0.35">
      <c r="D3835" s="51"/>
      <c r="E3835" s="57"/>
      <c r="F3835" s="57"/>
      <c r="G3835" s="2"/>
    </row>
    <row r="3836" spans="4:7" customFormat="1" x14ac:dyDescent="0.35">
      <c r="D3836" s="51"/>
      <c r="E3836" s="57"/>
      <c r="F3836" s="57"/>
      <c r="G3836" s="2"/>
    </row>
    <row r="3837" spans="4:7" customFormat="1" x14ac:dyDescent="0.35">
      <c r="D3837" s="51"/>
      <c r="E3837" s="57"/>
      <c r="F3837" s="57"/>
      <c r="G3837" s="2"/>
    </row>
    <row r="3838" spans="4:7" customFormat="1" x14ac:dyDescent="0.35">
      <c r="D3838" s="51"/>
      <c r="E3838" s="57"/>
      <c r="F3838" s="57"/>
      <c r="G3838" s="2"/>
    </row>
    <row r="3839" spans="4:7" customFormat="1" x14ac:dyDescent="0.35">
      <c r="D3839" s="51"/>
      <c r="E3839" s="57"/>
      <c r="F3839" s="57"/>
      <c r="G3839" s="2"/>
    </row>
    <row r="3840" spans="4:7" customFormat="1" x14ac:dyDescent="0.35">
      <c r="D3840" s="51"/>
      <c r="E3840" s="57"/>
      <c r="F3840" s="57"/>
      <c r="G3840" s="2"/>
    </row>
    <row r="3841" spans="4:7" customFormat="1" x14ac:dyDescent="0.35">
      <c r="D3841" s="51"/>
      <c r="E3841" s="57"/>
      <c r="F3841" s="57"/>
      <c r="G3841" s="2"/>
    </row>
    <row r="3842" spans="4:7" customFormat="1" x14ac:dyDescent="0.35">
      <c r="D3842" s="51"/>
      <c r="E3842" s="57"/>
      <c r="F3842" s="57"/>
      <c r="G3842" s="2"/>
    </row>
    <row r="3843" spans="4:7" customFormat="1" x14ac:dyDescent="0.35">
      <c r="D3843" s="51"/>
      <c r="E3843" s="57"/>
      <c r="F3843" s="57"/>
      <c r="G3843" s="2"/>
    </row>
    <row r="3844" spans="4:7" customFormat="1" x14ac:dyDescent="0.35">
      <c r="D3844" s="51"/>
      <c r="E3844" s="57"/>
      <c r="F3844" s="57"/>
      <c r="G3844" s="2"/>
    </row>
    <row r="3845" spans="4:7" customFormat="1" x14ac:dyDescent="0.35">
      <c r="D3845" s="51"/>
      <c r="E3845" s="57"/>
      <c r="F3845" s="57"/>
      <c r="G3845" s="2"/>
    </row>
    <row r="3846" spans="4:7" customFormat="1" x14ac:dyDescent="0.35">
      <c r="D3846" s="51"/>
      <c r="E3846" s="57"/>
      <c r="F3846" s="57"/>
      <c r="G3846" s="2"/>
    </row>
    <row r="3847" spans="4:7" customFormat="1" x14ac:dyDescent="0.35">
      <c r="D3847" s="51"/>
      <c r="E3847" s="57"/>
      <c r="F3847" s="57"/>
      <c r="G3847" s="2"/>
    </row>
    <row r="3848" spans="4:7" customFormat="1" x14ac:dyDescent="0.35">
      <c r="D3848" s="51"/>
      <c r="E3848" s="57"/>
      <c r="F3848" s="57"/>
      <c r="G3848" s="2"/>
    </row>
    <row r="3849" spans="4:7" customFormat="1" x14ac:dyDescent="0.35">
      <c r="D3849" s="51"/>
      <c r="E3849" s="57"/>
      <c r="F3849" s="57"/>
      <c r="G3849" s="2"/>
    </row>
    <row r="3850" spans="4:7" customFormat="1" x14ac:dyDescent="0.35">
      <c r="D3850" s="51"/>
      <c r="E3850" s="57"/>
      <c r="F3850" s="57"/>
      <c r="G3850" s="2"/>
    </row>
    <row r="3851" spans="4:7" customFormat="1" x14ac:dyDescent="0.35">
      <c r="D3851" s="51"/>
      <c r="E3851" s="57"/>
      <c r="F3851" s="57"/>
      <c r="G3851" s="2"/>
    </row>
    <row r="3852" spans="4:7" customFormat="1" x14ac:dyDescent="0.35">
      <c r="D3852" s="51"/>
      <c r="E3852" s="57"/>
      <c r="F3852" s="57"/>
      <c r="G3852" s="2"/>
    </row>
    <row r="3853" spans="4:7" customFormat="1" x14ac:dyDescent="0.35">
      <c r="D3853" s="51"/>
      <c r="E3853" s="57"/>
      <c r="F3853" s="57"/>
      <c r="G3853" s="2"/>
    </row>
    <row r="3854" spans="4:7" customFormat="1" x14ac:dyDescent="0.35">
      <c r="D3854" s="51"/>
      <c r="E3854" s="57"/>
      <c r="F3854" s="57"/>
      <c r="G3854" s="2"/>
    </row>
    <row r="3855" spans="4:7" customFormat="1" x14ac:dyDescent="0.35">
      <c r="D3855" s="51"/>
      <c r="E3855" s="57"/>
      <c r="F3855" s="57"/>
      <c r="G3855" s="2"/>
    </row>
    <row r="3856" spans="4:7" customFormat="1" x14ac:dyDescent="0.35">
      <c r="D3856" s="51"/>
      <c r="E3856" s="57"/>
      <c r="F3856" s="57"/>
      <c r="G3856" s="2"/>
    </row>
    <row r="3857" spans="4:7" customFormat="1" x14ac:dyDescent="0.35">
      <c r="D3857" s="51"/>
      <c r="E3857" s="57"/>
      <c r="F3857" s="57"/>
      <c r="G3857" s="2"/>
    </row>
    <row r="3858" spans="4:7" customFormat="1" x14ac:dyDescent="0.35">
      <c r="D3858" s="51"/>
      <c r="E3858" s="57"/>
      <c r="F3858" s="57"/>
      <c r="G3858" s="2"/>
    </row>
    <row r="3859" spans="4:7" customFormat="1" x14ac:dyDescent="0.35">
      <c r="D3859" s="51"/>
      <c r="E3859" s="57"/>
      <c r="F3859" s="57"/>
      <c r="G3859" s="2"/>
    </row>
    <row r="3860" spans="4:7" customFormat="1" x14ac:dyDescent="0.35">
      <c r="D3860" s="51"/>
      <c r="E3860" s="57"/>
      <c r="F3860" s="57"/>
      <c r="G3860" s="2"/>
    </row>
    <row r="3861" spans="4:7" customFormat="1" x14ac:dyDescent="0.35">
      <c r="D3861" s="51"/>
      <c r="E3861" s="57"/>
      <c r="F3861" s="57"/>
      <c r="G3861" s="2"/>
    </row>
    <row r="3862" spans="4:7" customFormat="1" x14ac:dyDescent="0.35">
      <c r="D3862" s="51"/>
      <c r="E3862" s="57"/>
      <c r="F3862" s="57"/>
      <c r="G3862" s="2"/>
    </row>
    <row r="3863" spans="4:7" customFormat="1" x14ac:dyDescent="0.35">
      <c r="D3863" s="51"/>
      <c r="E3863" s="57"/>
      <c r="F3863" s="57"/>
      <c r="G3863" s="2"/>
    </row>
    <row r="3864" spans="4:7" customFormat="1" x14ac:dyDescent="0.35">
      <c r="D3864" s="51"/>
      <c r="E3864" s="57"/>
      <c r="F3864" s="57"/>
      <c r="G3864" s="2"/>
    </row>
    <row r="3865" spans="4:7" customFormat="1" x14ac:dyDescent="0.35">
      <c r="D3865" s="51"/>
      <c r="E3865" s="57"/>
      <c r="F3865" s="57"/>
      <c r="G3865" s="2"/>
    </row>
    <row r="3866" spans="4:7" customFormat="1" x14ac:dyDescent="0.35">
      <c r="D3866" s="51"/>
      <c r="E3866" s="57"/>
      <c r="F3866" s="57"/>
      <c r="G3866" s="2"/>
    </row>
    <row r="3867" spans="4:7" customFormat="1" x14ac:dyDescent="0.35">
      <c r="D3867" s="51"/>
      <c r="E3867" s="57"/>
      <c r="F3867" s="57"/>
      <c r="G3867" s="2"/>
    </row>
    <row r="3868" spans="4:7" customFormat="1" x14ac:dyDescent="0.35">
      <c r="D3868" s="51"/>
      <c r="E3868" s="57"/>
      <c r="F3868" s="57"/>
      <c r="G3868" s="2"/>
    </row>
    <row r="3869" spans="4:7" customFormat="1" x14ac:dyDescent="0.35">
      <c r="D3869" s="51"/>
      <c r="E3869" s="57"/>
      <c r="F3869" s="57"/>
      <c r="G3869" s="2"/>
    </row>
    <row r="3870" spans="4:7" customFormat="1" x14ac:dyDescent="0.35">
      <c r="D3870" s="51"/>
      <c r="E3870" s="57"/>
      <c r="F3870" s="57"/>
      <c r="G3870" s="2"/>
    </row>
    <row r="3871" spans="4:7" customFormat="1" x14ac:dyDescent="0.35">
      <c r="D3871" s="51"/>
      <c r="E3871" s="57"/>
      <c r="F3871" s="57"/>
      <c r="G3871" s="2"/>
    </row>
    <row r="3872" spans="4:7" customFormat="1" x14ac:dyDescent="0.35">
      <c r="D3872" s="51"/>
      <c r="E3872" s="57"/>
      <c r="F3872" s="57"/>
      <c r="G3872" s="2"/>
    </row>
    <row r="3873" spans="4:7" customFormat="1" x14ac:dyDescent="0.35">
      <c r="D3873" s="51"/>
      <c r="E3873" s="57"/>
      <c r="F3873" s="57"/>
      <c r="G3873" s="2"/>
    </row>
    <row r="3874" spans="4:7" customFormat="1" x14ac:dyDescent="0.35">
      <c r="D3874" s="51"/>
      <c r="E3874" s="57"/>
      <c r="F3874" s="57"/>
      <c r="G3874" s="2"/>
    </row>
    <row r="3875" spans="4:7" customFormat="1" x14ac:dyDescent="0.35">
      <c r="D3875" s="51"/>
      <c r="E3875" s="57"/>
      <c r="F3875" s="57"/>
      <c r="G3875" s="2"/>
    </row>
    <row r="3876" spans="4:7" customFormat="1" x14ac:dyDescent="0.35">
      <c r="D3876" s="51"/>
      <c r="E3876" s="57"/>
      <c r="F3876" s="57"/>
      <c r="G3876" s="2"/>
    </row>
    <row r="3877" spans="4:7" customFormat="1" x14ac:dyDescent="0.35">
      <c r="D3877" s="51"/>
      <c r="E3877" s="57"/>
      <c r="F3877" s="57"/>
      <c r="G3877" s="2"/>
    </row>
    <row r="3878" spans="4:7" customFormat="1" x14ac:dyDescent="0.35">
      <c r="D3878" s="51"/>
      <c r="E3878" s="57"/>
      <c r="F3878" s="57"/>
      <c r="G3878" s="2"/>
    </row>
    <row r="3879" spans="4:7" customFormat="1" x14ac:dyDescent="0.35">
      <c r="D3879" s="51"/>
      <c r="E3879" s="57"/>
      <c r="F3879" s="57"/>
      <c r="G3879" s="2"/>
    </row>
    <row r="3880" spans="4:7" customFormat="1" x14ac:dyDescent="0.35">
      <c r="D3880" s="51"/>
      <c r="E3880" s="57"/>
      <c r="F3880" s="57"/>
      <c r="G3880" s="2"/>
    </row>
    <row r="3881" spans="4:7" customFormat="1" x14ac:dyDescent="0.35">
      <c r="D3881" s="51"/>
      <c r="E3881" s="57"/>
      <c r="F3881" s="57"/>
      <c r="G3881" s="2"/>
    </row>
    <row r="3882" spans="4:7" customFormat="1" x14ac:dyDescent="0.35">
      <c r="D3882" s="51"/>
      <c r="E3882" s="57"/>
      <c r="F3882" s="57"/>
      <c r="G3882" s="2"/>
    </row>
    <row r="3883" spans="4:7" customFormat="1" x14ac:dyDescent="0.35">
      <c r="D3883" s="51"/>
      <c r="E3883" s="57"/>
      <c r="F3883" s="57"/>
      <c r="G3883" s="2"/>
    </row>
    <row r="3884" spans="4:7" customFormat="1" x14ac:dyDescent="0.35">
      <c r="D3884" s="51"/>
      <c r="E3884" s="57"/>
      <c r="F3884" s="57"/>
      <c r="G3884" s="2"/>
    </row>
    <row r="3885" spans="4:7" customFormat="1" x14ac:dyDescent="0.35">
      <c r="D3885" s="51"/>
      <c r="E3885" s="57"/>
      <c r="F3885" s="57"/>
      <c r="G3885" s="2"/>
    </row>
    <row r="3886" spans="4:7" customFormat="1" x14ac:dyDescent="0.35">
      <c r="D3886" s="51"/>
      <c r="E3886" s="57"/>
      <c r="F3886" s="57"/>
      <c r="G3886" s="2"/>
    </row>
    <row r="3887" spans="4:7" customFormat="1" x14ac:dyDescent="0.35">
      <c r="D3887" s="51"/>
      <c r="E3887" s="57"/>
      <c r="F3887" s="57"/>
      <c r="G3887" s="2"/>
    </row>
    <row r="3888" spans="4:7" customFormat="1" x14ac:dyDescent="0.35">
      <c r="D3888" s="51"/>
      <c r="E3888" s="57"/>
      <c r="F3888" s="57"/>
      <c r="G3888" s="2"/>
    </row>
    <row r="3889" spans="4:7" customFormat="1" x14ac:dyDescent="0.35">
      <c r="D3889" s="51"/>
      <c r="E3889" s="57"/>
      <c r="F3889" s="57"/>
      <c r="G3889" s="2"/>
    </row>
    <row r="3890" spans="4:7" customFormat="1" x14ac:dyDescent="0.35">
      <c r="D3890" s="51"/>
      <c r="E3890" s="57"/>
      <c r="F3890" s="57"/>
      <c r="G3890" s="2"/>
    </row>
    <row r="3891" spans="4:7" customFormat="1" x14ac:dyDescent="0.35">
      <c r="D3891" s="51"/>
      <c r="E3891" s="57"/>
      <c r="F3891" s="57"/>
      <c r="G3891" s="2"/>
    </row>
    <row r="3892" spans="4:7" customFormat="1" x14ac:dyDescent="0.35">
      <c r="D3892" s="51"/>
      <c r="E3892" s="57"/>
      <c r="F3892" s="57"/>
      <c r="G3892" s="2"/>
    </row>
    <row r="3893" spans="4:7" customFormat="1" x14ac:dyDescent="0.35">
      <c r="D3893" s="51"/>
      <c r="E3893" s="57"/>
      <c r="F3893" s="57"/>
      <c r="G3893" s="2"/>
    </row>
    <row r="3894" spans="4:7" customFormat="1" x14ac:dyDescent="0.35">
      <c r="D3894" s="51"/>
      <c r="E3894" s="57"/>
      <c r="F3894" s="57"/>
      <c r="G3894" s="2"/>
    </row>
    <row r="3895" spans="4:7" customFormat="1" x14ac:dyDescent="0.35">
      <c r="D3895" s="51"/>
      <c r="E3895" s="57"/>
      <c r="F3895" s="57"/>
      <c r="G3895" s="2"/>
    </row>
    <row r="3896" spans="4:7" customFormat="1" x14ac:dyDescent="0.35">
      <c r="D3896" s="51"/>
      <c r="E3896" s="57"/>
      <c r="F3896" s="57"/>
      <c r="G3896" s="2"/>
    </row>
    <row r="3897" spans="4:7" customFormat="1" x14ac:dyDescent="0.35">
      <c r="D3897" s="51"/>
      <c r="E3897" s="57"/>
      <c r="F3897" s="57"/>
      <c r="G3897" s="2"/>
    </row>
    <row r="3898" spans="4:7" customFormat="1" x14ac:dyDescent="0.35">
      <c r="D3898" s="51"/>
      <c r="E3898" s="57"/>
      <c r="F3898" s="57"/>
      <c r="G3898" s="2"/>
    </row>
    <row r="3899" spans="4:7" customFormat="1" x14ac:dyDescent="0.35">
      <c r="D3899" s="51"/>
      <c r="E3899" s="57"/>
      <c r="F3899" s="57"/>
      <c r="G3899" s="2"/>
    </row>
    <row r="3900" spans="4:7" customFormat="1" x14ac:dyDescent="0.35">
      <c r="D3900" s="51"/>
      <c r="E3900" s="57"/>
      <c r="F3900" s="57"/>
      <c r="G3900" s="2"/>
    </row>
    <row r="3901" spans="4:7" customFormat="1" x14ac:dyDescent="0.35">
      <c r="D3901" s="51"/>
      <c r="E3901" s="57"/>
      <c r="F3901" s="57"/>
      <c r="G3901" s="2"/>
    </row>
    <row r="3902" spans="4:7" customFormat="1" x14ac:dyDescent="0.35">
      <c r="D3902" s="51"/>
      <c r="E3902" s="57"/>
      <c r="F3902" s="57"/>
      <c r="G3902" s="2"/>
    </row>
    <row r="3903" spans="4:7" customFormat="1" x14ac:dyDescent="0.35">
      <c r="D3903" s="51"/>
      <c r="E3903" s="57"/>
      <c r="F3903" s="57"/>
      <c r="G3903" s="2"/>
    </row>
    <row r="3904" spans="4:7" customFormat="1" x14ac:dyDescent="0.35">
      <c r="D3904" s="51"/>
      <c r="E3904" s="57"/>
      <c r="F3904" s="57"/>
      <c r="G3904" s="2"/>
    </row>
    <row r="3905" spans="4:7" customFormat="1" x14ac:dyDescent="0.35">
      <c r="D3905" s="51"/>
      <c r="E3905" s="57"/>
      <c r="F3905" s="57"/>
      <c r="G3905" s="2"/>
    </row>
    <row r="3906" spans="4:7" customFormat="1" x14ac:dyDescent="0.35">
      <c r="D3906" s="51"/>
      <c r="E3906" s="57"/>
      <c r="F3906" s="57"/>
      <c r="G3906" s="2"/>
    </row>
    <row r="3907" spans="4:7" customFormat="1" x14ac:dyDescent="0.35">
      <c r="D3907" s="51"/>
      <c r="E3907" s="57"/>
      <c r="F3907" s="57"/>
      <c r="G3907" s="2"/>
    </row>
    <row r="3908" spans="4:7" customFormat="1" x14ac:dyDescent="0.35">
      <c r="D3908" s="51"/>
      <c r="E3908" s="57"/>
      <c r="F3908" s="57"/>
      <c r="G3908" s="2"/>
    </row>
    <row r="3909" spans="4:7" customFormat="1" x14ac:dyDescent="0.35">
      <c r="D3909" s="51"/>
      <c r="E3909" s="57"/>
      <c r="F3909" s="57"/>
      <c r="G3909" s="2"/>
    </row>
    <row r="3910" spans="4:7" customFormat="1" x14ac:dyDescent="0.35">
      <c r="D3910" s="51"/>
      <c r="E3910" s="57"/>
      <c r="F3910" s="57"/>
      <c r="G3910" s="2"/>
    </row>
    <row r="3911" spans="4:7" customFormat="1" x14ac:dyDescent="0.35">
      <c r="D3911" s="51"/>
      <c r="E3911" s="57"/>
      <c r="F3911" s="57"/>
      <c r="G3911" s="2"/>
    </row>
    <row r="3912" spans="4:7" customFormat="1" x14ac:dyDescent="0.35">
      <c r="D3912" s="51"/>
      <c r="E3912" s="57"/>
      <c r="F3912" s="57"/>
      <c r="G3912" s="2"/>
    </row>
    <row r="3913" spans="4:7" customFormat="1" x14ac:dyDescent="0.35">
      <c r="D3913" s="51"/>
      <c r="E3913" s="57"/>
      <c r="F3913" s="57"/>
      <c r="G3913" s="2"/>
    </row>
    <row r="3914" spans="4:7" customFormat="1" x14ac:dyDescent="0.35">
      <c r="D3914" s="51"/>
      <c r="E3914" s="57"/>
      <c r="F3914" s="57"/>
      <c r="G3914" s="2"/>
    </row>
    <row r="3915" spans="4:7" customFormat="1" x14ac:dyDescent="0.35">
      <c r="D3915" s="51"/>
      <c r="E3915" s="57"/>
      <c r="F3915" s="57"/>
      <c r="G3915" s="2"/>
    </row>
    <row r="3916" spans="4:7" customFormat="1" x14ac:dyDescent="0.35">
      <c r="D3916" s="51"/>
      <c r="E3916" s="57"/>
      <c r="F3916" s="57"/>
      <c r="G3916" s="2"/>
    </row>
    <row r="3917" spans="4:7" customFormat="1" x14ac:dyDescent="0.35">
      <c r="D3917" s="51"/>
      <c r="E3917" s="57"/>
      <c r="F3917" s="57"/>
      <c r="G3917" s="2"/>
    </row>
    <row r="3918" spans="4:7" customFormat="1" x14ac:dyDescent="0.35">
      <c r="D3918" s="51"/>
      <c r="E3918" s="57"/>
      <c r="F3918" s="57"/>
      <c r="G3918" s="2"/>
    </row>
    <row r="3919" spans="4:7" customFormat="1" x14ac:dyDescent="0.35">
      <c r="D3919" s="51"/>
      <c r="E3919" s="57"/>
      <c r="F3919" s="57"/>
      <c r="G3919" s="2"/>
    </row>
    <row r="3920" spans="4:7" customFormat="1" x14ac:dyDescent="0.35">
      <c r="D3920" s="51"/>
      <c r="E3920" s="57"/>
      <c r="F3920" s="57"/>
      <c r="G3920" s="2"/>
    </row>
    <row r="3921" spans="4:7" customFormat="1" x14ac:dyDescent="0.35">
      <c r="D3921" s="51"/>
      <c r="E3921" s="57"/>
      <c r="F3921" s="57"/>
      <c r="G3921" s="2"/>
    </row>
    <row r="3922" spans="4:7" customFormat="1" x14ac:dyDescent="0.35">
      <c r="D3922" s="51"/>
      <c r="E3922" s="57"/>
      <c r="F3922" s="57"/>
      <c r="G3922" s="2"/>
    </row>
    <row r="3923" spans="4:7" customFormat="1" x14ac:dyDescent="0.35">
      <c r="D3923" s="51"/>
      <c r="E3923" s="57"/>
      <c r="F3923" s="57"/>
      <c r="G3923" s="2"/>
    </row>
    <row r="3924" spans="4:7" customFormat="1" x14ac:dyDescent="0.35">
      <c r="D3924" s="51"/>
      <c r="E3924" s="57"/>
      <c r="F3924" s="57"/>
      <c r="G3924" s="2"/>
    </row>
    <row r="3925" spans="4:7" customFormat="1" x14ac:dyDescent="0.35">
      <c r="D3925" s="51"/>
      <c r="E3925" s="57"/>
      <c r="F3925" s="57"/>
      <c r="G3925" s="2"/>
    </row>
    <row r="3926" spans="4:7" customFormat="1" x14ac:dyDescent="0.35">
      <c r="D3926" s="51"/>
      <c r="E3926" s="57"/>
      <c r="F3926" s="57"/>
      <c r="G3926" s="2"/>
    </row>
    <row r="3927" spans="4:7" customFormat="1" x14ac:dyDescent="0.35">
      <c r="D3927" s="51"/>
      <c r="E3927" s="57"/>
      <c r="F3927" s="57"/>
      <c r="G3927" s="2"/>
    </row>
    <row r="3928" spans="4:7" customFormat="1" x14ac:dyDescent="0.35">
      <c r="D3928" s="51"/>
      <c r="E3928" s="57"/>
      <c r="F3928" s="57"/>
      <c r="G3928" s="2"/>
    </row>
    <row r="3929" spans="4:7" customFormat="1" x14ac:dyDescent="0.35">
      <c r="D3929" s="51"/>
      <c r="E3929" s="57"/>
      <c r="F3929" s="57"/>
      <c r="G3929" s="2"/>
    </row>
    <row r="3930" spans="4:7" customFormat="1" x14ac:dyDescent="0.35">
      <c r="D3930" s="51"/>
      <c r="E3930" s="57"/>
      <c r="F3930" s="57"/>
      <c r="G3930" s="2"/>
    </row>
    <row r="3931" spans="4:7" customFormat="1" x14ac:dyDescent="0.35">
      <c r="D3931" s="51"/>
      <c r="E3931" s="57"/>
      <c r="F3931" s="57"/>
      <c r="G3931" s="2"/>
    </row>
    <row r="3932" spans="4:7" customFormat="1" x14ac:dyDescent="0.35">
      <c r="D3932" s="51"/>
      <c r="E3932" s="57"/>
      <c r="F3932" s="57"/>
      <c r="G3932" s="2"/>
    </row>
    <row r="3933" spans="4:7" customFormat="1" x14ac:dyDescent="0.35">
      <c r="D3933" s="51"/>
      <c r="E3933" s="57"/>
      <c r="F3933" s="57"/>
      <c r="G3933" s="2"/>
    </row>
    <row r="3934" spans="4:7" customFormat="1" x14ac:dyDescent="0.35">
      <c r="D3934" s="51"/>
      <c r="E3934" s="57"/>
      <c r="F3934" s="57"/>
      <c r="G3934" s="2"/>
    </row>
    <row r="3935" spans="4:7" customFormat="1" x14ac:dyDescent="0.35">
      <c r="D3935" s="51"/>
      <c r="E3935" s="57"/>
      <c r="F3935" s="57"/>
      <c r="G3935" s="2"/>
    </row>
    <row r="3936" spans="4:7" customFormat="1" x14ac:dyDescent="0.35">
      <c r="D3936" s="51"/>
      <c r="E3936" s="57"/>
      <c r="F3936" s="57"/>
      <c r="G3936" s="2"/>
    </row>
    <row r="3937" spans="4:7" customFormat="1" x14ac:dyDescent="0.35">
      <c r="D3937" s="51"/>
      <c r="E3937" s="57"/>
      <c r="F3937" s="57"/>
      <c r="G3937" s="2"/>
    </row>
    <row r="3938" spans="4:7" customFormat="1" x14ac:dyDescent="0.35">
      <c r="D3938" s="51"/>
      <c r="E3938" s="57"/>
      <c r="F3938" s="57"/>
      <c r="G3938" s="2"/>
    </row>
    <row r="3939" spans="4:7" customFormat="1" x14ac:dyDescent="0.35">
      <c r="D3939" s="51"/>
      <c r="E3939" s="57"/>
      <c r="F3939" s="57"/>
      <c r="G3939" s="2"/>
    </row>
    <row r="3940" spans="4:7" customFormat="1" x14ac:dyDescent="0.35">
      <c r="D3940" s="51"/>
      <c r="E3940" s="57"/>
      <c r="F3940" s="57"/>
      <c r="G3940" s="2"/>
    </row>
    <row r="3941" spans="4:7" customFormat="1" x14ac:dyDescent="0.35">
      <c r="D3941" s="51"/>
      <c r="E3941" s="57"/>
      <c r="F3941" s="57"/>
      <c r="G3941" s="2"/>
    </row>
    <row r="3942" spans="4:7" customFormat="1" x14ac:dyDescent="0.35">
      <c r="D3942" s="51"/>
      <c r="E3942" s="57"/>
      <c r="F3942" s="57"/>
      <c r="G3942" s="2"/>
    </row>
    <row r="3943" spans="4:7" customFormat="1" x14ac:dyDescent="0.35">
      <c r="D3943" s="51"/>
      <c r="E3943" s="57"/>
      <c r="F3943" s="57"/>
      <c r="G3943" s="2"/>
    </row>
    <row r="3944" spans="4:7" customFormat="1" x14ac:dyDescent="0.35">
      <c r="D3944" s="51"/>
      <c r="E3944" s="57"/>
      <c r="F3944" s="57"/>
      <c r="G3944" s="2"/>
    </row>
    <row r="3945" spans="4:7" customFormat="1" x14ac:dyDescent="0.35">
      <c r="D3945" s="51"/>
      <c r="E3945" s="57"/>
      <c r="F3945" s="57"/>
      <c r="G3945" s="2"/>
    </row>
    <row r="3946" spans="4:7" customFormat="1" x14ac:dyDescent="0.35">
      <c r="D3946" s="51"/>
      <c r="E3946" s="57"/>
      <c r="F3946" s="57"/>
      <c r="G3946" s="2"/>
    </row>
    <row r="3947" spans="4:7" customFormat="1" x14ac:dyDescent="0.35">
      <c r="D3947" s="51"/>
      <c r="E3947" s="57"/>
      <c r="F3947" s="57"/>
      <c r="G3947" s="2"/>
    </row>
    <row r="3948" spans="4:7" customFormat="1" x14ac:dyDescent="0.35">
      <c r="D3948" s="51"/>
      <c r="E3948" s="57"/>
      <c r="F3948" s="57"/>
      <c r="G3948" s="2"/>
    </row>
    <row r="3949" spans="4:7" customFormat="1" x14ac:dyDescent="0.35">
      <c r="D3949" s="51"/>
      <c r="E3949" s="57"/>
      <c r="F3949" s="57"/>
      <c r="G3949" s="2"/>
    </row>
    <row r="3950" spans="4:7" customFormat="1" x14ac:dyDescent="0.35">
      <c r="D3950" s="51"/>
      <c r="E3950" s="57"/>
      <c r="F3950" s="57"/>
      <c r="G3950" s="2"/>
    </row>
    <row r="3951" spans="4:7" customFormat="1" x14ac:dyDescent="0.35">
      <c r="D3951" s="51"/>
      <c r="E3951" s="57"/>
      <c r="F3951" s="57"/>
      <c r="G3951" s="2"/>
    </row>
    <row r="3952" spans="4:7" customFormat="1" x14ac:dyDescent="0.35">
      <c r="D3952" s="51"/>
      <c r="E3952" s="57"/>
      <c r="F3952" s="57"/>
      <c r="G3952" s="2"/>
    </row>
    <row r="3953" spans="4:7" customFormat="1" x14ac:dyDescent="0.35">
      <c r="D3953" s="51"/>
      <c r="E3953" s="57"/>
      <c r="F3953" s="57"/>
      <c r="G3953" s="2"/>
    </row>
    <row r="3954" spans="4:7" customFormat="1" x14ac:dyDescent="0.35">
      <c r="D3954" s="51"/>
      <c r="E3954" s="57"/>
      <c r="F3954" s="57"/>
      <c r="G3954" s="2"/>
    </row>
    <row r="3955" spans="4:7" customFormat="1" x14ac:dyDescent="0.35">
      <c r="D3955" s="51"/>
      <c r="E3955" s="57"/>
      <c r="F3955" s="57"/>
      <c r="G3955" s="2"/>
    </row>
    <row r="3956" spans="4:7" customFormat="1" x14ac:dyDescent="0.35">
      <c r="D3956" s="51"/>
      <c r="E3956" s="57"/>
      <c r="F3956" s="57"/>
      <c r="G3956" s="2"/>
    </row>
    <row r="3957" spans="4:7" customFormat="1" x14ac:dyDescent="0.35">
      <c r="D3957" s="51"/>
      <c r="E3957" s="57"/>
      <c r="F3957" s="57"/>
      <c r="G3957" s="2"/>
    </row>
    <row r="3958" spans="4:7" customFormat="1" x14ac:dyDescent="0.35">
      <c r="D3958" s="51"/>
      <c r="E3958" s="57"/>
      <c r="F3958" s="57"/>
      <c r="G3958" s="2"/>
    </row>
    <row r="3959" spans="4:7" customFormat="1" x14ac:dyDescent="0.35">
      <c r="D3959" s="51"/>
      <c r="E3959" s="57"/>
      <c r="F3959" s="57"/>
      <c r="G3959" s="2"/>
    </row>
    <row r="3960" spans="4:7" customFormat="1" x14ac:dyDescent="0.35">
      <c r="D3960" s="51"/>
      <c r="E3960" s="57"/>
      <c r="F3960" s="57"/>
      <c r="G3960" s="2"/>
    </row>
    <row r="3961" spans="4:7" customFormat="1" x14ac:dyDescent="0.35">
      <c r="D3961" s="51"/>
      <c r="E3961" s="57"/>
      <c r="F3961" s="57"/>
      <c r="G3961" s="2"/>
    </row>
    <row r="3962" spans="4:7" customFormat="1" x14ac:dyDescent="0.35">
      <c r="D3962" s="51"/>
      <c r="E3962" s="57"/>
      <c r="F3962" s="57"/>
      <c r="G3962" s="2"/>
    </row>
    <row r="3963" spans="4:7" customFormat="1" x14ac:dyDescent="0.35">
      <c r="D3963" s="51"/>
      <c r="E3963" s="57"/>
      <c r="F3963" s="57"/>
      <c r="G3963" s="2"/>
    </row>
    <row r="3964" spans="4:7" customFormat="1" x14ac:dyDescent="0.35">
      <c r="D3964" s="51"/>
      <c r="E3964" s="57"/>
      <c r="F3964" s="57"/>
      <c r="G3964" s="2"/>
    </row>
    <row r="3965" spans="4:7" customFormat="1" x14ac:dyDescent="0.35">
      <c r="D3965" s="51"/>
      <c r="E3965" s="57"/>
      <c r="F3965" s="57"/>
      <c r="G3965" s="2"/>
    </row>
    <row r="3966" spans="4:7" customFormat="1" x14ac:dyDescent="0.35">
      <c r="D3966" s="51"/>
      <c r="E3966" s="57"/>
      <c r="F3966" s="57"/>
      <c r="G3966" s="2"/>
    </row>
    <row r="3967" spans="4:7" customFormat="1" x14ac:dyDescent="0.35">
      <c r="D3967" s="51"/>
      <c r="E3967" s="57"/>
      <c r="F3967" s="57"/>
      <c r="G3967" s="2"/>
    </row>
    <row r="3968" spans="4:7" customFormat="1" x14ac:dyDescent="0.35">
      <c r="D3968" s="51"/>
      <c r="E3968" s="57"/>
      <c r="F3968" s="57"/>
      <c r="G3968" s="2"/>
    </row>
    <row r="3969" spans="4:7" customFormat="1" x14ac:dyDescent="0.35">
      <c r="D3969" s="51"/>
      <c r="E3969" s="57"/>
      <c r="F3969" s="57"/>
      <c r="G3969" s="2"/>
    </row>
    <row r="3970" spans="4:7" customFormat="1" x14ac:dyDescent="0.35">
      <c r="D3970" s="51"/>
      <c r="E3970" s="57"/>
      <c r="F3970" s="57"/>
      <c r="G3970" s="2"/>
    </row>
    <row r="3971" spans="4:7" customFormat="1" x14ac:dyDescent="0.35">
      <c r="D3971" s="51"/>
      <c r="E3971" s="57"/>
      <c r="F3971" s="57"/>
      <c r="G3971" s="2"/>
    </row>
    <row r="3972" spans="4:7" customFormat="1" x14ac:dyDescent="0.35">
      <c r="D3972" s="51"/>
      <c r="E3972" s="57"/>
      <c r="F3972" s="57"/>
      <c r="G3972" s="2"/>
    </row>
    <row r="3973" spans="4:7" customFormat="1" x14ac:dyDescent="0.35">
      <c r="D3973" s="51"/>
      <c r="E3973" s="57"/>
      <c r="F3973" s="57"/>
      <c r="G3973" s="2"/>
    </row>
    <row r="3974" spans="4:7" customFormat="1" x14ac:dyDescent="0.35">
      <c r="D3974" s="51"/>
      <c r="E3974" s="57"/>
      <c r="F3974" s="57"/>
      <c r="G3974" s="2"/>
    </row>
    <row r="3975" spans="4:7" customFormat="1" x14ac:dyDescent="0.35">
      <c r="D3975" s="51"/>
      <c r="E3975" s="57"/>
      <c r="F3975" s="57"/>
      <c r="G3975" s="2"/>
    </row>
    <row r="3976" spans="4:7" customFormat="1" x14ac:dyDescent="0.35">
      <c r="D3976" s="51"/>
      <c r="E3976" s="57"/>
      <c r="F3976" s="57"/>
      <c r="G3976" s="2"/>
    </row>
    <row r="3977" spans="4:7" customFormat="1" x14ac:dyDescent="0.35">
      <c r="D3977" s="51"/>
      <c r="E3977" s="57"/>
      <c r="F3977" s="57"/>
      <c r="G3977" s="2"/>
    </row>
    <row r="3978" spans="4:7" customFormat="1" x14ac:dyDescent="0.35">
      <c r="D3978" s="51"/>
      <c r="E3978" s="57"/>
      <c r="F3978" s="57"/>
      <c r="G3978" s="2"/>
    </row>
    <row r="3979" spans="4:7" customFormat="1" x14ac:dyDescent="0.35">
      <c r="D3979" s="51"/>
      <c r="E3979" s="57"/>
      <c r="F3979" s="57"/>
      <c r="G3979" s="2"/>
    </row>
    <row r="3980" spans="4:7" customFormat="1" x14ac:dyDescent="0.35">
      <c r="D3980" s="51"/>
      <c r="E3980" s="57"/>
      <c r="F3980" s="57"/>
      <c r="G3980" s="2"/>
    </row>
    <row r="3981" spans="4:7" customFormat="1" x14ac:dyDescent="0.35">
      <c r="D3981" s="51"/>
      <c r="E3981" s="57"/>
      <c r="F3981" s="57"/>
      <c r="G3981" s="2"/>
    </row>
    <row r="3982" spans="4:7" customFormat="1" x14ac:dyDescent="0.35">
      <c r="D3982" s="51"/>
      <c r="E3982" s="57"/>
      <c r="F3982" s="57"/>
      <c r="G3982" s="2"/>
    </row>
    <row r="3983" spans="4:7" customFormat="1" x14ac:dyDescent="0.35">
      <c r="D3983" s="51"/>
      <c r="E3983" s="57"/>
      <c r="F3983" s="57"/>
      <c r="G3983" s="2"/>
    </row>
    <row r="3984" spans="4:7" customFormat="1" x14ac:dyDescent="0.35">
      <c r="D3984" s="51"/>
      <c r="E3984" s="57"/>
      <c r="F3984" s="57"/>
      <c r="G3984" s="2"/>
    </row>
    <row r="3985" spans="4:7" customFormat="1" x14ac:dyDescent="0.35">
      <c r="D3985" s="51"/>
      <c r="E3985" s="57"/>
      <c r="F3985" s="57"/>
      <c r="G3985" s="2"/>
    </row>
    <row r="3986" spans="4:7" customFormat="1" x14ac:dyDescent="0.35">
      <c r="D3986" s="51"/>
      <c r="E3986" s="57"/>
      <c r="F3986" s="57"/>
      <c r="G3986" s="2"/>
    </row>
    <row r="3987" spans="4:7" customFormat="1" x14ac:dyDescent="0.35">
      <c r="D3987" s="51"/>
      <c r="E3987" s="57"/>
      <c r="F3987" s="57"/>
      <c r="G3987" s="2"/>
    </row>
    <row r="3988" spans="4:7" customFormat="1" x14ac:dyDescent="0.35">
      <c r="D3988" s="51"/>
      <c r="E3988" s="57"/>
      <c r="F3988" s="57"/>
      <c r="G3988" s="2"/>
    </row>
    <row r="3989" spans="4:7" customFormat="1" x14ac:dyDescent="0.35">
      <c r="D3989" s="51"/>
      <c r="E3989" s="57"/>
      <c r="F3989" s="57"/>
      <c r="G3989" s="2"/>
    </row>
    <row r="3990" spans="4:7" customFormat="1" x14ac:dyDescent="0.35">
      <c r="D3990" s="51"/>
      <c r="E3990" s="57"/>
      <c r="F3990" s="57"/>
      <c r="G3990" s="2"/>
    </row>
    <row r="3991" spans="4:7" customFormat="1" x14ac:dyDescent="0.35">
      <c r="D3991" s="51"/>
      <c r="E3991" s="57"/>
      <c r="F3991" s="57"/>
      <c r="G3991" s="2"/>
    </row>
    <row r="3992" spans="4:7" customFormat="1" x14ac:dyDescent="0.35">
      <c r="D3992" s="51"/>
      <c r="E3992" s="57"/>
      <c r="F3992" s="57"/>
      <c r="G3992" s="2"/>
    </row>
    <row r="3993" spans="4:7" customFormat="1" x14ac:dyDescent="0.35">
      <c r="D3993" s="51"/>
      <c r="E3993" s="57"/>
      <c r="F3993" s="57"/>
      <c r="G3993" s="2"/>
    </row>
    <row r="3994" spans="4:7" customFormat="1" x14ac:dyDescent="0.35">
      <c r="D3994" s="51"/>
      <c r="E3994" s="57"/>
      <c r="F3994" s="57"/>
      <c r="G3994" s="2"/>
    </row>
    <row r="3995" spans="4:7" customFormat="1" x14ac:dyDescent="0.35">
      <c r="D3995" s="51"/>
      <c r="E3995" s="57"/>
      <c r="F3995" s="57"/>
      <c r="G3995" s="2"/>
    </row>
    <row r="3996" spans="4:7" customFormat="1" x14ac:dyDescent="0.35">
      <c r="D3996" s="51"/>
      <c r="E3996" s="57"/>
      <c r="F3996" s="57"/>
      <c r="G3996" s="2"/>
    </row>
    <row r="3997" spans="4:7" customFormat="1" x14ac:dyDescent="0.35">
      <c r="D3997" s="51"/>
      <c r="E3997" s="57"/>
      <c r="F3997" s="57"/>
      <c r="G3997" s="2"/>
    </row>
    <row r="3998" spans="4:7" customFormat="1" x14ac:dyDescent="0.35">
      <c r="D3998" s="51"/>
      <c r="E3998" s="57"/>
      <c r="F3998" s="57"/>
      <c r="G3998" s="2"/>
    </row>
    <row r="3999" spans="4:7" customFormat="1" x14ac:dyDescent="0.35">
      <c r="D3999" s="51"/>
      <c r="E3999" s="57"/>
      <c r="F3999" s="57"/>
      <c r="G3999" s="2"/>
    </row>
    <row r="4000" spans="4:7" customFormat="1" x14ac:dyDescent="0.35">
      <c r="D4000" s="51"/>
      <c r="E4000" s="57"/>
      <c r="F4000" s="57"/>
      <c r="G4000" s="2"/>
    </row>
    <row r="4001" spans="4:7" customFormat="1" x14ac:dyDescent="0.35">
      <c r="D4001" s="51"/>
      <c r="E4001" s="57"/>
      <c r="F4001" s="57"/>
      <c r="G4001" s="2"/>
    </row>
    <row r="4002" spans="4:7" customFormat="1" x14ac:dyDescent="0.35">
      <c r="D4002" s="51"/>
      <c r="E4002" s="57"/>
      <c r="F4002" s="57"/>
      <c r="G4002" s="2"/>
    </row>
    <row r="4003" spans="4:7" customFormat="1" x14ac:dyDescent="0.35">
      <c r="D4003" s="51"/>
      <c r="E4003" s="57"/>
      <c r="F4003" s="57"/>
      <c r="G4003" s="2"/>
    </row>
    <row r="4004" spans="4:7" customFormat="1" x14ac:dyDescent="0.35">
      <c r="D4004" s="51"/>
      <c r="E4004" s="57"/>
      <c r="F4004" s="57"/>
      <c r="G4004" s="2"/>
    </row>
    <row r="4005" spans="4:7" customFormat="1" x14ac:dyDescent="0.35">
      <c r="D4005" s="51"/>
      <c r="E4005" s="57"/>
      <c r="F4005" s="57"/>
      <c r="G4005" s="2"/>
    </row>
    <row r="4006" spans="4:7" customFormat="1" x14ac:dyDescent="0.35">
      <c r="D4006" s="51"/>
      <c r="E4006" s="57"/>
      <c r="F4006" s="57"/>
      <c r="G4006" s="2"/>
    </row>
    <row r="4007" spans="4:7" customFormat="1" x14ac:dyDescent="0.35">
      <c r="D4007" s="51"/>
      <c r="E4007" s="57"/>
      <c r="F4007" s="57"/>
      <c r="G4007" s="2"/>
    </row>
    <row r="4008" spans="4:7" customFormat="1" x14ac:dyDescent="0.35">
      <c r="D4008" s="51"/>
      <c r="E4008" s="57"/>
      <c r="F4008" s="57"/>
      <c r="G4008" s="2"/>
    </row>
    <row r="4009" spans="4:7" customFormat="1" x14ac:dyDescent="0.35">
      <c r="D4009" s="51"/>
      <c r="E4009" s="57"/>
      <c r="F4009" s="57"/>
      <c r="G4009" s="2"/>
    </row>
    <row r="4010" spans="4:7" customFormat="1" x14ac:dyDescent="0.35">
      <c r="D4010" s="51"/>
      <c r="E4010" s="57"/>
      <c r="F4010" s="57"/>
      <c r="G4010" s="2"/>
    </row>
    <row r="4011" spans="4:7" customFormat="1" x14ac:dyDescent="0.35">
      <c r="D4011" s="51"/>
      <c r="E4011" s="57"/>
      <c r="F4011" s="57"/>
      <c r="G4011" s="2"/>
    </row>
    <row r="4012" spans="4:7" customFormat="1" x14ac:dyDescent="0.35">
      <c r="D4012" s="51"/>
      <c r="E4012" s="57"/>
      <c r="F4012" s="57"/>
      <c r="G4012" s="2"/>
    </row>
    <row r="4013" spans="4:7" customFormat="1" x14ac:dyDescent="0.35">
      <c r="D4013" s="51"/>
      <c r="E4013" s="57"/>
      <c r="F4013" s="57"/>
      <c r="G4013" s="2"/>
    </row>
    <row r="4014" spans="4:7" customFormat="1" x14ac:dyDescent="0.35">
      <c r="D4014" s="51"/>
      <c r="E4014" s="57"/>
      <c r="F4014" s="57"/>
      <c r="G4014" s="2"/>
    </row>
    <row r="4015" spans="4:7" customFormat="1" x14ac:dyDescent="0.35">
      <c r="D4015" s="51"/>
      <c r="E4015" s="57"/>
      <c r="F4015" s="57"/>
      <c r="G4015" s="2"/>
    </row>
    <row r="4016" spans="4:7" customFormat="1" x14ac:dyDescent="0.35">
      <c r="D4016" s="51"/>
      <c r="E4016" s="57"/>
      <c r="F4016" s="57"/>
      <c r="G4016" s="2"/>
    </row>
    <row r="4017" spans="4:7" customFormat="1" x14ac:dyDescent="0.35">
      <c r="D4017" s="51"/>
      <c r="E4017" s="57"/>
      <c r="F4017" s="57"/>
      <c r="G4017" s="2"/>
    </row>
    <row r="4018" spans="4:7" customFormat="1" x14ac:dyDescent="0.35">
      <c r="D4018" s="51"/>
      <c r="E4018" s="57"/>
      <c r="F4018" s="57"/>
      <c r="G4018" s="2"/>
    </row>
    <row r="4019" spans="4:7" customFormat="1" x14ac:dyDescent="0.35">
      <c r="D4019" s="51"/>
      <c r="E4019" s="57"/>
      <c r="F4019" s="57"/>
      <c r="G4019" s="2"/>
    </row>
    <row r="4020" spans="4:7" customFormat="1" x14ac:dyDescent="0.35">
      <c r="D4020" s="51"/>
      <c r="E4020" s="57"/>
      <c r="F4020" s="57"/>
      <c r="G4020" s="2"/>
    </row>
    <row r="4021" spans="4:7" customFormat="1" x14ac:dyDescent="0.35">
      <c r="D4021" s="51"/>
      <c r="E4021" s="57"/>
      <c r="F4021" s="57"/>
      <c r="G4021" s="2"/>
    </row>
    <row r="4022" spans="4:7" customFormat="1" x14ac:dyDescent="0.35">
      <c r="D4022" s="51"/>
      <c r="E4022" s="57"/>
      <c r="F4022" s="57"/>
      <c r="G4022" s="2"/>
    </row>
    <row r="4023" spans="4:7" customFormat="1" x14ac:dyDescent="0.35">
      <c r="D4023" s="51"/>
      <c r="E4023" s="57"/>
      <c r="F4023" s="57"/>
      <c r="G4023" s="2"/>
    </row>
    <row r="4024" spans="4:7" customFormat="1" x14ac:dyDescent="0.35">
      <c r="D4024" s="51"/>
      <c r="E4024" s="57"/>
      <c r="F4024" s="57"/>
      <c r="G4024" s="2"/>
    </row>
    <row r="4025" spans="4:7" customFormat="1" x14ac:dyDescent="0.35">
      <c r="D4025" s="51"/>
      <c r="E4025" s="57"/>
      <c r="F4025" s="57"/>
      <c r="G4025" s="2"/>
    </row>
    <row r="4026" spans="4:7" customFormat="1" x14ac:dyDescent="0.35">
      <c r="D4026" s="51"/>
      <c r="E4026" s="57"/>
      <c r="F4026" s="57"/>
      <c r="G4026" s="2"/>
    </row>
    <row r="4027" spans="4:7" customFormat="1" x14ac:dyDescent="0.35">
      <c r="D4027" s="51"/>
      <c r="E4027" s="57"/>
      <c r="F4027" s="57"/>
      <c r="G4027" s="2"/>
    </row>
    <row r="4028" spans="4:7" customFormat="1" x14ac:dyDescent="0.35">
      <c r="D4028" s="51"/>
      <c r="E4028" s="57"/>
      <c r="F4028" s="57"/>
      <c r="G4028" s="2"/>
    </row>
    <row r="4029" spans="4:7" customFormat="1" x14ac:dyDescent="0.35">
      <c r="D4029" s="51"/>
      <c r="E4029" s="57"/>
      <c r="F4029" s="57"/>
      <c r="G4029" s="2"/>
    </row>
    <row r="4030" spans="4:7" customFormat="1" x14ac:dyDescent="0.35">
      <c r="D4030" s="51"/>
      <c r="E4030" s="57"/>
      <c r="F4030" s="57"/>
      <c r="G4030" s="2"/>
    </row>
    <row r="4031" spans="4:7" customFormat="1" x14ac:dyDescent="0.35">
      <c r="D4031" s="51"/>
      <c r="E4031" s="57"/>
      <c r="F4031" s="57"/>
      <c r="G4031" s="2"/>
    </row>
    <row r="4032" spans="4:7" customFormat="1" x14ac:dyDescent="0.35">
      <c r="D4032" s="51"/>
      <c r="E4032" s="57"/>
      <c r="F4032" s="57"/>
      <c r="G4032" s="2"/>
    </row>
    <row r="4033" spans="4:7" customFormat="1" x14ac:dyDescent="0.35">
      <c r="D4033" s="51"/>
      <c r="E4033" s="57"/>
      <c r="F4033" s="57"/>
      <c r="G4033" s="2"/>
    </row>
    <row r="4034" spans="4:7" customFormat="1" x14ac:dyDescent="0.35">
      <c r="D4034" s="51"/>
      <c r="E4034" s="57"/>
      <c r="F4034" s="57"/>
      <c r="G4034" s="2"/>
    </row>
    <row r="4035" spans="4:7" customFormat="1" x14ac:dyDescent="0.35">
      <c r="D4035" s="51"/>
      <c r="E4035" s="57"/>
      <c r="F4035" s="57"/>
      <c r="G4035" s="2"/>
    </row>
    <row r="4036" spans="4:7" customFormat="1" x14ac:dyDescent="0.35">
      <c r="D4036" s="51"/>
      <c r="E4036" s="57"/>
      <c r="F4036" s="57"/>
      <c r="G4036" s="2"/>
    </row>
    <row r="4037" spans="4:7" customFormat="1" x14ac:dyDescent="0.35">
      <c r="D4037" s="51"/>
      <c r="E4037" s="57"/>
      <c r="F4037" s="57"/>
      <c r="G4037" s="2"/>
    </row>
    <row r="4038" spans="4:7" customFormat="1" x14ac:dyDescent="0.35">
      <c r="D4038" s="51"/>
      <c r="E4038" s="57"/>
      <c r="F4038" s="57"/>
      <c r="G4038" s="2"/>
    </row>
    <row r="4039" spans="4:7" customFormat="1" x14ac:dyDescent="0.35">
      <c r="D4039" s="51"/>
      <c r="E4039" s="57"/>
      <c r="F4039" s="57"/>
      <c r="G4039" s="2"/>
    </row>
    <row r="4040" spans="4:7" customFormat="1" x14ac:dyDescent="0.35">
      <c r="D4040" s="51"/>
      <c r="E4040" s="57"/>
      <c r="F4040" s="57"/>
      <c r="G4040" s="2"/>
    </row>
    <row r="4041" spans="4:7" customFormat="1" x14ac:dyDescent="0.35">
      <c r="D4041" s="51"/>
      <c r="E4041" s="57"/>
      <c r="F4041" s="57"/>
      <c r="G4041" s="2"/>
    </row>
    <row r="4042" spans="4:7" customFormat="1" x14ac:dyDescent="0.35">
      <c r="D4042" s="51"/>
      <c r="E4042" s="57"/>
      <c r="F4042" s="57"/>
      <c r="G4042" s="2"/>
    </row>
    <row r="4043" spans="4:7" customFormat="1" x14ac:dyDescent="0.35">
      <c r="D4043" s="51"/>
      <c r="E4043" s="57"/>
      <c r="F4043" s="57"/>
      <c r="G4043" s="2"/>
    </row>
    <row r="4044" spans="4:7" customFormat="1" x14ac:dyDescent="0.35">
      <c r="D4044" s="51"/>
      <c r="E4044" s="57"/>
      <c r="F4044" s="57"/>
      <c r="G4044" s="2"/>
    </row>
    <row r="4045" spans="4:7" customFormat="1" x14ac:dyDescent="0.35">
      <c r="D4045" s="51"/>
      <c r="E4045" s="57"/>
      <c r="F4045" s="57"/>
      <c r="G4045" s="2"/>
    </row>
    <row r="4046" spans="4:7" customFormat="1" x14ac:dyDescent="0.35">
      <c r="D4046" s="51"/>
      <c r="E4046" s="57"/>
      <c r="F4046" s="57"/>
      <c r="G4046" s="2"/>
    </row>
    <row r="4047" spans="4:7" customFormat="1" x14ac:dyDescent="0.35">
      <c r="D4047" s="51"/>
      <c r="E4047" s="57"/>
      <c r="F4047" s="57"/>
      <c r="G4047" s="2"/>
    </row>
    <row r="4048" spans="4:7" customFormat="1" x14ac:dyDescent="0.35">
      <c r="D4048" s="51"/>
      <c r="E4048" s="57"/>
      <c r="F4048" s="57"/>
      <c r="G4048" s="2"/>
    </row>
    <row r="4049" spans="1:10" x14ac:dyDescent="0.35">
      <c r="A4049"/>
      <c r="H4049"/>
      <c r="I4049"/>
      <c r="J4049"/>
    </row>
    <row r="4050" spans="1:10" x14ac:dyDescent="0.35">
      <c r="A4050"/>
      <c r="H4050"/>
      <c r="I4050"/>
      <c r="J4050"/>
    </row>
    <row r="4051" spans="1:10" x14ac:dyDescent="0.35">
      <c r="A4051"/>
      <c r="H4051"/>
      <c r="I4051"/>
      <c r="J4051"/>
    </row>
    <row r="4052" spans="1:10" x14ac:dyDescent="0.35">
      <c r="A4052"/>
      <c r="H4052"/>
      <c r="I4052"/>
      <c r="J4052"/>
    </row>
    <row r="4053" spans="1:10" x14ac:dyDescent="0.35">
      <c r="A4053"/>
      <c r="H4053"/>
      <c r="I4053"/>
      <c r="J4053"/>
    </row>
    <row r="4054" spans="1:10" x14ac:dyDescent="0.35">
      <c r="A4054"/>
      <c r="H4054"/>
      <c r="I4054"/>
      <c r="J4054"/>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3AFB4-C40A-4541-95FF-04E2D18F8964}">
  <sheetPr codeName="Sheet13">
    <tabColor theme="0" tint="-0.249977111117893"/>
  </sheetPr>
  <dimension ref="A1:N2196"/>
  <sheetViews>
    <sheetView topLeftCell="A3699" workbookViewId="0">
      <selection activeCell="G3711" sqref="G3711"/>
    </sheetView>
  </sheetViews>
  <sheetFormatPr defaultRowHeight="14.5" x14ac:dyDescent="0.35"/>
  <cols>
    <col min="1" max="1" width="9.6328125" bestFit="1" customWidth="1"/>
    <col min="2" max="2" width="11.90625" bestFit="1" customWidth="1"/>
    <col min="3" max="3" width="16" bestFit="1" customWidth="1"/>
    <col min="4" max="4" width="19.81640625" bestFit="1" customWidth="1"/>
    <col min="5" max="5" width="9.26953125" bestFit="1" customWidth="1"/>
    <col min="6" max="6" width="23.453125" bestFit="1" customWidth="1"/>
    <col min="7" max="7" width="20.7265625" bestFit="1" customWidth="1"/>
    <col min="8" max="8" width="22.36328125" bestFit="1" customWidth="1"/>
    <col min="9" max="9" width="14.54296875" bestFit="1" customWidth="1"/>
    <col min="10" max="10" width="14.26953125" bestFit="1" customWidth="1"/>
    <col min="11" max="11" width="29.90625" bestFit="1" customWidth="1"/>
    <col min="12" max="12" width="29.6328125" bestFit="1" customWidth="1"/>
    <col min="13" max="13" width="23.08984375" bestFit="1" customWidth="1"/>
    <col min="14" max="14" width="24.81640625" bestFit="1" customWidth="1"/>
    <col min="15" max="15" width="23.08984375" customWidth="1"/>
    <col min="16" max="16" width="13.453125" bestFit="1" customWidth="1"/>
    <col min="17" max="17" width="9.26953125" bestFit="1" customWidth="1"/>
    <col min="18" max="18" width="11.81640625" bestFit="1" customWidth="1"/>
    <col min="19" max="19" width="7.81640625" bestFit="1" customWidth="1"/>
  </cols>
  <sheetData>
    <row r="1" spans="1:14" x14ac:dyDescent="0.35">
      <c r="A1" t="s">
        <v>0</v>
      </c>
      <c r="B1" t="s">
        <v>195</v>
      </c>
      <c r="C1" t="s">
        <v>314</v>
      </c>
      <c r="D1" t="s">
        <v>315</v>
      </c>
      <c r="E1" t="s">
        <v>212</v>
      </c>
      <c r="F1" t="s">
        <v>316</v>
      </c>
      <c r="G1" t="s">
        <v>317</v>
      </c>
      <c r="H1" t="s">
        <v>318</v>
      </c>
      <c r="I1" t="s">
        <v>321</v>
      </c>
      <c r="J1" t="s">
        <v>322</v>
      </c>
      <c r="K1" t="s">
        <v>319</v>
      </c>
      <c r="L1" t="s">
        <v>320</v>
      </c>
      <c r="M1" t="s">
        <v>323</v>
      </c>
      <c r="N1" t="s">
        <v>324</v>
      </c>
    </row>
    <row r="2" spans="1:14" x14ac:dyDescent="0.35">
      <c r="A2" s="156" t="s">
        <v>542</v>
      </c>
      <c r="B2" s="52">
        <v>42634</v>
      </c>
      <c r="C2" s="156" t="s">
        <v>531</v>
      </c>
      <c r="D2" s="156" t="s">
        <v>531</v>
      </c>
      <c r="E2">
        <v>6343768</v>
      </c>
      <c r="F2">
        <v>184762.0379</v>
      </c>
      <c r="G2">
        <v>28.953099999999999</v>
      </c>
      <c r="I2">
        <v>1</v>
      </c>
      <c r="J2" s="156">
        <v>1</v>
      </c>
    </row>
    <row r="3" spans="1:14" x14ac:dyDescent="0.35">
      <c r="A3" s="156" t="s">
        <v>542</v>
      </c>
      <c r="B3" s="52">
        <v>42635</v>
      </c>
      <c r="C3" s="156" t="s">
        <v>531</v>
      </c>
      <c r="D3" s="156" t="s">
        <v>531</v>
      </c>
      <c r="E3">
        <v>2272804</v>
      </c>
      <c r="F3">
        <v>68498.977799999993</v>
      </c>
      <c r="G3">
        <v>29.982600000000001</v>
      </c>
      <c r="H3">
        <v>0.96013300000000001</v>
      </c>
      <c r="I3">
        <v>1</v>
      </c>
      <c r="J3" s="156">
        <v>1</v>
      </c>
      <c r="K3">
        <v>1</v>
      </c>
      <c r="L3">
        <v>1</v>
      </c>
      <c r="M3">
        <v>1</v>
      </c>
      <c r="N3">
        <v>0.96013300000000001</v>
      </c>
    </row>
    <row r="4" spans="1:14" x14ac:dyDescent="0.35">
      <c r="A4" s="156" t="s">
        <v>542</v>
      </c>
      <c r="B4" s="52">
        <v>42636</v>
      </c>
      <c r="C4" s="156" t="s">
        <v>531</v>
      </c>
      <c r="D4" s="156" t="s">
        <v>531</v>
      </c>
      <c r="E4">
        <v>1058708</v>
      </c>
      <c r="F4">
        <v>29274.4159</v>
      </c>
      <c r="G4">
        <v>27.525700000000001</v>
      </c>
      <c r="H4">
        <v>0.95709299999999997</v>
      </c>
      <c r="I4">
        <v>1</v>
      </c>
      <c r="J4" s="156">
        <v>1</v>
      </c>
      <c r="K4">
        <v>1</v>
      </c>
      <c r="L4">
        <v>1</v>
      </c>
      <c r="M4">
        <v>1</v>
      </c>
      <c r="N4">
        <v>0.95709299999999997</v>
      </c>
    </row>
    <row r="5" spans="1:14" x14ac:dyDescent="0.35">
      <c r="A5" s="156" t="s">
        <v>542</v>
      </c>
      <c r="B5" s="52">
        <v>42639</v>
      </c>
      <c r="C5" s="156" t="s">
        <v>531</v>
      </c>
      <c r="D5" s="156" t="s">
        <v>531</v>
      </c>
      <c r="E5">
        <v>306080</v>
      </c>
      <c r="F5">
        <v>8543.7968999999994</v>
      </c>
      <c r="G5">
        <v>27.83</v>
      </c>
      <c r="H5">
        <v>1.0039769999999999</v>
      </c>
      <c r="I5">
        <v>1</v>
      </c>
      <c r="J5" s="156">
        <v>1</v>
      </c>
      <c r="K5">
        <v>1</v>
      </c>
      <c r="L5">
        <v>1</v>
      </c>
      <c r="M5">
        <v>1</v>
      </c>
      <c r="N5">
        <v>1.0039769999999999</v>
      </c>
    </row>
    <row r="6" spans="1:14" x14ac:dyDescent="0.35">
      <c r="A6" s="156" t="s">
        <v>542</v>
      </c>
      <c r="B6" s="52">
        <v>42640</v>
      </c>
      <c r="C6" s="156" t="s">
        <v>531</v>
      </c>
      <c r="D6" s="156" t="s">
        <v>531</v>
      </c>
      <c r="E6">
        <v>1015766</v>
      </c>
      <c r="F6">
        <v>30142.815200000001</v>
      </c>
      <c r="G6">
        <v>29.571300000000001</v>
      </c>
      <c r="H6">
        <v>1.079582</v>
      </c>
      <c r="I6">
        <v>1</v>
      </c>
      <c r="J6" s="156">
        <v>1</v>
      </c>
      <c r="K6">
        <v>1</v>
      </c>
      <c r="L6">
        <v>1</v>
      </c>
      <c r="M6">
        <v>1</v>
      </c>
      <c r="N6">
        <v>1.079582</v>
      </c>
    </row>
    <row r="7" spans="1:14" x14ac:dyDescent="0.35">
      <c r="A7" s="156" t="s">
        <v>542</v>
      </c>
      <c r="B7" s="52">
        <v>42641</v>
      </c>
      <c r="C7" s="156" t="s">
        <v>531</v>
      </c>
      <c r="D7" s="156" t="s">
        <v>531</v>
      </c>
      <c r="E7">
        <v>2056476</v>
      </c>
      <c r="F7">
        <v>66289.747499999998</v>
      </c>
      <c r="G7">
        <v>32.136499999999998</v>
      </c>
      <c r="H7">
        <v>1.113742</v>
      </c>
      <c r="I7">
        <v>1</v>
      </c>
      <c r="J7" s="156">
        <v>1</v>
      </c>
      <c r="K7">
        <v>1</v>
      </c>
      <c r="L7">
        <v>1</v>
      </c>
      <c r="M7">
        <v>1</v>
      </c>
      <c r="N7">
        <v>1.113742</v>
      </c>
    </row>
    <row r="8" spans="1:14" x14ac:dyDescent="0.35">
      <c r="A8" s="156" t="s">
        <v>542</v>
      </c>
      <c r="B8" s="52">
        <v>42642</v>
      </c>
      <c r="C8" s="156" t="s">
        <v>531</v>
      </c>
      <c r="D8" s="156" t="s">
        <v>531</v>
      </c>
      <c r="E8">
        <v>1703342</v>
      </c>
      <c r="F8">
        <v>52498.080099999999</v>
      </c>
      <c r="G8">
        <v>30.699200000000001</v>
      </c>
      <c r="H8">
        <v>0.868224</v>
      </c>
      <c r="I8">
        <v>1</v>
      </c>
      <c r="J8" s="156">
        <v>1</v>
      </c>
      <c r="K8">
        <v>1</v>
      </c>
      <c r="L8">
        <v>1</v>
      </c>
      <c r="M8">
        <v>1</v>
      </c>
      <c r="N8">
        <v>0.868224</v>
      </c>
    </row>
    <row r="9" spans="1:14" x14ac:dyDescent="0.35">
      <c r="A9" s="156" t="s">
        <v>542</v>
      </c>
      <c r="B9" s="52">
        <v>42643</v>
      </c>
      <c r="C9" s="156" t="s">
        <v>531</v>
      </c>
      <c r="D9" s="156" t="s">
        <v>531</v>
      </c>
      <c r="E9">
        <v>949302</v>
      </c>
      <c r="F9">
        <v>28430.004799999999</v>
      </c>
      <c r="G9">
        <v>29.86</v>
      </c>
      <c r="H9">
        <v>1.0075890000000001</v>
      </c>
      <c r="I9">
        <v>1</v>
      </c>
      <c r="J9" s="156">
        <v>1</v>
      </c>
      <c r="K9">
        <v>1</v>
      </c>
      <c r="L9">
        <v>1</v>
      </c>
      <c r="M9">
        <v>1</v>
      </c>
      <c r="N9">
        <v>1.0075890000000001</v>
      </c>
    </row>
    <row r="10" spans="1:14" x14ac:dyDescent="0.35">
      <c r="A10" s="156" t="s">
        <v>542</v>
      </c>
      <c r="B10" s="52">
        <v>42646</v>
      </c>
      <c r="C10" s="156" t="s">
        <v>531</v>
      </c>
      <c r="D10" s="156" t="s">
        <v>531</v>
      </c>
      <c r="E10">
        <v>1080413</v>
      </c>
      <c r="F10">
        <v>29996.764200000001</v>
      </c>
      <c r="G10">
        <v>27.6252</v>
      </c>
      <c r="H10">
        <v>0.903115</v>
      </c>
      <c r="I10">
        <v>1</v>
      </c>
      <c r="J10" s="156">
        <v>1</v>
      </c>
      <c r="K10">
        <v>1</v>
      </c>
      <c r="L10">
        <v>1</v>
      </c>
      <c r="M10">
        <v>1</v>
      </c>
      <c r="N10">
        <v>0.903115</v>
      </c>
    </row>
    <row r="11" spans="1:14" x14ac:dyDescent="0.35">
      <c r="A11" s="156" t="s">
        <v>542</v>
      </c>
      <c r="B11" s="52">
        <v>42647</v>
      </c>
      <c r="C11" s="156" t="s">
        <v>531</v>
      </c>
      <c r="D11" s="156" t="s">
        <v>531</v>
      </c>
      <c r="E11">
        <v>1338126</v>
      </c>
      <c r="F11">
        <v>33997.404000000002</v>
      </c>
      <c r="G11">
        <v>25.245999999999999</v>
      </c>
      <c r="H11">
        <v>0.90333600000000003</v>
      </c>
      <c r="I11">
        <v>1</v>
      </c>
      <c r="J11" s="156">
        <v>1</v>
      </c>
      <c r="K11">
        <v>1</v>
      </c>
      <c r="L11">
        <v>1</v>
      </c>
      <c r="M11">
        <v>1</v>
      </c>
      <c r="N11">
        <v>0.90333600000000003</v>
      </c>
    </row>
    <row r="12" spans="1:14" x14ac:dyDescent="0.35">
      <c r="A12" s="156" t="s">
        <v>542</v>
      </c>
      <c r="B12" s="52">
        <v>42648</v>
      </c>
      <c r="C12" s="156" t="s">
        <v>531</v>
      </c>
      <c r="D12" s="156" t="s">
        <v>531</v>
      </c>
      <c r="E12">
        <v>963448</v>
      </c>
      <c r="F12">
        <v>23879.290799999999</v>
      </c>
      <c r="G12">
        <v>24.640599999999999</v>
      </c>
      <c r="H12">
        <v>1.039866</v>
      </c>
      <c r="I12">
        <v>1</v>
      </c>
      <c r="J12" s="156">
        <v>1</v>
      </c>
      <c r="K12">
        <v>1</v>
      </c>
      <c r="L12">
        <v>1</v>
      </c>
      <c r="M12">
        <v>1</v>
      </c>
      <c r="N12">
        <v>1.039866</v>
      </c>
    </row>
    <row r="13" spans="1:14" x14ac:dyDescent="0.35">
      <c r="A13" s="156" t="s">
        <v>542</v>
      </c>
      <c r="B13" s="52">
        <v>42649</v>
      </c>
      <c r="C13" s="156" t="s">
        <v>531</v>
      </c>
      <c r="D13" s="156" t="s">
        <v>531</v>
      </c>
      <c r="E13">
        <v>855796</v>
      </c>
      <c r="F13">
        <v>22236.154299999998</v>
      </c>
      <c r="G13">
        <v>25.873999999999999</v>
      </c>
      <c r="H13">
        <v>1.052462</v>
      </c>
      <c r="I13">
        <v>1</v>
      </c>
      <c r="J13" s="156">
        <v>1</v>
      </c>
      <c r="K13">
        <v>1</v>
      </c>
      <c r="L13">
        <v>1</v>
      </c>
      <c r="M13">
        <v>1</v>
      </c>
      <c r="N13">
        <v>1.052462</v>
      </c>
    </row>
    <row r="14" spans="1:14" x14ac:dyDescent="0.35">
      <c r="A14" s="156" t="s">
        <v>542</v>
      </c>
      <c r="B14" s="52">
        <v>42650</v>
      </c>
      <c r="C14" s="156" t="s">
        <v>531</v>
      </c>
      <c r="D14" s="156" t="s">
        <v>531</v>
      </c>
      <c r="E14">
        <v>448552</v>
      </c>
      <c r="F14">
        <v>11640.634700000001</v>
      </c>
      <c r="G14">
        <v>25.772200000000002</v>
      </c>
      <c r="H14">
        <v>1.006902</v>
      </c>
      <c r="I14">
        <v>1</v>
      </c>
      <c r="J14" s="156">
        <v>1</v>
      </c>
      <c r="K14">
        <v>1</v>
      </c>
      <c r="L14">
        <v>1</v>
      </c>
      <c r="M14">
        <v>1</v>
      </c>
      <c r="N14">
        <v>1.006902</v>
      </c>
    </row>
    <row r="15" spans="1:14" x14ac:dyDescent="0.35">
      <c r="A15" s="156" t="s">
        <v>542</v>
      </c>
      <c r="B15" s="52">
        <v>42653</v>
      </c>
      <c r="C15" s="156" t="s">
        <v>531</v>
      </c>
      <c r="D15" s="156" t="s">
        <v>531</v>
      </c>
      <c r="E15">
        <v>364534</v>
      </c>
      <c r="F15">
        <v>9372.2376000000004</v>
      </c>
      <c r="G15">
        <v>25.534099999999999</v>
      </c>
      <c r="H15">
        <v>0.96268100000000001</v>
      </c>
      <c r="I15">
        <v>1</v>
      </c>
      <c r="J15" s="156">
        <v>1</v>
      </c>
      <c r="K15">
        <v>1</v>
      </c>
      <c r="L15">
        <v>1</v>
      </c>
      <c r="M15">
        <v>1</v>
      </c>
      <c r="N15">
        <v>0.96268100000000001</v>
      </c>
    </row>
    <row r="16" spans="1:14" x14ac:dyDescent="0.35">
      <c r="A16" s="156" t="s">
        <v>542</v>
      </c>
      <c r="B16" s="52">
        <v>42654</v>
      </c>
      <c r="C16" s="156" t="s">
        <v>531</v>
      </c>
      <c r="D16" s="156" t="s">
        <v>531</v>
      </c>
      <c r="E16">
        <v>539425</v>
      </c>
      <c r="F16">
        <v>13393.1296</v>
      </c>
      <c r="G16">
        <v>24.650500000000001</v>
      </c>
      <c r="H16">
        <v>1.0094939999999999</v>
      </c>
      <c r="I16">
        <v>1</v>
      </c>
      <c r="J16" s="156">
        <v>1</v>
      </c>
      <c r="K16">
        <v>1</v>
      </c>
      <c r="L16">
        <v>1</v>
      </c>
      <c r="M16">
        <v>1</v>
      </c>
      <c r="N16">
        <v>1.0094939999999999</v>
      </c>
    </row>
    <row r="17" spans="1:14" x14ac:dyDescent="0.35">
      <c r="A17" s="156" t="s">
        <v>542</v>
      </c>
      <c r="B17" s="52">
        <v>42655</v>
      </c>
      <c r="C17" s="156" t="s">
        <v>531</v>
      </c>
      <c r="D17" s="156" t="s">
        <v>531</v>
      </c>
      <c r="E17">
        <v>332247</v>
      </c>
      <c r="F17">
        <v>8887.6155999999992</v>
      </c>
      <c r="G17">
        <v>26.427499999999998</v>
      </c>
      <c r="H17">
        <v>1.0540750000000001</v>
      </c>
      <c r="I17">
        <v>1</v>
      </c>
      <c r="J17" s="156">
        <v>1</v>
      </c>
      <c r="K17">
        <v>1</v>
      </c>
      <c r="L17">
        <v>1</v>
      </c>
      <c r="M17">
        <v>1</v>
      </c>
      <c r="N17">
        <v>1.0540750000000001</v>
      </c>
    </row>
    <row r="18" spans="1:14" x14ac:dyDescent="0.35">
      <c r="A18" s="156" t="s">
        <v>542</v>
      </c>
      <c r="B18" s="52">
        <v>42656</v>
      </c>
      <c r="C18" s="156" t="s">
        <v>531</v>
      </c>
      <c r="D18" s="156" t="s">
        <v>531</v>
      </c>
      <c r="E18">
        <v>245656</v>
      </c>
      <c r="F18">
        <v>6505.5520999999999</v>
      </c>
      <c r="G18">
        <v>26.119599999999998</v>
      </c>
      <c r="H18">
        <v>0.96542700000000004</v>
      </c>
      <c r="I18">
        <v>1</v>
      </c>
      <c r="J18" s="156">
        <v>1</v>
      </c>
      <c r="K18">
        <v>1</v>
      </c>
      <c r="L18">
        <v>1</v>
      </c>
      <c r="M18">
        <v>1</v>
      </c>
      <c r="N18">
        <v>0.96542700000000004</v>
      </c>
    </row>
    <row r="19" spans="1:14" x14ac:dyDescent="0.35">
      <c r="A19" s="156" t="s">
        <v>542</v>
      </c>
      <c r="B19" s="52">
        <v>42657</v>
      </c>
      <c r="C19" s="156" t="s">
        <v>531</v>
      </c>
      <c r="D19" s="156" t="s">
        <v>531</v>
      </c>
      <c r="E19">
        <v>222913</v>
      </c>
      <c r="F19">
        <v>5993.7227000000003</v>
      </c>
      <c r="G19">
        <v>26.563099999999999</v>
      </c>
      <c r="H19">
        <v>1.0150170000000001</v>
      </c>
      <c r="I19">
        <v>1</v>
      </c>
      <c r="J19" s="156">
        <v>1</v>
      </c>
      <c r="K19">
        <v>1</v>
      </c>
      <c r="L19">
        <v>1</v>
      </c>
      <c r="M19">
        <v>1</v>
      </c>
      <c r="N19">
        <v>1.0150170000000001</v>
      </c>
    </row>
    <row r="20" spans="1:14" x14ac:dyDescent="0.35">
      <c r="A20" s="156" t="s">
        <v>542</v>
      </c>
      <c r="B20" s="52">
        <v>42660</v>
      </c>
      <c r="C20" s="156" t="s">
        <v>531</v>
      </c>
      <c r="D20" s="156" t="s">
        <v>531</v>
      </c>
      <c r="E20">
        <v>337580</v>
      </c>
      <c r="F20">
        <v>9063.5416000000005</v>
      </c>
      <c r="G20">
        <v>26.626100000000001</v>
      </c>
      <c r="H20">
        <v>0.99658599999999997</v>
      </c>
      <c r="I20">
        <v>1</v>
      </c>
      <c r="J20" s="156">
        <v>1</v>
      </c>
      <c r="K20">
        <v>1</v>
      </c>
      <c r="L20">
        <v>1</v>
      </c>
      <c r="M20">
        <v>1</v>
      </c>
      <c r="N20">
        <v>0.99658599999999997</v>
      </c>
    </row>
    <row r="21" spans="1:14" x14ac:dyDescent="0.35">
      <c r="A21" s="156" t="s">
        <v>542</v>
      </c>
      <c r="B21" s="52">
        <v>42661</v>
      </c>
      <c r="C21" s="156" t="s">
        <v>531</v>
      </c>
      <c r="D21" s="156" t="s">
        <v>531</v>
      </c>
      <c r="E21">
        <v>171606</v>
      </c>
      <c r="F21">
        <v>4547.9045999999998</v>
      </c>
      <c r="G21">
        <v>26.0853</v>
      </c>
      <c r="H21">
        <v>0.98515399999999997</v>
      </c>
      <c r="I21">
        <v>1</v>
      </c>
      <c r="J21" s="156">
        <v>1</v>
      </c>
      <c r="K21">
        <v>1</v>
      </c>
      <c r="L21">
        <v>1</v>
      </c>
      <c r="M21">
        <v>1</v>
      </c>
      <c r="N21">
        <v>0.98515399999999997</v>
      </c>
    </row>
    <row r="22" spans="1:14" x14ac:dyDescent="0.35">
      <c r="A22" s="156" t="s">
        <v>542</v>
      </c>
      <c r="B22" s="52">
        <v>42662</v>
      </c>
      <c r="C22" s="156" t="s">
        <v>531</v>
      </c>
      <c r="D22" s="156" t="s">
        <v>531</v>
      </c>
      <c r="E22">
        <v>111748</v>
      </c>
      <c r="F22">
        <v>2958.5207</v>
      </c>
      <c r="G22">
        <v>25.776</v>
      </c>
      <c r="H22">
        <v>0.98377099999999995</v>
      </c>
      <c r="I22">
        <v>1</v>
      </c>
      <c r="J22" s="156">
        <v>1</v>
      </c>
      <c r="K22">
        <v>1</v>
      </c>
      <c r="L22">
        <v>1</v>
      </c>
      <c r="M22">
        <v>1</v>
      </c>
      <c r="N22">
        <v>0.98377099999999995</v>
      </c>
    </row>
    <row r="23" spans="1:14" x14ac:dyDescent="0.35">
      <c r="A23" s="156" t="s">
        <v>542</v>
      </c>
      <c r="B23" s="52">
        <v>42663</v>
      </c>
      <c r="C23" s="156" t="s">
        <v>531</v>
      </c>
      <c r="D23" s="156" t="s">
        <v>531</v>
      </c>
      <c r="E23">
        <v>104106</v>
      </c>
      <c r="F23">
        <v>2793.0920999999998</v>
      </c>
      <c r="G23">
        <v>26.048200000000001</v>
      </c>
      <c r="H23">
        <v>1.040456</v>
      </c>
      <c r="I23">
        <v>1</v>
      </c>
      <c r="J23" s="156">
        <v>1</v>
      </c>
      <c r="K23">
        <v>1</v>
      </c>
      <c r="L23">
        <v>1</v>
      </c>
      <c r="M23">
        <v>1</v>
      </c>
      <c r="N23">
        <v>1.040456</v>
      </c>
    </row>
    <row r="24" spans="1:14" x14ac:dyDescent="0.35">
      <c r="A24" s="156" t="s">
        <v>542</v>
      </c>
      <c r="B24" s="52">
        <v>42664</v>
      </c>
      <c r="C24" s="156" t="s">
        <v>531</v>
      </c>
      <c r="D24" s="156" t="s">
        <v>531</v>
      </c>
      <c r="E24">
        <v>235937</v>
      </c>
      <c r="F24">
        <v>6405.3598000000002</v>
      </c>
      <c r="G24">
        <v>26.874300000000002</v>
      </c>
      <c r="H24">
        <v>1.0373730000000001</v>
      </c>
      <c r="I24">
        <v>1</v>
      </c>
      <c r="J24" s="156">
        <v>1</v>
      </c>
      <c r="K24">
        <v>1</v>
      </c>
      <c r="L24">
        <v>1</v>
      </c>
      <c r="M24">
        <v>1</v>
      </c>
      <c r="N24">
        <v>1.0373730000000001</v>
      </c>
    </row>
    <row r="25" spans="1:14" x14ac:dyDescent="0.35">
      <c r="A25" s="156" t="s">
        <v>542</v>
      </c>
      <c r="B25" s="52">
        <v>42667</v>
      </c>
      <c r="C25" s="156" t="s">
        <v>531</v>
      </c>
      <c r="D25" s="156" t="s">
        <v>531</v>
      </c>
      <c r="E25">
        <v>273145</v>
      </c>
      <c r="F25">
        <v>7803.1466</v>
      </c>
      <c r="G25">
        <v>28.1831</v>
      </c>
      <c r="H25">
        <v>1.037846</v>
      </c>
      <c r="I25">
        <v>1</v>
      </c>
      <c r="J25" s="156">
        <v>1</v>
      </c>
      <c r="K25">
        <v>1</v>
      </c>
      <c r="L25">
        <v>1</v>
      </c>
      <c r="M25">
        <v>1</v>
      </c>
      <c r="N25">
        <v>1.037846</v>
      </c>
    </row>
    <row r="26" spans="1:14" x14ac:dyDescent="0.35">
      <c r="A26" s="156" t="s">
        <v>542</v>
      </c>
      <c r="B26" s="52">
        <v>42668</v>
      </c>
      <c r="C26" s="156" t="s">
        <v>531</v>
      </c>
      <c r="D26" s="156" t="s">
        <v>531</v>
      </c>
      <c r="E26">
        <v>280540</v>
      </c>
      <c r="F26">
        <v>8205.6088</v>
      </c>
      <c r="G26">
        <v>29.032699999999998</v>
      </c>
      <c r="H26">
        <v>1.0098180000000001</v>
      </c>
      <c r="I26">
        <v>1</v>
      </c>
      <c r="J26" s="156">
        <v>1</v>
      </c>
      <c r="K26">
        <v>1</v>
      </c>
      <c r="L26">
        <v>1</v>
      </c>
      <c r="M26">
        <v>1</v>
      </c>
      <c r="N26">
        <v>1.0098180000000001</v>
      </c>
    </row>
    <row r="27" spans="1:14" x14ac:dyDescent="0.35">
      <c r="A27" s="156" t="s">
        <v>542</v>
      </c>
      <c r="B27" s="52">
        <v>42669</v>
      </c>
      <c r="C27" s="156" t="s">
        <v>531</v>
      </c>
      <c r="D27" s="156" t="s">
        <v>531</v>
      </c>
      <c r="E27">
        <v>182483</v>
      </c>
      <c r="F27">
        <v>5265.4790999999996</v>
      </c>
      <c r="G27">
        <v>28.424800000000001</v>
      </c>
      <c r="H27">
        <v>0.97847200000000001</v>
      </c>
      <c r="I27">
        <v>1</v>
      </c>
      <c r="J27" s="156">
        <v>1</v>
      </c>
      <c r="K27">
        <v>1</v>
      </c>
      <c r="L27">
        <v>1</v>
      </c>
      <c r="M27">
        <v>1</v>
      </c>
      <c r="N27">
        <v>0.97847200000000001</v>
      </c>
    </row>
    <row r="28" spans="1:14" x14ac:dyDescent="0.35">
      <c r="A28" s="156" t="s">
        <v>542</v>
      </c>
      <c r="B28" s="52">
        <v>42670</v>
      </c>
      <c r="C28" s="156" t="s">
        <v>531</v>
      </c>
      <c r="D28" s="156" t="s">
        <v>531</v>
      </c>
      <c r="E28">
        <v>367647</v>
      </c>
      <c r="F28">
        <v>9978.5849999999991</v>
      </c>
      <c r="G28">
        <v>26.973600000000001</v>
      </c>
      <c r="H28">
        <v>0.90560700000000005</v>
      </c>
      <c r="I28">
        <v>1</v>
      </c>
      <c r="J28" s="156">
        <v>1</v>
      </c>
      <c r="K28">
        <v>1</v>
      </c>
      <c r="L28">
        <v>1</v>
      </c>
      <c r="M28">
        <v>1</v>
      </c>
      <c r="N28">
        <v>0.90560700000000005</v>
      </c>
    </row>
    <row r="29" spans="1:14" x14ac:dyDescent="0.35">
      <c r="A29" s="156" t="s">
        <v>542</v>
      </c>
      <c r="B29" s="52">
        <v>42671</v>
      </c>
      <c r="C29" s="156" t="s">
        <v>531</v>
      </c>
      <c r="D29" s="156" t="s">
        <v>531</v>
      </c>
      <c r="E29">
        <v>168531</v>
      </c>
      <c r="F29">
        <v>4461.8428000000004</v>
      </c>
      <c r="G29">
        <v>26.046800000000001</v>
      </c>
      <c r="H29">
        <v>1.0035270000000001</v>
      </c>
      <c r="I29">
        <v>1</v>
      </c>
      <c r="J29" s="156">
        <v>1</v>
      </c>
      <c r="K29">
        <v>1</v>
      </c>
      <c r="L29">
        <v>1</v>
      </c>
      <c r="M29">
        <v>1</v>
      </c>
      <c r="N29">
        <v>1.0035270000000001</v>
      </c>
    </row>
    <row r="30" spans="1:14" x14ac:dyDescent="0.35">
      <c r="A30" s="156" t="s">
        <v>542</v>
      </c>
      <c r="B30" s="52">
        <v>42674</v>
      </c>
      <c r="C30" s="156" t="s">
        <v>531</v>
      </c>
      <c r="D30" s="156" t="s">
        <v>531</v>
      </c>
      <c r="E30">
        <v>176465</v>
      </c>
      <c r="F30">
        <v>4470.0297</v>
      </c>
      <c r="G30">
        <v>24.8918</v>
      </c>
      <c r="H30">
        <v>0.98321000000000003</v>
      </c>
      <c r="I30">
        <v>1</v>
      </c>
      <c r="J30" s="156">
        <v>1</v>
      </c>
      <c r="K30">
        <v>1</v>
      </c>
      <c r="L30">
        <v>1</v>
      </c>
      <c r="M30">
        <v>1</v>
      </c>
      <c r="N30">
        <v>0.98321000000000003</v>
      </c>
    </row>
    <row r="31" spans="1:14" x14ac:dyDescent="0.35">
      <c r="A31" s="156" t="s">
        <v>542</v>
      </c>
      <c r="B31" s="52">
        <v>42675</v>
      </c>
      <c r="C31" s="156" t="s">
        <v>531</v>
      </c>
      <c r="D31" s="156" t="s">
        <v>531</v>
      </c>
      <c r="E31">
        <v>88910</v>
      </c>
      <c r="F31">
        <v>2338.9668000000001</v>
      </c>
      <c r="G31">
        <v>25.249700000000001</v>
      </c>
      <c r="H31">
        <v>1.002383</v>
      </c>
      <c r="I31">
        <v>1</v>
      </c>
      <c r="J31" s="156">
        <v>1</v>
      </c>
      <c r="K31">
        <v>1</v>
      </c>
      <c r="L31">
        <v>1</v>
      </c>
      <c r="M31">
        <v>1</v>
      </c>
      <c r="N31">
        <v>1.002383</v>
      </c>
    </row>
    <row r="32" spans="1:14" x14ac:dyDescent="0.35">
      <c r="A32" s="156" t="s">
        <v>542</v>
      </c>
      <c r="B32" s="52">
        <v>42676</v>
      </c>
      <c r="C32" s="156" t="s">
        <v>531</v>
      </c>
      <c r="D32" s="156" t="s">
        <v>531</v>
      </c>
      <c r="E32">
        <v>182532</v>
      </c>
      <c r="F32">
        <v>4577.0155999999997</v>
      </c>
      <c r="G32">
        <v>24.951599999999999</v>
      </c>
      <c r="H32">
        <v>0.96790799999999999</v>
      </c>
      <c r="I32">
        <v>1</v>
      </c>
      <c r="J32" s="156">
        <v>1</v>
      </c>
      <c r="K32">
        <v>1</v>
      </c>
      <c r="L32">
        <v>1</v>
      </c>
      <c r="M32">
        <v>1</v>
      </c>
      <c r="N32">
        <v>0.96790799999999999</v>
      </c>
    </row>
    <row r="33" spans="1:14" x14ac:dyDescent="0.35">
      <c r="A33" s="156" t="s">
        <v>542</v>
      </c>
      <c r="B33" s="52">
        <v>42677</v>
      </c>
      <c r="C33" s="156" t="s">
        <v>531</v>
      </c>
      <c r="D33" s="156" t="s">
        <v>531</v>
      </c>
      <c r="E33">
        <v>402233</v>
      </c>
      <c r="F33">
        <v>9442.9112999999998</v>
      </c>
      <c r="G33">
        <v>23.415500000000002</v>
      </c>
      <c r="H33">
        <v>0.93737199999999998</v>
      </c>
      <c r="I33">
        <v>1</v>
      </c>
      <c r="J33" s="156">
        <v>1</v>
      </c>
      <c r="K33">
        <v>1</v>
      </c>
      <c r="L33">
        <v>1</v>
      </c>
      <c r="M33">
        <v>1</v>
      </c>
      <c r="N33">
        <v>0.93737199999999998</v>
      </c>
    </row>
    <row r="34" spans="1:14" x14ac:dyDescent="0.35">
      <c r="A34" s="156" t="s">
        <v>542</v>
      </c>
      <c r="B34" s="52">
        <v>42678</v>
      </c>
      <c r="C34" s="156" t="s">
        <v>531</v>
      </c>
      <c r="D34" s="156" t="s">
        <v>531</v>
      </c>
      <c r="E34">
        <v>153741</v>
      </c>
      <c r="F34">
        <v>3651.6666</v>
      </c>
      <c r="G34">
        <v>23.5364</v>
      </c>
      <c r="H34">
        <v>1.0423579999999999</v>
      </c>
      <c r="I34">
        <v>1</v>
      </c>
      <c r="J34" s="156">
        <v>1</v>
      </c>
      <c r="K34">
        <v>1</v>
      </c>
      <c r="L34">
        <v>1</v>
      </c>
      <c r="M34">
        <v>1</v>
      </c>
      <c r="N34">
        <v>1.0423579999999999</v>
      </c>
    </row>
    <row r="35" spans="1:14" x14ac:dyDescent="0.35">
      <c r="A35" s="156" t="s">
        <v>542</v>
      </c>
      <c r="B35" s="52">
        <v>42681</v>
      </c>
      <c r="C35" s="156" t="s">
        <v>531</v>
      </c>
      <c r="D35" s="156" t="s">
        <v>531</v>
      </c>
      <c r="E35">
        <v>206824</v>
      </c>
      <c r="F35">
        <v>4879.8910999999998</v>
      </c>
      <c r="G35">
        <v>23.464400000000001</v>
      </c>
      <c r="H35">
        <v>0.95936299999999997</v>
      </c>
      <c r="I35">
        <v>1</v>
      </c>
      <c r="J35" s="156">
        <v>1</v>
      </c>
      <c r="K35">
        <v>1</v>
      </c>
      <c r="L35">
        <v>1</v>
      </c>
      <c r="M35">
        <v>1</v>
      </c>
      <c r="N35">
        <v>0.95936299999999997</v>
      </c>
    </row>
    <row r="36" spans="1:14" x14ac:dyDescent="0.35">
      <c r="A36" s="156" t="s">
        <v>542</v>
      </c>
      <c r="B36" s="52">
        <v>42682</v>
      </c>
      <c r="C36" s="156" t="s">
        <v>531</v>
      </c>
      <c r="D36" s="156" t="s">
        <v>531</v>
      </c>
      <c r="E36">
        <v>577393</v>
      </c>
      <c r="F36">
        <v>13252.652400000001</v>
      </c>
      <c r="G36">
        <v>22.920300000000001</v>
      </c>
      <c r="H36">
        <v>0.99563299999999999</v>
      </c>
      <c r="I36">
        <v>1</v>
      </c>
      <c r="J36" s="156">
        <v>1</v>
      </c>
      <c r="K36">
        <v>1</v>
      </c>
      <c r="L36">
        <v>1</v>
      </c>
      <c r="M36">
        <v>1</v>
      </c>
      <c r="N36">
        <v>0.99563299999999999</v>
      </c>
    </row>
    <row r="37" spans="1:14" x14ac:dyDescent="0.35">
      <c r="A37" s="156" t="s">
        <v>542</v>
      </c>
      <c r="B37" s="52">
        <v>42683</v>
      </c>
      <c r="C37" s="156" t="s">
        <v>531</v>
      </c>
      <c r="D37" s="156" t="s">
        <v>531</v>
      </c>
      <c r="E37">
        <v>557268</v>
      </c>
      <c r="F37">
        <v>12893.0695</v>
      </c>
      <c r="G37">
        <v>23.065200000000001</v>
      </c>
      <c r="H37">
        <v>1.0065789999999999</v>
      </c>
      <c r="I37">
        <v>1</v>
      </c>
      <c r="J37" s="156">
        <v>1</v>
      </c>
      <c r="K37">
        <v>1</v>
      </c>
      <c r="L37">
        <v>1</v>
      </c>
      <c r="M37">
        <v>1</v>
      </c>
      <c r="N37">
        <v>1.0065789999999999</v>
      </c>
    </row>
    <row r="38" spans="1:14" x14ac:dyDescent="0.35">
      <c r="A38" s="156" t="s">
        <v>542</v>
      </c>
      <c r="B38" s="52">
        <v>42684</v>
      </c>
      <c r="C38" s="156" t="s">
        <v>531</v>
      </c>
      <c r="D38" s="156" t="s">
        <v>531</v>
      </c>
      <c r="E38">
        <v>562211</v>
      </c>
      <c r="F38">
        <v>13400.8869</v>
      </c>
      <c r="G38">
        <v>23.7471</v>
      </c>
      <c r="H38">
        <v>1.020915</v>
      </c>
      <c r="I38">
        <v>1</v>
      </c>
      <c r="J38" s="156">
        <v>1</v>
      </c>
      <c r="K38">
        <v>1</v>
      </c>
      <c r="L38">
        <v>1</v>
      </c>
      <c r="M38">
        <v>1</v>
      </c>
      <c r="N38">
        <v>1.020915</v>
      </c>
    </row>
    <row r="39" spans="1:14" x14ac:dyDescent="0.35">
      <c r="A39" s="156" t="s">
        <v>542</v>
      </c>
      <c r="B39" s="52">
        <v>42685</v>
      </c>
      <c r="C39" s="156" t="s">
        <v>531</v>
      </c>
      <c r="D39" s="156" t="s">
        <v>531</v>
      </c>
      <c r="E39">
        <v>1126418</v>
      </c>
      <c r="F39">
        <v>28881.7817</v>
      </c>
      <c r="G39">
        <v>25.489000000000001</v>
      </c>
      <c r="H39">
        <v>1.086214</v>
      </c>
      <c r="I39">
        <v>1</v>
      </c>
      <c r="J39" s="156">
        <v>1</v>
      </c>
      <c r="K39">
        <v>1</v>
      </c>
      <c r="L39">
        <v>1</v>
      </c>
      <c r="M39">
        <v>1</v>
      </c>
      <c r="N39">
        <v>1.086214</v>
      </c>
    </row>
    <row r="40" spans="1:14" x14ac:dyDescent="0.35">
      <c r="A40" s="156" t="s">
        <v>542</v>
      </c>
      <c r="B40" s="52">
        <v>42688</v>
      </c>
      <c r="C40" s="156" t="s">
        <v>531</v>
      </c>
      <c r="D40" s="156" t="s">
        <v>531</v>
      </c>
      <c r="E40">
        <v>695161</v>
      </c>
      <c r="F40">
        <v>18175.765800000001</v>
      </c>
      <c r="G40">
        <v>26.059699999999999</v>
      </c>
      <c r="H40">
        <v>1.0125740000000001</v>
      </c>
      <c r="I40">
        <v>1</v>
      </c>
      <c r="J40" s="156">
        <v>1</v>
      </c>
      <c r="K40">
        <v>1</v>
      </c>
      <c r="L40">
        <v>1</v>
      </c>
      <c r="M40">
        <v>1</v>
      </c>
      <c r="N40">
        <v>1.0125740000000001</v>
      </c>
    </row>
    <row r="41" spans="1:14" x14ac:dyDescent="0.35">
      <c r="A41" s="156" t="s">
        <v>542</v>
      </c>
      <c r="B41" s="52">
        <v>42689</v>
      </c>
      <c r="C41" s="156" t="s">
        <v>531</v>
      </c>
      <c r="D41" s="156" t="s">
        <v>531</v>
      </c>
      <c r="E41">
        <v>544098</v>
      </c>
      <c r="F41">
        <v>13997.912200000001</v>
      </c>
      <c r="G41">
        <v>25.532499999999999</v>
      </c>
      <c r="H41">
        <v>0.97982100000000005</v>
      </c>
      <c r="I41">
        <v>1</v>
      </c>
      <c r="J41" s="156">
        <v>1</v>
      </c>
      <c r="K41">
        <v>1</v>
      </c>
      <c r="L41">
        <v>1</v>
      </c>
      <c r="M41">
        <v>1</v>
      </c>
      <c r="N41">
        <v>0.97982100000000005</v>
      </c>
    </row>
    <row r="42" spans="1:14" x14ac:dyDescent="0.35">
      <c r="A42" s="156" t="s">
        <v>542</v>
      </c>
      <c r="B42" s="52">
        <v>42690</v>
      </c>
      <c r="C42" s="156" t="s">
        <v>531</v>
      </c>
      <c r="D42" s="156" t="s">
        <v>531</v>
      </c>
      <c r="E42">
        <v>468557</v>
      </c>
      <c r="F42">
        <v>11977.350899999999</v>
      </c>
      <c r="G42">
        <v>25.400700000000001</v>
      </c>
      <c r="H42">
        <v>1.004356</v>
      </c>
      <c r="I42">
        <v>1</v>
      </c>
      <c r="J42" s="156">
        <v>1</v>
      </c>
      <c r="K42">
        <v>1</v>
      </c>
      <c r="L42">
        <v>1</v>
      </c>
      <c r="M42">
        <v>1</v>
      </c>
      <c r="N42">
        <v>1.004356</v>
      </c>
    </row>
    <row r="43" spans="1:14" x14ac:dyDescent="0.35">
      <c r="A43" s="156" t="s">
        <v>542</v>
      </c>
      <c r="B43" s="52">
        <v>42691</v>
      </c>
      <c r="C43" s="156" t="s">
        <v>531</v>
      </c>
      <c r="D43" s="156" t="s">
        <v>531</v>
      </c>
      <c r="E43">
        <v>608123</v>
      </c>
      <c r="F43">
        <v>15790.926799999999</v>
      </c>
      <c r="G43">
        <v>25.8185</v>
      </c>
      <c r="H43">
        <v>1.0224759999999999</v>
      </c>
      <c r="I43">
        <v>1</v>
      </c>
      <c r="J43" s="156">
        <v>1</v>
      </c>
      <c r="K43">
        <v>1</v>
      </c>
      <c r="L43">
        <v>1</v>
      </c>
      <c r="M43">
        <v>1</v>
      </c>
      <c r="N43">
        <v>1.0224759999999999</v>
      </c>
    </row>
    <row r="44" spans="1:14" x14ac:dyDescent="0.35">
      <c r="A44" s="156" t="s">
        <v>542</v>
      </c>
      <c r="B44" s="52">
        <v>42692</v>
      </c>
      <c r="C44" s="156" t="s">
        <v>531</v>
      </c>
      <c r="D44" s="156" t="s">
        <v>531</v>
      </c>
      <c r="E44">
        <v>825895</v>
      </c>
      <c r="F44">
        <v>23249.552500000002</v>
      </c>
      <c r="G44">
        <v>27.862500000000001</v>
      </c>
      <c r="H44">
        <v>1.122252</v>
      </c>
      <c r="I44">
        <v>1</v>
      </c>
      <c r="J44" s="156">
        <v>1</v>
      </c>
      <c r="K44">
        <v>1</v>
      </c>
      <c r="L44">
        <v>1</v>
      </c>
      <c r="M44">
        <v>1</v>
      </c>
      <c r="N44">
        <v>1.122252</v>
      </c>
    </row>
    <row r="45" spans="1:14" x14ac:dyDescent="0.35">
      <c r="A45" s="156" t="s">
        <v>542</v>
      </c>
      <c r="B45" s="52">
        <v>42695</v>
      </c>
      <c r="C45" s="156" t="s">
        <v>531</v>
      </c>
      <c r="D45" s="156" t="s">
        <v>531</v>
      </c>
      <c r="E45">
        <v>748259</v>
      </c>
      <c r="F45">
        <v>22196.1931</v>
      </c>
      <c r="G45">
        <v>29.5609</v>
      </c>
      <c r="H45">
        <v>1.0079039999999999</v>
      </c>
      <c r="I45">
        <v>1</v>
      </c>
      <c r="J45" s="156">
        <v>1</v>
      </c>
      <c r="K45">
        <v>1</v>
      </c>
      <c r="L45">
        <v>1</v>
      </c>
      <c r="M45">
        <v>1</v>
      </c>
      <c r="N45">
        <v>1.0079039999999999</v>
      </c>
    </row>
    <row r="46" spans="1:14" x14ac:dyDescent="0.35">
      <c r="A46" s="156" t="s">
        <v>542</v>
      </c>
      <c r="B46" s="52">
        <v>42696</v>
      </c>
      <c r="C46" s="156" t="s">
        <v>531</v>
      </c>
      <c r="D46" s="156" t="s">
        <v>531</v>
      </c>
      <c r="E46">
        <v>383255</v>
      </c>
      <c r="F46">
        <v>11121.2055</v>
      </c>
      <c r="G46">
        <v>28.737400000000001</v>
      </c>
      <c r="H46">
        <v>0.97954300000000005</v>
      </c>
      <c r="I46">
        <v>1</v>
      </c>
      <c r="J46" s="156">
        <v>1</v>
      </c>
      <c r="K46">
        <v>1</v>
      </c>
      <c r="L46">
        <v>1</v>
      </c>
      <c r="M46">
        <v>1</v>
      </c>
      <c r="N46">
        <v>0.97954300000000005</v>
      </c>
    </row>
    <row r="47" spans="1:14" x14ac:dyDescent="0.35">
      <c r="A47" s="156" t="s">
        <v>542</v>
      </c>
      <c r="B47" s="52">
        <v>42697</v>
      </c>
      <c r="C47" s="156" t="s">
        <v>531</v>
      </c>
      <c r="D47" s="156" t="s">
        <v>531</v>
      </c>
      <c r="E47">
        <v>527469</v>
      </c>
      <c r="F47">
        <v>15698.606599999999</v>
      </c>
      <c r="G47">
        <v>29.5794</v>
      </c>
      <c r="H47">
        <v>1.050818</v>
      </c>
      <c r="I47">
        <v>1</v>
      </c>
      <c r="J47" s="156">
        <v>1</v>
      </c>
      <c r="K47">
        <v>1</v>
      </c>
      <c r="L47">
        <v>1</v>
      </c>
      <c r="M47">
        <v>1</v>
      </c>
      <c r="N47">
        <v>1.050818</v>
      </c>
    </row>
    <row r="48" spans="1:14" x14ac:dyDescent="0.35">
      <c r="A48" s="156" t="s">
        <v>542</v>
      </c>
      <c r="B48" s="52">
        <v>42699</v>
      </c>
      <c r="C48" s="156" t="s">
        <v>531</v>
      </c>
      <c r="D48" s="156" t="s">
        <v>531</v>
      </c>
      <c r="E48">
        <v>257555</v>
      </c>
      <c r="F48">
        <v>7728.7141000000001</v>
      </c>
      <c r="G48">
        <v>29.706299999999999</v>
      </c>
      <c r="H48">
        <v>0.96323300000000001</v>
      </c>
      <c r="I48">
        <v>1</v>
      </c>
      <c r="J48" s="156">
        <v>1</v>
      </c>
      <c r="K48">
        <v>1</v>
      </c>
      <c r="L48">
        <v>1</v>
      </c>
      <c r="M48">
        <v>1</v>
      </c>
      <c r="N48">
        <v>0.96323300000000001</v>
      </c>
    </row>
    <row r="49" spans="1:14" x14ac:dyDescent="0.35">
      <c r="A49" s="156" t="s">
        <v>542</v>
      </c>
      <c r="B49" s="52">
        <v>42702</v>
      </c>
      <c r="C49" s="156" t="s">
        <v>531</v>
      </c>
      <c r="D49" s="156" t="s">
        <v>531</v>
      </c>
      <c r="E49">
        <v>905661</v>
      </c>
      <c r="F49">
        <v>25097.7274</v>
      </c>
      <c r="G49">
        <v>27.390999999999998</v>
      </c>
      <c r="H49">
        <v>0.918157</v>
      </c>
      <c r="I49">
        <v>1</v>
      </c>
      <c r="J49" s="156">
        <v>1</v>
      </c>
      <c r="K49">
        <v>1</v>
      </c>
      <c r="L49">
        <v>1</v>
      </c>
      <c r="M49">
        <v>1</v>
      </c>
      <c r="N49">
        <v>0.918157</v>
      </c>
    </row>
    <row r="50" spans="1:14" x14ac:dyDescent="0.35">
      <c r="A50" s="156" t="s">
        <v>542</v>
      </c>
      <c r="B50" s="52">
        <v>42703</v>
      </c>
      <c r="C50" s="156" t="s">
        <v>531</v>
      </c>
      <c r="D50" s="156" t="s">
        <v>531</v>
      </c>
      <c r="E50">
        <v>460269</v>
      </c>
      <c r="F50">
        <v>12461.3987</v>
      </c>
      <c r="G50">
        <v>26.793700000000001</v>
      </c>
      <c r="H50">
        <v>1.01573</v>
      </c>
      <c r="I50">
        <v>1</v>
      </c>
      <c r="J50" s="156">
        <v>1</v>
      </c>
      <c r="K50">
        <v>1</v>
      </c>
      <c r="L50">
        <v>1</v>
      </c>
      <c r="M50">
        <v>1</v>
      </c>
      <c r="N50">
        <v>1.01573</v>
      </c>
    </row>
    <row r="51" spans="1:14" x14ac:dyDescent="0.35">
      <c r="A51" s="156" t="s">
        <v>542</v>
      </c>
      <c r="B51" s="52">
        <v>42704</v>
      </c>
      <c r="C51" s="156" t="s">
        <v>531</v>
      </c>
      <c r="D51" s="156" t="s">
        <v>531</v>
      </c>
      <c r="E51">
        <v>313733</v>
      </c>
      <c r="F51">
        <v>8451.4830999999995</v>
      </c>
      <c r="G51">
        <v>26.509899999999998</v>
      </c>
      <c r="H51">
        <v>0.98008799999999996</v>
      </c>
      <c r="I51">
        <v>1</v>
      </c>
      <c r="J51" s="156">
        <v>1</v>
      </c>
      <c r="K51">
        <v>1</v>
      </c>
      <c r="L51">
        <v>1</v>
      </c>
      <c r="M51">
        <v>1</v>
      </c>
      <c r="N51">
        <v>0.98008799999999996</v>
      </c>
    </row>
    <row r="52" spans="1:14" x14ac:dyDescent="0.35">
      <c r="A52" s="156" t="s">
        <v>542</v>
      </c>
      <c r="B52" s="52">
        <v>42705</v>
      </c>
      <c r="C52" s="156" t="s">
        <v>531</v>
      </c>
      <c r="D52" s="156" t="s">
        <v>531</v>
      </c>
      <c r="E52">
        <v>486177</v>
      </c>
      <c r="F52">
        <v>12720.2264</v>
      </c>
      <c r="G52">
        <v>25.9129</v>
      </c>
      <c r="H52">
        <v>0.98118899999999998</v>
      </c>
      <c r="I52">
        <v>1</v>
      </c>
      <c r="J52" s="156">
        <v>1</v>
      </c>
      <c r="K52">
        <v>1</v>
      </c>
      <c r="L52">
        <v>1</v>
      </c>
      <c r="M52">
        <v>1</v>
      </c>
      <c r="N52">
        <v>0.98118899999999998</v>
      </c>
    </row>
    <row r="53" spans="1:14" x14ac:dyDescent="0.35">
      <c r="A53" s="156" t="s">
        <v>542</v>
      </c>
      <c r="B53" s="52">
        <v>42706</v>
      </c>
      <c r="C53" s="156" t="s">
        <v>531</v>
      </c>
      <c r="D53" s="156" t="s">
        <v>531</v>
      </c>
      <c r="E53">
        <v>305498</v>
      </c>
      <c r="F53">
        <v>8062.1111000000001</v>
      </c>
      <c r="G53">
        <v>26.114000000000001</v>
      </c>
      <c r="H53">
        <v>1.0046010000000001</v>
      </c>
      <c r="I53">
        <v>1</v>
      </c>
      <c r="J53" s="156">
        <v>1</v>
      </c>
      <c r="K53">
        <v>1</v>
      </c>
      <c r="L53">
        <v>1</v>
      </c>
      <c r="M53">
        <v>1</v>
      </c>
      <c r="N53">
        <v>1.0046010000000001</v>
      </c>
    </row>
    <row r="54" spans="1:14" x14ac:dyDescent="0.35">
      <c r="A54" s="156" t="s">
        <v>542</v>
      </c>
      <c r="B54" s="52">
        <v>42709</v>
      </c>
      <c r="C54" s="156" t="s">
        <v>531</v>
      </c>
      <c r="D54" s="156" t="s">
        <v>531</v>
      </c>
      <c r="E54">
        <v>279537</v>
      </c>
      <c r="F54">
        <v>7469.7260999999999</v>
      </c>
      <c r="G54">
        <v>26.629100000000001</v>
      </c>
      <c r="H54">
        <v>1.0160309999999999</v>
      </c>
      <c r="I54">
        <v>1</v>
      </c>
      <c r="J54" s="156">
        <v>1</v>
      </c>
      <c r="K54">
        <v>1</v>
      </c>
      <c r="L54">
        <v>1</v>
      </c>
      <c r="M54">
        <v>1</v>
      </c>
      <c r="N54">
        <v>1.0160309999999999</v>
      </c>
    </row>
    <row r="55" spans="1:14" x14ac:dyDescent="0.35">
      <c r="A55" s="156" t="s">
        <v>542</v>
      </c>
      <c r="B55" s="52">
        <v>42710</v>
      </c>
      <c r="C55" s="156" t="s">
        <v>531</v>
      </c>
      <c r="D55" s="156" t="s">
        <v>531</v>
      </c>
      <c r="E55">
        <v>503285</v>
      </c>
      <c r="F55">
        <v>13845.2716</v>
      </c>
      <c r="G55">
        <v>27.4451</v>
      </c>
      <c r="H55">
        <v>1.0555969999999999</v>
      </c>
      <c r="I55">
        <v>1</v>
      </c>
      <c r="J55" s="156">
        <v>1</v>
      </c>
      <c r="K55">
        <v>1</v>
      </c>
      <c r="L55">
        <v>1</v>
      </c>
      <c r="M55">
        <v>1</v>
      </c>
      <c r="N55">
        <v>1.0555969999999999</v>
      </c>
    </row>
    <row r="56" spans="1:14" x14ac:dyDescent="0.35">
      <c r="A56" s="156" t="s">
        <v>542</v>
      </c>
      <c r="B56" s="52">
        <v>42711</v>
      </c>
      <c r="C56" s="156" t="s">
        <v>531</v>
      </c>
      <c r="D56" s="156" t="s">
        <v>531</v>
      </c>
      <c r="E56">
        <v>208217</v>
      </c>
      <c r="F56">
        <v>5847.0162</v>
      </c>
      <c r="G56">
        <v>27.9023</v>
      </c>
      <c r="H56">
        <v>0.98149500000000001</v>
      </c>
      <c r="I56">
        <v>1</v>
      </c>
      <c r="J56" s="156">
        <v>1</v>
      </c>
      <c r="K56">
        <v>1</v>
      </c>
      <c r="L56">
        <v>1</v>
      </c>
      <c r="M56">
        <v>1</v>
      </c>
      <c r="N56">
        <v>0.98149500000000001</v>
      </c>
    </row>
    <row r="57" spans="1:14" x14ac:dyDescent="0.35">
      <c r="A57" s="156" t="s">
        <v>542</v>
      </c>
      <c r="B57" s="52">
        <v>42712</v>
      </c>
      <c r="C57" s="156" t="s">
        <v>531</v>
      </c>
      <c r="D57" s="156" t="s">
        <v>531</v>
      </c>
      <c r="E57">
        <v>166374</v>
      </c>
      <c r="F57">
        <v>4654.1931999999997</v>
      </c>
      <c r="G57">
        <v>27.747900000000001</v>
      </c>
      <c r="H57">
        <v>0.99383600000000005</v>
      </c>
      <c r="I57">
        <v>1</v>
      </c>
      <c r="J57" s="156">
        <v>1</v>
      </c>
      <c r="K57">
        <v>1</v>
      </c>
      <c r="L57">
        <v>1</v>
      </c>
      <c r="M57">
        <v>1</v>
      </c>
      <c r="N57">
        <v>0.99383600000000005</v>
      </c>
    </row>
    <row r="58" spans="1:14" x14ac:dyDescent="0.35">
      <c r="A58" s="156" t="s">
        <v>542</v>
      </c>
      <c r="B58" s="52">
        <v>42713</v>
      </c>
      <c r="C58" s="156" t="s">
        <v>531</v>
      </c>
      <c r="D58" s="156" t="s">
        <v>531</v>
      </c>
      <c r="E58">
        <v>362483</v>
      </c>
      <c r="F58">
        <v>10150.402599999999</v>
      </c>
      <c r="G58">
        <v>27.8308</v>
      </c>
      <c r="H58">
        <v>1.002189</v>
      </c>
      <c r="I58">
        <v>1</v>
      </c>
      <c r="J58" s="156">
        <v>1</v>
      </c>
      <c r="K58">
        <v>1</v>
      </c>
      <c r="L58">
        <v>1</v>
      </c>
      <c r="M58">
        <v>1</v>
      </c>
      <c r="N58">
        <v>1.002189</v>
      </c>
    </row>
    <row r="59" spans="1:14" x14ac:dyDescent="0.35">
      <c r="A59" s="156" t="s">
        <v>542</v>
      </c>
      <c r="B59" s="52">
        <v>42716</v>
      </c>
      <c r="C59" s="156" t="s">
        <v>531</v>
      </c>
      <c r="D59" s="156" t="s">
        <v>531</v>
      </c>
      <c r="E59">
        <v>497813</v>
      </c>
      <c r="F59">
        <v>14419.4642</v>
      </c>
      <c r="G59">
        <v>28.907900000000001</v>
      </c>
      <c r="H59">
        <v>1.068802</v>
      </c>
      <c r="I59">
        <v>1</v>
      </c>
      <c r="J59" s="156">
        <v>1</v>
      </c>
      <c r="K59">
        <v>1</v>
      </c>
      <c r="L59">
        <v>1</v>
      </c>
      <c r="M59">
        <v>1</v>
      </c>
      <c r="N59">
        <v>1.068802</v>
      </c>
    </row>
    <row r="60" spans="1:14" x14ac:dyDescent="0.35">
      <c r="A60" s="156" t="s">
        <v>542</v>
      </c>
      <c r="B60" s="52">
        <v>42717</v>
      </c>
      <c r="C60" s="156" t="s">
        <v>531</v>
      </c>
      <c r="D60" s="156" t="s">
        <v>531</v>
      </c>
      <c r="E60">
        <v>563199</v>
      </c>
      <c r="F60">
        <v>16902.837800000001</v>
      </c>
      <c r="G60">
        <v>29.799700000000001</v>
      </c>
      <c r="H60">
        <v>0.99761599999999995</v>
      </c>
      <c r="I60">
        <v>1</v>
      </c>
      <c r="J60" s="156">
        <v>1</v>
      </c>
      <c r="K60">
        <v>1</v>
      </c>
      <c r="L60">
        <v>1</v>
      </c>
      <c r="M60">
        <v>1</v>
      </c>
      <c r="N60">
        <v>0.99761599999999995</v>
      </c>
    </row>
    <row r="61" spans="1:14" x14ac:dyDescent="0.35">
      <c r="A61" s="156" t="s">
        <v>542</v>
      </c>
      <c r="B61" s="52">
        <v>42718</v>
      </c>
      <c r="C61" s="156" t="s">
        <v>531</v>
      </c>
      <c r="D61" s="156" t="s">
        <v>531</v>
      </c>
      <c r="E61">
        <v>502970</v>
      </c>
      <c r="F61">
        <v>14343.113499999999</v>
      </c>
      <c r="G61">
        <v>28.453099999999999</v>
      </c>
      <c r="H61">
        <v>0.95595799999999997</v>
      </c>
      <c r="I61">
        <v>1</v>
      </c>
      <c r="J61" s="156">
        <v>1</v>
      </c>
      <c r="K61">
        <v>1</v>
      </c>
      <c r="L61">
        <v>1</v>
      </c>
      <c r="M61">
        <v>1</v>
      </c>
      <c r="N61">
        <v>0.95595799999999997</v>
      </c>
    </row>
    <row r="62" spans="1:14" x14ac:dyDescent="0.35">
      <c r="A62" s="156" t="s">
        <v>542</v>
      </c>
      <c r="B62" s="52">
        <v>42719</v>
      </c>
      <c r="C62" s="156" t="s">
        <v>531</v>
      </c>
      <c r="D62" s="156" t="s">
        <v>531</v>
      </c>
      <c r="E62">
        <v>431446</v>
      </c>
      <c r="F62">
        <v>12522.319100000001</v>
      </c>
      <c r="G62">
        <v>28.9084</v>
      </c>
      <c r="H62">
        <v>1.0542860000000001</v>
      </c>
      <c r="I62">
        <v>1</v>
      </c>
      <c r="J62" s="156">
        <v>1</v>
      </c>
      <c r="K62">
        <v>1</v>
      </c>
      <c r="L62">
        <v>1</v>
      </c>
      <c r="M62">
        <v>1</v>
      </c>
      <c r="N62">
        <v>1.0542860000000001</v>
      </c>
    </row>
    <row r="63" spans="1:14" x14ac:dyDescent="0.35">
      <c r="A63" s="156" t="s">
        <v>542</v>
      </c>
      <c r="B63" s="52">
        <v>42720</v>
      </c>
      <c r="C63" s="156" t="s">
        <v>531</v>
      </c>
      <c r="D63" s="156" t="s">
        <v>531</v>
      </c>
      <c r="E63">
        <v>1176428</v>
      </c>
      <c r="F63">
        <v>53559.505100000002</v>
      </c>
      <c r="G63">
        <v>29.277999999999999</v>
      </c>
      <c r="H63">
        <v>0.99017599999999995</v>
      </c>
      <c r="I63">
        <v>1</v>
      </c>
      <c r="J63" s="156">
        <v>1</v>
      </c>
      <c r="K63">
        <v>1</v>
      </c>
      <c r="L63">
        <v>1</v>
      </c>
      <c r="M63">
        <v>1</v>
      </c>
      <c r="N63">
        <v>0.99017599999999995</v>
      </c>
    </row>
    <row r="64" spans="1:14" x14ac:dyDescent="0.35">
      <c r="A64" s="156" t="s">
        <v>542</v>
      </c>
      <c r="B64" s="52">
        <v>42723</v>
      </c>
      <c r="C64" s="156" t="s">
        <v>531</v>
      </c>
      <c r="D64" s="156" t="s">
        <v>531</v>
      </c>
      <c r="E64">
        <v>326943</v>
      </c>
      <c r="F64">
        <v>9780.5396999999994</v>
      </c>
      <c r="G64">
        <v>29.414400000000001</v>
      </c>
      <c r="H64">
        <v>0.99965800000000005</v>
      </c>
      <c r="I64">
        <v>1</v>
      </c>
      <c r="J64" s="156">
        <v>1</v>
      </c>
      <c r="K64">
        <v>1</v>
      </c>
      <c r="L64">
        <v>1</v>
      </c>
      <c r="M64">
        <v>1</v>
      </c>
      <c r="N64">
        <v>0.99965800000000005</v>
      </c>
    </row>
    <row r="65" spans="1:14" x14ac:dyDescent="0.35">
      <c r="A65" s="156" t="s">
        <v>542</v>
      </c>
      <c r="B65" s="52">
        <v>42724</v>
      </c>
      <c r="C65" s="156" t="s">
        <v>531</v>
      </c>
      <c r="D65" s="156" t="s">
        <v>531</v>
      </c>
      <c r="E65">
        <v>531140</v>
      </c>
      <c r="F65">
        <v>16364.439200000001</v>
      </c>
      <c r="G65">
        <v>30.6816</v>
      </c>
      <c r="H65">
        <v>1.0643400000000001</v>
      </c>
      <c r="I65">
        <v>1</v>
      </c>
      <c r="J65" s="156">
        <v>1</v>
      </c>
      <c r="K65">
        <v>1</v>
      </c>
      <c r="L65">
        <v>1</v>
      </c>
      <c r="M65">
        <v>1</v>
      </c>
      <c r="N65">
        <v>1.0643400000000001</v>
      </c>
    </row>
    <row r="66" spans="1:14" x14ac:dyDescent="0.35">
      <c r="A66" s="156" t="s">
        <v>542</v>
      </c>
      <c r="B66" s="52">
        <v>42725</v>
      </c>
      <c r="C66" s="156" t="s">
        <v>531</v>
      </c>
      <c r="D66" s="156" t="s">
        <v>531</v>
      </c>
      <c r="E66">
        <v>347521</v>
      </c>
      <c r="F66">
        <v>11179.085499999999</v>
      </c>
      <c r="G66">
        <v>30.2852</v>
      </c>
      <c r="H66">
        <v>0.97620600000000002</v>
      </c>
      <c r="I66">
        <v>1</v>
      </c>
      <c r="J66" s="156">
        <v>1</v>
      </c>
      <c r="K66">
        <v>1</v>
      </c>
      <c r="L66">
        <v>1</v>
      </c>
      <c r="M66">
        <v>1</v>
      </c>
      <c r="N66">
        <v>0.97620600000000002</v>
      </c>
    </row>
    <row r="67" spans="1:14" x14ac:dyDescent="0.35">
      <c r="A67" s="156" t="s">
        <v>542</v>
      </c>
      <c r="B67" s="52">
        <v>42726</v>
      </c>
      <c r="C67" s="156" t="s">
        <v>531</v>
      </c>
      <c r="D67" s="156" t="s">
        <v>531</v>
      </c>
      <c r="E67">
        <v>271246</v>
      </c>
      <c r="F67">
        <v>8262.9302000000007</v>
      </c>
      <c r="G67">
        <v>30.114999999999998</v>
      </c>
      <c r="H67">
        <v>0.99868199999999996</v>
      </c>
      <c r="I67">
        <v>1</v>
      </c>
      <c r="J67" s="156">
        <v>1</v>
      </c>
      <c r="K67">
        <v>1</v>
      </c>
      <c r="L67">
        <v>1</v>
      </c>
      <c r="M67">
        <v>1</v>
      </c>
      <c r="N67">
        <v>0.99868199999999996</v>
      </c>
    </row>
    <row r="68" spans="1:14" x14ac:dyDescent="0.35">
      <c r="A68" s="156" t="s">
        <v>542</v>
      </c>
      <c r="B68" s="52">
        <v>42727</v>
      </c>
      <c r="C68" s="156" t="s">
        <v>531</v>
      </c>
      <c r="D68" s="156" t="s">
        <v>531</v>
      </c>
      <c r="E68">
        <v>106405</v>
      </c>
      <c r="F68">
        <v>3249.1504</v>
      </c>
      <c r="G68">
        <v>29.9224</v>
      </c>
      <c r="H68">
        <v>0.99439299999999997</v>
      </c>
      <c r="I68">
        <v>1</v>
      </c>
      <c r="J68" s="156">
        <v>1</v>
      </c>
      <c r="K68">
        <v>1</v>
      </c>
      <c r="L68">
        <v>1</v>
      </c>
      <c r="M68">
        <v>1</v>
      </c>
      <c r="N68">
        <v>0.99439299999999997</v>
      </c>
    </row>
    <row r="69" spans="1:14" x14ac:dyDescent="0.35">
      <c r="A69" s="156" t="s">
        <v>542</v>
      </c>
      <c r="B69" s="52">
        <v>42731</v>
      </c>
      <c r="C69" s="156" t="s">
        <v>531</v>
      </c>
      <c r="D69" s="156" t="s">
        <v>531</v>
      </c>
      <c r="E69">
        <v>170939</v>
      </c>
      <c r="F69">
        <v>5179.4625999999998</v>
      </c>
      <c r="G69">
        <v>29.9297</v>
      </c>
      <c r="H69">
        <v>0.993035</v>
      </c>
      <c r="I69">
        <v>1</v>
      </c>
      <c r="J69" s="156">
        <v>1</v>
      </c>
      <c r="K69">
        <v>1</v>
      </c>
      <c r="L69">
        <v>1</v>
      </c>
      <c r="M69">
        <v>1</v>
      </c>
      <c r="N69">
        <v>0.993035</v>
      </c>
    </row>
    <row r="70" spans="1:14" x14ac:dyDescent="0.35">
      <c r="A70" s="156" t="s">
        <v>542</v>
      </c>
      <c r="B70" s="52">
        <v>42732</v>
      </c>
      <c r="C70" s="156" t="s">
        <v>531</v>
      </c>
      <c r="D70" s="156" t="s">
        <v>531</v>
      </c>
      <c r="E70">
        <v>233398</v>
      </c>
      <c r="F70">
        <v>6849.1282000000001</v>
      </c>
      <c r="G70">
        <v>29.168700000000001</v>
      </c>
      <c r="H70">
        <v>0.95157000000000003</v>
      </c>
      <c r="I70">
        <v>1</v>
      </c>
      <c r="J70" s="156">
        <v>1</v>
      </c>
      <c r="K70">
        <v>1</v>
      </c>
      <c r="L70">
        <v>1</v>
      </c>
      <c r="M70">
        <v>1</v>
      </c>
      <c r="N70">
        <v>0.95157000000000003</v>
      </c>
    </row>
    <row r="71" spans="1:14" x14ac:dyDescent="0.35">
      <c r="A71" s="156" t="s">
        <v>542</v>
      </c>
      <c r="B71" s="52">
        <v>42733</v>
      </c>
      <c r="C71" s="156" t="s">
        <v>531</v>
      </c>
      <c r="D71" s="156" t="s">
        <v>531</v>
      </c>
      <c r="E71">
        <v>206963</v>
      </c>
      <c r="F71">
        <v>6157.1943000000001</v>
      </c>
      <c r="G71">
        <v>28.518599999999999</v>
      </c>
      <c r="H71">
        <v>0.996139</v>
      </c>
      <c r="I71">
        <v>1</v>
      </c>
      <c r="J71" s="156">
        <v>1</v>
      </c>
      <c r="K71">
        <v>1</v>
      </c>
      <c r="L71">
        <v>1</v>
      </c>
      <c r="M71">
        <v>1</v>
      </c>
      <c r="N71">
        <v>0.996139</v>
      </c>
    </row>
    <row r="72" spans="1:14" x14ac:dyDescent="0.35">
      <c r="A72" s="156" t="s">
        <v>542</v>
      </c>
      <c r="B72" s="52">
        <v>42734</v>
      </c>
      <c r="C72" s="156" t="s">
        <v>531</v>
      </c>
      <c r="D72" s="156" t="s">
        <v>531</v>
      </c>
      <c r="E72">
        <v>285022</v>
      </c>
      <c r="F72">
        <v>7936.3078999999998</v>
      </c>
      <c r="G72">
        <v>27.558700000000002</v>
      </c>
      <c r="H72">
        <v>0.97498200000000002</v>
      </c>
      <c r="I72">
        <v>1</v>
      </c>
      <c r="J72" s="156">
        <v>1</v>
      </c>
      <c r="K72">
        <v>1</v>
      </c>
      <c r="L72">
        <v>1</v>
      </c>
      <c r="M72">
        <v>1</v>
      </c>
      <c r="N72">
        <v>0.97498200000000002</v>
      </c>
    </row>
    <row r="73" spans="1:14" x14ac:dyDescent="0.35">
      <c r="A73" s="156" t="s">
        <v>542</v>
      </c>
      <c r="B73" s="52">
        <v>42738</v>
      </c>
      <c r="C73" s="156" t="s">
        <v>531</v>
      </c>
      <c r="D73" s="156" t="s">
        <v>531</v>
      </c>
      <c r="E73">
        <v>442968</v>
      </c>
      <c r="F73">
        <v>14751.291800000001</v>
      </c>
      <c r="G73">
        <v>27.063600000000001</v>
      </c>
      <c r="H73">
        <v>0.97325600000000001</v>
      </c>
      <c r="I73">
        <v>1</v>
      </c>
      <c r="J73" s="156">
        <v>1</v>
      </c>
      <c r="K73">
        <v>1</v>
      </c>
      <c r="L73">
        <v>1</v>
      </c>
      <c r="M73">
        <v>1</v>
      </c>
      <c r="N73">
        <v>0.97325600000000001</v>
      </c>
    </row>
    <row r="74" spans="1:14" x14ac:dyDescent="0.35">
      <c r="A74" s="156" t="s">
        <v>542</v>
      </c>
      <c r="B74" s="52">
        <v>42739</v>
      </c>
      <c r="C74" s="156" t="s">
        <v>531</v>
      </c>
      <c r="D74" s="156" t="s">
        <v>531</v>
      </c>
      <c r="E74">
        <v>426168</v>
      </c>
      <c r="F74">
        <v>11689.4588</v>
      </c>
      <c r="G74">
        <v>27.2852</v>
      </c>
      <c r="H74">
        <v>1.006313</v>
      </c>
      <c r="I74">
        <v>1</v>
      </c>
      <c r="J74" s="156">
        <v>1</v>
      </c>
      <c r="K74">
        <v>1</v>
      </c>
      <c r="L74">
        <v>1</v>
      </c>
      <c r="M74">
        <v>1</v>
      </c>
      <c r="N74">
        <v>1.006313</v>
      </c>
    </row>
    <row r="75" spans="1:14" x14ac:dyDescent="0.35">
      <c r="A75" s="156" t="s">
        <v>542</v>
      </c>
      <c r="B75" s="52">
        <v>42740</v>
      </c>
      <c r="C75" s="156" t="s">
        <v>531</v>
      </c>
      <c r="D75" s="156" t="s">
        <v>531</v>
      </c>
      <c r="E75">
        <v>161518</v>
      </c>
      <c r="F75">
        <v>4463.3059999999996</v>
      </c>
      <c r="G75">
        <v>27.156300000000002</v>
      </c>
      <c r="H75">
        <v>1.012915</v>
      </c>
      <c r="I75">
        <v>1</v>
      </c>
      <c r="J75" s="156">
        <v>1</v>
      </c>
      <c r="K75">
        <v>1</v>
      </c>
      <c r="L75">
        <v>1</v>
      </c>
      <c r="M75">
        <v>1</v>
      </c>
      <c r="N75">
        <v>1.012915</v>
      </c>
    </row>
    <row r="76" spans="1:14" x14ac:dyDescent="0.35">
      <c r="A76" s="156" t="s">
        <v>542</v>
      </c>
      <c r="B76" s="52">
        <v>42741</v>
      </c>
      <c r="C76" s="156" t="s">
        <v>531</v>
      </c>
      <c r="D76" s="156" t="s">
        <v>531</v>
      </c>
      <c r="E76">
        <v>236911</v>
      </c>
      <c r="F76">
        <v>6669.9448000000002</v>
      </c>
      <c r="G76">
        <v>27.435600000000001</v>
      </c>
      <c r="H76">
        <v>1.009107</v>
      </c>
      <c r="I76">
        <v>1</v>
      </c>
      <c r="J76" s="156">
        <v>1</v>
      </c>
      <c r="K76">
        <v>1</v>
      </c>
      <c r="L76">
        <v>1</v>
      </c>
      <c r="M76">
        <v>1</v>
      </c>
      <c r="N76">
        <v>1.009107</v>
      </c>
    </row>
    <row r="77" spans="1:14" x14ac:dyDescent="0.35">
      <c r="A77" s="156" t="s">
        <v>542</v>
      </c>
      <c r="B77" s="52">
        <v>42744</v>
      </c>
      <c r="C77" s="156" t="s">
        <v>531</v>
      </c>
      <c r="D77" s="156" t="s">
        <v>531</v>
      </c>
      <c r="E77">
        <v>249184</v>
      </c>
      <c r="F77">
        <v>7108.0712000000003</v>
      </c>
      <c r="G77">
        <v>28.2774</v>
      </c>
      <c r="H77">
        <v>1.026715</v>
      </c>
      <c r="I77">
        <v>1</v>
      </c>
      <c r="J77" s="156">
        <v>1</v>
      </c>
      <c r="K77">
        <v>1</v>
      </c>
      <c r="L77">
        <v>1</v>
      </c>
      <c r="M77">
        <v>1</v>
      </c>
      <c r="N77">
        <v>1.026715</v>
      </c>
    </row>
    <row r="78" spans="1:14" x14ac:dyDescent="0.35">
      <c r="A78" s="156" t="s">
        <v>542</v>
      </c>
      <c r="B78" s="52">
        <v>42745</v>
      </c>
      <c r="C78" s="156" t="s">
        <v>531</v>
      </c>
      <c r="D78" s="156" t="s">
        <v>531</v>
      </c>
      <c r="E78">
        <v>309803</v>
      </c>
      <c r="F78">
        <v>9041.9336999999996</v>
      </c>
      <c r="G78">
        <v>28.554400000000001</v>
      </c>
      <c r="H78">
        <v>1.0147679999999999</v>
      </c>
      <c r="I78">
        <v>1</v>
      </c>
      <c r="J78" s="156">
        <v>1</v>
      </c>
      <c r="K78">
        <v>1</v>
      </c>
      <c r="L78">
        <v>1</v>
      </c>
      <c r="M78">
        <v>1</v>
      </c>
      <c r="N78">
        <v>1.0147679999999999</v>
      </c>
    </row>
    <row r="79" spans="1:14" x14ac:dyDescent="0.35">
      <c r="A79" s="156" t="s">
        <v>542</v>
      </c>
      <c r="B79" s="52">
        <v>42746</v>
      </c>
      <c r="C79" s="156" t="s">
        <v>531</v>
      </c>
      <c r="D79" s="156" t="s">
        <v>531</v>
      </c>
      <c r="E79">
        <v>255602</v>
      </c>
      <c r="F79">
        <v>7680.0680000000002</v>
      </c>
      <c r="G79">
        <v>29.237200000000001</v>
      </c>
      <c r="H79">
        <v>1.0308390000000001</v>
      </c>
      <c r="I79">
        <v>1</v>
      </c>
      <c r="J79" s="156">
        <v>1</v>
      </c>
      <c r="K79">
        <v>1</v>
      </c>
      <c r="L79">
        <v>1</v>
      </c>
      <c r="M79">
        <v>1</v>
      </c>
      <c r="N79">
        <v>1.0308390000000001</v>
      </c>
    </row>
    <row r="80" spans="1:14" x14ac:dyDescent="0.35">
      <c r="A80" s="156" t="s">
        <v>542</v>
      </c>
      <c r="B80" s="52">
        <v>42747</v>
      </c>
      <c r="C80" s="156" t="s">
        <v>531</v>
      </c>
      <c r="D80" s="156" t="s">
        <v>531</v>
      </c>
      <c r="E80">
        <v>144252</v>
      </c>
      <c r="F80">
        <v>4314.2295000000004</v>
      </c>
      <c r="G80">
        <v>29.316400000000002</v>
      </c>
      <c r="H80">
        <v>0.98722699999999997</v>
      </c>
      <c r="I80">
        <v>1</v>
      </c>
      <c r="J80" s="156">
        <v>1</v>
      </c>
      <c r="K80">
        <v>1</v>
      </c>
      <c r="L80">
        <v>1</v>
      </c>
      <c r="M80">
        <v>1</v>
      </c>
      <c r="N80">
        <v>0.98722699999999997</v>
      </c>
    </row>
    <row r="81" spans="1:14" x14ac:dyDescent="0.35">
      <c r="A81" s="156" t="s">
        <v>542</v>
      </c>
      <c r="B81" s="52">
        <v>42748</v>
      </c>
      <c r="C81" s="156" t="s">
        <v>531</v>
      </c>
      <c r="D81" s="156" t="s">
        <v>531</v>
      </c>
      <c r="E81">
        <v>162761</v>
      </c>
      <c r="F81">
        <v>4936.3432000000003</v>
      </c>
      <c r="G81">
        <v>29.8825</v>
      </c>
      <c r="H81">
        <v>0.99931899999999996</v>
      </c>
      <c r="I81">
        <v>1</v>
      </c>
      <c r="J81" s="156">
        <v>1</v>
      </c>
      <c r="K81">
        <v>1</v>
      </c>
      <c r="L81">
        <v>1</v>
      </c>
      <c r="M81">
        <v>1</v>
      </c>
      <c r="N81">
        <v>0.99931899999999996</v>
      </c>
    </row>
    <row r="82" spans="1:14" x14ac:dyDescent="0.35">
      <c r="A82" s="156" t="s">
        <v>542</v>
      </c>
      <c r="B82" s="52">
        <v>42752</v>
      </c>
      <c r="C82" s="156" t="s">
        <v>531</v>
      </c>
      <c r="D82" s="156" t="s">
        <v>531</v>
      </c>
      <c r="E82">
        <v>70239</v>
      </c>
      <c r="F82">
        <v>2122.6783</v>
      </c>
      <c r="G82">
        <v>29.048200000000001</v>
      </c>
      <c r="H82">
        <v>0.987734</v>
      </c>
      <c r="I82">
        <v>1</v>
      </c>
      <c r="J82" s="156">
        <v>1</v>
      </c>
      <c r="K82">
        <v>1</v>
      </c>
      <c r="L82">
        <v>1</v>
      </c>
      <c r="M82">
        <v>1</v>
      </c>
      <c r="N82">
        <v>0.987734</v>
      </c>
    </row>
    <row r="83" spans="1:14" x14ac:dyDescent="0.35">
      <c r="A83" s="156" t="s">
        <v>542</v>
      </c>
      <c r="B83" s="52">
        <v>42753</v>
      </c>
      <c r="C83" s="156" t="s">
        <v>531</v>
      </c>
      <c r="D83" s="156" t="s">
        <v>531</v>
      </c>
      <c r="E83">
        <v>129753</v>
      </c>
      <c r="F83">
        <v>3799.0913</v>
      </c>
      <c r="G83">
        <v>29.006499999999999</v>
      </c>
      <c r="H83">
        <v>1.0006900000000001</v>
      </c>
      <c r="I83">
        <v>1</v>
      </c>
      <c r="J83" s="156">
        <v>1</v>
      </c>
      <c r="K83">
        <v>1</v>
      </c>
      <c r="L83">
        <v>1</v>
      </c>
      <c r="M83">
        <v>1</v>
      </c>
      <c r="N83">
        <v>1.0006900000000001</v>
      </c>
    </row>
    <row r="84" spans="1:14" x14ac:dyDescent="0.35">
      <c r="A84" s="156" t="s">
        <v>542</v>
      </c>
      <c r="B84" s="52">
        <v>42754</v>
      </c>
      <c r="C84" s="156" t="s">
        <v>531</v>
      </c>
      <c r="D84" s="156" t="s">
        <v>531</v>
      </c>
      <c r="E84">
        <v>99161</v>
      </c>
      <c r="F84">
        <v>2914.3843999999999</v>
      </c>
      <c r="G84">
        <v>28.9131</v>
      </c>
      <c r="H84">
        <v>0.99965499999999996</v>
      </c>
      <c r="I84">
        <v>1</v>
      </c>
      <c r="J84" s="156">
        <v>1</v>
      </c>
      <c r="K84">
        <v>1</v>
      </c>
      <c r="L84">
        <v>1</v>
      </c>
      <c r="M84">
        <v>1</v>
      </c>
      <c r="N84">
        <v>0.99965499999999996</v>
      </c>
    </row>
    <row r="85" spans="1:14" x14ac:dyDescent="0.35">
      <c r="A85" s="156" t="s">
        <v>542</v>
      </c>
      <c r="B85" s="52">
        <v>42755</v>
      </c>
      <c r="C85" s="156" t="s">
        <v>531</v>
      </c>
      <c r="D85" s="156" t="s">
        <v>531</v>
      </c>
      <c r="E85">
        <v>80991</v>
      </c>
      <c r="F85">
        <v>2442.6412999999998</v>
      </c>
      <c r="G85">
        <v>29.281300000000002</v>
      </c>
      <c r="H85">
        <v>1.008966</v>
      </c>
      <c r="I85">
        <v>1</v>
      </c>
      <c r="J85" s="156">
        <v>1</v>
      </c>
      <c r="K85">
        <v>1</v>
      </c>
      <c r="L85">
        <v>1</v>
      </c>
      <c r="M85">
        <v>1</v>
      </c>
      <c r="N85">
        <v>1.008966</v>
      </c>
    </row>
    <row r="86" spans="1:14" x14ac:dyDescent="0.35">
      <c r="A86" s="156" t="s">
        <v>542</v>
      </c>
      <c r="B86" s="52">
        <v>42758</v>
      </c>
      <c r="C86" s="156" t="s">
        <v>531</v>
      </c>
      <c r="D86" s="156" t="s">
        <v>531</v>
      </c>
      <c r="E86">
        <v>74900</v>
      </c>
      <c r="F86">
        <v>2264.0243</v>
      </c>
      <c r="G86">
        <v>29.620899999999999</v>
      </c>
      <c r="H86">
        <v>1.018113</v>
      </c>
      <c r="I86">
        <v>1</v>
      </c>
      <c r="J86" s="156">
        <v>1</v>
      </c>
      <c r="K86">
        <v>1</v>
      </c>
      <c r="L86">
        <v>1</v>
      </c>
      <c r="M86">
        <v>1</v>
      </c>
      <c r="N86">
        <v>1.018113</v>
      </c>
    </row>
    <row r="87" spans="1:14" x14ac:dyDescent="0.35">
      <c r="A87" s="156" t="s">
        <v>542</v>
      </c>
      <c r="B87" s="52">
        <v>42759</v>
      </c>
      <c r="C87" s="156" t="s">
        <v>531</v>
      </c>
      <c r="D87" s="156" t="s">
        <v>531</v>
      </c>
      <c r="E87">
        <v>154705</v>
      </c>
      <c r="F87">
        <v>4650.4432999999999</v>
      </c>
      <c r="G87">
        <v>29.7197</v>
      </c>
      <c r="H87">
        <v>0.99529999999999996</v>
      </c>
      <c r="I87">
        <v>1</v>
      </c>
      <c r="J87" s="156">
        <v>1</v>
      </c>
      <c r="K87">
        <v>1</v>
      </c>
      <c r="L87">
        <v>1</v>
      </c>
      <c r="M87">
        <v>1</v>
      </c>
      <c r="N87">
        <v>0.99529999999999996</v>
      </c>
    </row>
    <row r="88" spans="1:14" x14ac:dyDescent="0.35">
      <c r="A88" s="156" t="s">
        <v>542</v>
      </c>
      <c r="B88" s="52">
        <v>42760</v>
      </c>
      <c r="C88" s="156" t="s">
        <v>531</v>
      </c>
      <c r="D88" s="156" t="s">
        <v>531</v>
      </c>
      <c r="E88">
        <v>251269</v>
      </c>
      <c r="F88">
        <v>7703.5034999999998</v>
      </c>
      <c r="G88">
        <v>30.432099999999998</v>
      </c>
      <c r="H88">
        <v>1.0256320000000001</v>
      </c>
      <c r="I88">
        <v>1</v>
      </c>
      <c r="J88" s="156">
        <v>1</v>
      </c>
      <c r="K88">
        <v>1</v>
      </c>
      <c r="L88">
        <v>1</v>
      </c>
      <c r="M88">
        <v>1</v>
      </c>
      <c r="N88">
        <v>1.0256320000000001</v>
      </c>
    </row>
    <row r="89" spans="1:14" x14ac:dyDescent="0.35">
      <c r="A89" s="156" t="s">
        <v>542</v>
      </c>
      <c r="B89" s="52">
        <v>42761</v>
      </c>
      <c r="C89" s="156" t="s">
        <v>531</v>
      </c>
      <c r="D89" s="156" t="s">
        <v>531</v>
      </c>
      <c r="E89">
        <v>153163</v>
      </c>
      <c r="F89">
        <v>4778.7304000000004</v>
      </c>
      <c r="G89">
        <v>30.7532</v>
      </c>
      <c r="H89">
        <v>1.012167</v>
      </c>
      <c r="I89">
        <v>1</v>
      </c>
      <c r="J89" s="156">
        <v>1</v>
      </c>
      <c r="K89">
        <v>1</v>
      </c>
      <c r="L89">
        <v>1</v>
      </c>
      <c r="M89">
        <v>1</v>
      </c>
      <c r="N89">
        <v>1.012167</v>
      </c>
    </row>
    <row r="90" spans="1:14" x14ac:dyDescent="0.35">
      <c r="A90" s="156" t="s">
        <v>542</v>
      </c>
      <c r="B90" s="52">
        <v>42762</v>
      </c>
      <c r="C90" s="156" t="s">
        <v>531</v>
      </c>
      <c r="D90" s="156" t="s">
        <v>531</v>
      </c>
      <c r="E90">
        <v>133750</v>
      </c>
      <c r="F90">
        <v>4165.5272999999997</v>
      </c>
      <c r="G90">
        <v>30.813700000000001</v>
      </c>
      <c r="H90">
        <v>1.0016240000000001</v>
      </c>
      <c r="I90">
        <v>1</v>
      </c>
      <c r="J90" s="156">
        <v>1</v>
      </c>
      <c r="K90">
        <v>1</v>
      </c>
      <c r="L90">
        <v>1</v>
      </c>
      <c r="M90">
        <v>1</v>
      </c>
      <c r="N90">
        <v>1.0016240000000001</v>
      </c>
    </row>
    <row r="91" spans="1:14" x14ac:dyDescent="0.35">
      <c r="A91" s="156" t="s">
        <v>542</v>
      </c>
      <c r="B91" s="52">
        <v>42765</v>
      </c>
      <c r="C91" s="156" t="s">
        <v>531</v>
      </c>
      <c r="D91" s="156" t="s">
        <v>531</v>
      </c>
      <c r="E91">
        <v>309606</v>
      </c>
      <c r="F91">
        <v>9436.2968999999994</v>
      </c>
      <c r="G91">
        <v>29.7944</v>
      </c>
      <c r="H91">
        <v>0.96496899999999997</v>
      </c>
      <c r="I91">
        <v>1</v>
      </c>
      <c r="J91" s="156">
        <v>1</v>
      </c>
      <c r="K91">
        <v>1</v>
      </c>
      <c r="L91">
        <v>1</v>
      </c>
      <c r="M91">
        <v>1</v>
      </c>
      <c r="N91">
        <v>0.96496899999999997</v>
      </c>
    </row>
    <row r="92" spans="1:14" x14ac:dyDescent="0.35">
      <c r="A92" s="156" t="s">
        <v>542</v>
      </c>
      <c r="B92" s="52">
        <v>42766</v>
      </c>
      <c r="C92" s="156" t="s">
        <v>531</v>
      </c>
      <c r="D92" s="156" t="s">
        <v>531</v>
      </c>
      <c r="E92">
        <v>338680</v>
      </c>
      <c r="F92">
        <v>10123.210800000001</v>
      </c>
      <c r="G92">
        <v>29.5121</v>
      </c>
      <c r="H92">
        <v>0.99697499999999994</v>
      </c>
      <c r="I92">
        <v>1</v>
      </c>
      <c r="J92" s="156">
        <v>1</v>
      </c>
      <c r="K92">
        <v>1</v>
      </c>
      <c r="L92">
        <v>1</v>
      </c>
      <c r="M92">
        <v>1</v>
      </c>
      <c r="N92">
        <v>0.99697499999999994</v>
      </c>
    </row>
    <row r="93" spans="1:14" x14ac:dyDescent="0.35">
      <c r="A93" s="156" t="s">
        <v>542</v>
      </c>
      <c r="B93" s="52">
        <v>42767</v>
      </c>
      <c r="C93" s="156" t="s">
        <v>531</v>
      </c>
      <c r="D93" s="156" t="s">
        <v>531</v>
      </c>
      <c r="E93">
        <v>255799</v>
      </c>
      <c r="F93">
        <v>7612.9615000000003</v>
      </c>
      <c r="G93">
        <v>29.569800000000001</v>
      </c>
      <c r="H93">
        <v>0.99763999999999997</v>
      </c>
      <c r="I93">
        <v>1</v>
      </c>
      <c r="J93" s="156">
        <v>1</v>
      </c>
      <c r="K93">
        <v>1</v>
      </c>
      <c r="L93">
        <v>1</v>
      </c>
      <c r="M93">
        <v>1</v>
      </c>
      <c r="N93">
        <v>0.99763999999999997</v>
      </c>
    </row>
    <row r="94" spans="1:14" x14ac:dyDescent="0.35">
      <c r="A94" s="156" t="s">
        <v>542</v>
      </c>
      <c r="B94" s="52">
        <v>42768</v>
      </c>
      <c r="C94" s="156" t="s">
        <v>531</v>
      </c>
      <c r="D94" s="156" t="s">
        <v>531</v>
      </c>
      <c r="E94">
        <v>77729</v>
      </c>
      <c r="F94">
        <v>2352.7073999999998</v>
      </c>
      <c r="G94">
        <v>29.104800000000001</v>
      </c>
      <c r="H94">
        <v>0.98073699999999997</v>
      </c>
      <c r="I94">
        <v>1</v>
      </c>
      <c r="J94" s="156">
        <v>1</v>
      </c>
      <c r="K94">
        <v>1</v>
      </c>
      <c r="L94">
        <v>1</v>
      </c>
      <c r="M94">
        <v>1</v>
      </c>
      <c r="N94">
        <v>0.98073699999999997</v>
      </c>
    </row>
    <row r="95" spans="1:14" x14ac:dyDescent="0.35">
      <c r="A95" s="156" t="s">
        <v>542</v>
      </c>
      <c r="B95" s="52">
        <v>42769</v>
      </c>
      <c r="C95" s="156" t="s">
        <v>531</v>
      </c>
      <c r="D95" s="156" t="s">
        <v>531</v>
      </c>
      <c r="E95">
        <v>228881</v>
      </c>
      <c r="F95">
        <v>6685.7731999999996</v>
      </c>
      <c r="G95">
        <v>28.805199999999999</v>
      </c>
      <c r="H95">
        <v>0.99655400000000005</v>
      </c>
      <c r="I95">
        <v>1</v>
      </c>
      <c r="J95" s="156">
        <v>1</v>
      </c>
      <c r="K95">
        <v>1</v>
      </c>
      <c r="L95">
        <v>1</v>
      </c>
      <c r="M95">
        <v>1</v>
      </c>
      <c r="N95">
        <v>0.99655400000000005</v>
      </c>
    </row>
    <row r="96" spans="1:14" x14ac:dyDescent="0.35">
      <c r="A96" s="156" t="s">
        <v>542</v>
      </c>
      <c r="B96" s="52">
        <v>42772</v>
      </c>
      <c r="C96" s="156" t="s">
        <v>531</v>
      </c>
      <c r="D96" s="156" t="s">
        <v>531</v>
      </c>
      <c r="E96">
        <v>84821</v>
      </c>
      <c r="F96">
        <v>2474.6849000000002</v>
      </c>
      <c r="G96">
        <v>28.672000000000001</v>
      </c>
      <c r="H96">
        <v>0.99585100000000004</v>
      </c>
      <c r="I96">
        <v>1</v>
      </c>
      <c r="J96" s="156">
        <v>1</v>
      </c>
      <c r="K96">
        <v>1</v>
      </c>
      <c r="L96">
        <v>1</v>
      </c>
      <c r="M96">
        <v>1</v>
      </c>
      <c r="N96">
        <v>0.99585100000000004</v>
      </c>
    </row>
    <row r="97" spans="1:14" x14ac:dyDescent="0.35">
      <c r="A97" s="156" t="s">
        <v>542</v>
      </c>
      <c r="B97" s="52">
        <v>42773</v>
      </c>
      <c r="C97" s="156" t="s">
        <v>531</v>
      </c>
      <c r="D97" s="156" t="s">
        <v>531</v>
      </c>
      <c r="E97">
        <v>121702</v>
      </c>
      <c r="F97">
        <v>3543.7853</v>
      </c>
      <c r="G97">
        <v>28.598800000000001</v>
      </c>
      <c r="H97">
        <v>0.99131899999999995</v>
      </c>
      <c r="I97">
        <v>1</v>
      </c>
      <c r="J97" s="156">
        <v>1</v>
      </c>
      <c r="K97">
        <v>1</v>
      </c>
      <c r="L97">
        <v>1</v>
      </c>
      <c r="M97">
        <v>1</v>
      </c>
      <c r="N97">
        <v>0.99131899999999995</v>
      </c>
    </row>
    <row r="98" spans="1:14" x14ac:dyDescent="0.35">
      <c r="A98" s="156" t="s">
        <v>542</v>
      </c>
      <c r="B98" s="52">
        <v>42774</v>
      </c>
      <c r="C98" s="156" t="s">
        <v>531</v>
      </c>
      <c r="D98" s="156" t="s">
        <v>531</v>
      </c>
      <c r="E98">
        <v>63246</v>
      </c>
      <c r="F98">
        <v>1856.4407000000001</v>
      </c>
      <c r="G98">
        <v>28.5472</v>
      </c>
      <c r="H98">
        <v>0.992645</v>
      </c>
      <c r="I98">
        <v>1</v>
      </c>
      <c r="J98" s="156">
        <v>1</v>
      </c>
      <c r="K98">
        <v>1</v>
      </c>
      <c r="L98">
        <v>1</v>
      </c>
      <c r="M98">
        <v>1</v>
      </c>
      <c r="N98">
        <v>0.992645</v>
      </c>
    </row>
    <row r="99" spans="1:14" x14ac:dyDescent="0.35">
      <c r="A99" s="156" t="s">
        <v>542</v>
      </c>
      <c r="B99" s="52">
        <v>42775</v>
      </c>
      <c r="C99" s="156" t="s">
        <v>531</v>
      </c>
      <c r="D99" s="156" t="s">
        <v>531</v>
      </c>
      <c r="E99">
        <v>119398</v>
      </c>
      <c r="F99">
        <v>3477.1509000000001</v>
      </c>
      <c r="G99">
        <v>28.887499999999999</v>
      </c>
      <c r="H99">
        <v>1.0246999999999999</v>
      </c>
      <c r="I99">
        <v>1</v>
      </c>
      <c r="J99" s="156">
        <v>1</v>
      </c>
      <c r="K99">
        <v>1</v>
      </c>
      <c r="L99">
        <v>1</v>
      </c>
      <c r="M99">
        <v>1</v>
      </c>
      <c r="N99">
        <v>1.0246999999999999</v>
      </c>
    </row>
    <row r="100" spans="1:14" x14ac:dyDescent="0.35">
      <c r="A100" s="156" t="s">
        <v>542</v>
      </c>
      <c r="B100" s="52">
        <v>42776</v>
      </c>
      <c r="C100" s="156" t="s">
        <v>531</v>
      </c>
      <c r="D100" s="156" t="s">
        <v>531</v>
      </c>
      <c r="E100">
        <v>94722</v>
      </c>
      <c r="F100">
        <v>2812.3883999999998</v>
      </c>
      <c r="G100">
        <v>29.095099999999999</v>
      </c>
      <c r="H100">
        <v>1.0003439999999999</v>
      </c>
      <c r="I100">
        <v>1</v>
      </c>
      <c r="J100" s="156">
        <v>1</v>
      </c>
      <c r="K100">
        <v>1</v>
      </c>
      <c r="L100">
        <v>1</v>
      </c>
      <c r="M100">
        <v>1</v>
      </c>
      <c r="N100">
        <v>1.0003439999999999</v>
      </c>
    </row>
    <row r="101" spans="1:14" x14ac:dyDescent="0.35">
      <c r="A101" s="156" t="s">
        <v>542</v>
      </c>
      <c r="B101" s="52">
        <v>42779</v>
      </c>
      <c r="C101" s="156" t="s">
        <v>531</v>
      </c>
      <c r="D101" s="156" t="s">
        <v>531</v>
      </c>
      <c r="E101">
        <v>208659</v>
      </c>
      <c r="F101">
        <v>6303.9619000000002</v>
      </c>
      <c r="G101">
        <v>29.991099999999999</v>
      </c>
      <c r="H101">
        <v>1.0347679999999999</v>
      </c>
      <c r="I101">
        <v>1</v>
      </c>
      <c r="J101" s="156">
        <v>1</v>
      </c>
      <c r="K101">
        <v>1</v>
      </c>
      <c r="L101">
        <v>1</v>
      </c>
      <c r="M101">
        <v>1</v>
      </c>
      <c r="N101">
        <v>1.0347679999999999</v>
      </c>
    </row>
    <row r="102" spans="1:14" x14ac:dyDescent="0.35">
      <c r="A102" s="156" t="s">
        <v>542</v>
      </c>
      <c r="B102" s="52">
        <v>42780</v>
      </c>
      <c r="C102" s="156" t="s">
        <v>531</v>
      </c>
      <c r="D102" s="156" t="s">
        <v>531</v>
      </c>
      <c r="E102">
        <v>472271</v>
      </c>
      <c r="F102">
        <v>14709.501099999999</v>
      </c>
      <c r="G102">
        <v>30.97</v>
      </c>
      <c r="H102">
        <v>1.009647</v>
      </c>
      <c r="I102">
        <v>1</v>
      </c>
      <c r="J102" s="156">
        <v>1</v>
      </c>
      <c r="K102">
        <v>1</v>
      </c>
      <c r="L102">
        <v>1</v>
      </c>
      <c r="M102">
        <v>1</v>
      </c>
      <c r="N102">
        <v>1.009647</v>
      </c>
    </row>
    <row r="103" spans="1:14" x14ac:dyDescent="0.35">
      <c r="A103" s="156" t="s">
        <v>542</v>
      </c>
      <c r="B103" s="52">
        <v>42781</v>
      </c>
      <c r="C103" s="156" t="s">
        <v>531</v>
      </c>
      <c r="D103" s="156" t="s">
        <v>531</v>
      </c>
      <c r="E103">
        <v>136387</v>
      </c>
      <c r="F103">
        <v>4271.4916000000003</v>
      </c>
      <c r="G103">
        <v>31.153199999999998</v>
      </c>
      <c r="H103">
        <v>1.043493</v>
      </c>
      <c r="I103">
        <v>1</v>
      </c>
      <c r="J103" s="156">
        <v>1</v>
      </c>
      <c r="K103">
        <v>1</v>
      </c>
      <c r="L103">
        <v>1</v>
      </c>
      <c r="M103">
        <v>1</v>
      </c>
      <c r="N103">
        <v>1.043493</v>
      </c>
    </row>
    <row r="104" spans="1:14" x14ac:dyDescent="0.35">
      <c r="A104" s="156" t="s">
        <v>542</v>
      </c>
      <c r="B104" s="52">
        <v>42782</v>
      </c>
      <c r="C104" s="156" t="s">
        <v>531</v>
      </c>
      <c r="D104" s="156" t="s">
        <v>531</v>
      </c>
      <c r="E104">
        <v>556976</v>
      </c>
      <c r="F104">
        <v>18395.4241</v>
      </c>
      <c r="G104">
        <v>32.879899999999999</v>
      </c>
      <c r="H104">
        <v>1.053363</v>
      </c>
      <c r="I104">
        <v>1</v>
      </c>
      <c r="J104" s="156">
        <v>1</v>
      </c>
      <c r="K104">
        <v>1</v>
      </c>
      <c r="L104">
        <v>1</v>
      </c>
      <c r="M104">
        <v>1</v>
      </c>
      <c r="N104">
        <v>1.053363</v>
      </c>
    </row>
    <row r="105" spans="1:14" x14ac:dyDescent="0.35">
      <c r="A105" s="156" t="s">
        <v>542</v>
      </c>
      <c r="B105" s="52">
        <v>42783</v>
      </c>
      <c r="C105" s="156" t="s">
        <v>531</v>
      </c>
      <c r="D105" s="156" t="s">
        <v>531</v>
      </c>
      <c r="E105">
        <v>1048617</v>
      </c>
      <c r="F105">
        <v>35555.627899999999</v>
      </c>
      <c r="G105">
        <v>33.645000000000003</v>
      </c>
      <c r="H105">
        <v>0.97152300000000003</v>
      </c>
      <c r="I105">
        <v>1</v>
      </c>
      <c r="J105" s="156">
        <v>1</v>
      </c>
      <c r="K105">
        <v>1</v>
      </c>
      <c r="L105">
        <v>1</v>
      </c>
      <c r="M105">
        <v>1</v>
      </c>
      <c r="N105">
        <v>0.97152300000000003</v>
      </c>
    </row>
    <row r="106" spans="1:14" x14ac:dyDescent="0.35">
      <c r="A106" s="156" t="s">
        <v>542</v>
      </c>
      <c r="B106" s="52">
        <v>42787</v>
      </c>
      <c r="C106" s="156" t="s">
        <v>531</v>
      </c>
      <c r="D106" s="156" t="s">
        <v>531</v>
      </c>
      <c r="E106">
        <v>489079</v>
      </c>
      <c r="F106">
        <v>16887.6541</v>
      </c>
      <c r="G106">
        <v>34.266100000000002</v>
      </c>
      <c r="H106">
        <v>1.079914</v>
      </c>
      <c r="I106">
        <v>1</v>
      </c>
      <c r="J106" s="156">
        <v>1</v>
      </c>
      <c r="K106">
        <v>1</v>
      </c>
      <c r="L106">
        <v>1</v>
      </c>
      <c r="M106">
        <v>1</v>
      </c>
      <c r="N106">
        <v>1.079914</v>
      </c>
    </row>
    <row r="107" spans="1:14" x14ac:dyDescent="0.35">
      <c r="A107" s="156" t="s">
        <v>542</v>
      </c>
      <c r="B107" s="52">
        <v>42788</v>
      </c>
      <c r="C107" s="156" t="s">
        <v>531</v>
      </c>
      <c r="D107" s="156" t="s">
        <v>531</v>
      </c>
      <c r="E107">
        <v>201500</v>
      </c>
      <c r="F107">
        <v>7128.6140999999998</v>
      </c>
      <c r="G107">
        <v>34.752400000000002</v>
      </c>
      <c r="H107">
        <v>0.98</v>
      </c>
      <c r="I107">
        <v>1</v>
      </c>
      <c r="J107" s="156">
        <v>1</v>
      </c>
      <c r="K107">
        <v>1</v>
      </c>
      <c r="L107">
        <v>1</v>
      </c>
      <c r="M107">
        <v>1</v>
      </c>
      <c r="N107">
        <v>0.98</v>
      </c>
    </row>
    <row r="108" spans="1:14" x14ac:dyDescent="0.35">
      <c r="A108" s="156" t="s">
        <v>542</v>
      </c>
      <c r="B108" s="52">
        <v>42789</v>
      </c>
      <c r="C108" s="156" t="s">
        <v>531</v>
      </c>
      <c r="D108" s="156" t="s">
        <v>531</v>
      </c>
      <c r="E108">
        <v>464326</v>
      </c>
      <c r="F108">
        <v>16884.1819</v>
      </c>
      <c r="G108">
        <v>36.131300000000003</v>
      </c>
      <c r="H108">
        <v>1.0609329999999999</v>
      </c>
      <c r="I108">
        <v>1</v>
      </c>
      <c r="J108" s="156">
        <v>1</v>
      </c>
      <c r="K108">
        <v>1</v>
      </c>
      <c r="L108">
        <v>1</v>
      </c>
      <c r="M108">
        <v>1</v>
      </c>
      <c r="N108">
        <v>1.0609329999999999</v>
      </c>
    </row>
    <row r="109" spans="1:14" x14ac:dyDescent="0.35">
      <c r="A109" s="156" t="s">
        <v>542</v>
      </c>
      <c r="B109" s="52">
        <v>42790</v>
      </c>
      <c r="C109" s="156" t="s">
        <v>531</v>
      </c>
      <c r="D109" s="156" t="s">
        <v>531</v>
      </c>
      <c r="E109">
        <v>487863</v>
      </c>
      <c r="F109">
        <v>18511.407599999999</v>
      </c>
      <c r="G109">
        <v>37.476100000000002</v>
      </c>
      <c r="H109">
        <v>1.0255559999999999</v>
      </c>
      <c r="I109">
        <v>1</v>
      </c>
      <c r="J109" s="156">
        <v>1</v>
      </c>
      <c r="K109">
        <v>1</v>
      </c>
      <c r="L109">
        <v>1</v>
      </c>
      <c r="M109">
        <v>1</v>
      </c>
      <c r="N109">
        <v>1.0255559999999999</v>
      </c>
    </row>
    <row r="110" spans="1:14" x14ac:dyDescent="0.35">
      <c r="A110" s="156" t="s">
        <v>542</v>
      </c>
      <c r="B110" s="52">
        <v>42793</v>
      </c>
      <c r="C110" s="156" t="s">
        <v>531</v>
      </c>
      <c r="D110" s="156" t="s">
        <v>531</v>
      </c>
      <c r="E110">
        <v>625209</v>
      </c>
      <c r="F110">
        <v>23269.959299999999</v>
      </c>
      <c r="G110">
        <v>36.363500000000002</v>
      </c>
      <c r="H110">
        <v>0.98687000000000002</v>
      </c>
      <c r="I110">
        <v>1</v>
      </c>
      <c r="J110" s="156">
        <v>1</v>
      </c>
      <c r="K110">
        <v>1</v>
      </c>
      <c r="L110">
        <v>1</v>
      </c>
      <c r="M110">
        <v>1</v>
      </c>
      <c r="N110">
        <v>0.98687000000000002</v>
      </c>
    </row>
    <row r="111" spans="1:14" x14ac:dyDescent="0.35">
      <c r="A111" s="156" t="s">
        <v>542</v>
      </c>
      <c r="B111" s="52">
        <v>42794</v>
      </c>
      <c r="C111" s="156" t="s">
        <v>531</v>
      </c>
      <c r="D111" s="156" t="s">
        <v>531</v>
      </c>
      <c r="E111">
        <v>4408212</v>
      </c>
      <c r="F111">
        <v>187891.55900000001</v>
      </c>
      <c r="G111">
        <v>40.041899999999998</v>
      </c>
      <c r="H111">
        <v>1.1460759999999999</v>
      </c>
      <c r="I111">
        <v>1</v>
      </c>
      <c r="J111" s="156">
        <v>1</v>
      </c>
      <c r="K111">
        <v>1</v>
      </c>
      <c r="L111">
        <v>1</v>
      </c>
      <c r="M111">
        <v>1</v>
      </c>
      <c r="N111">
        <v>1.1460759999999999</v>
      </c>
    </row>
    <row r="112" spans="1:14" x14ac:dyDescent="0.35">
      <c r="A112" s="156" t="s">
        <v>542</v>
      </c>
      <c r="B112" s="52">
        <v>42795</v>
      </c>
      <c r="C112" s="156" t="s">
        <v>531</v>
      </c>
      <c r="D112" s="156" t="s">
        <v>531</v>
      </c>
      <c r="E112">
        <v>817552</v>
      </c>
      <c r="F112">
        <v>35361.637699999999</v>
      </c>
      <c r="G112">
        <v>42.805500000000002</v>
      </c>
      <c r="H112">
        <v>1.0199009999999999</v>
      </c>
      <c r="I112">
        <v>1</v>
      </c>
      <c r="J112" s="156">
        <v>1</v>
      </c>
      <c r="K112">
        <v>1</v>
      </c>
      <c r="L112">
        <v>1</v>
      </c>
      <c r="M112">
        <v>1</v>
      </c>
      <c r="N112">
        <v>1.0199009999999999</v>
      </c>
    </row>
    <row r="113" spans="1:14" x14ac:dyDescent="0.35">
      <c r="A113" s="156" t="s">
        <v>542</v>
      </c>
      <c r="B113" s="52">
        <v>42796</v>
      </c>
      <c r="C113" s="156" t="s">
        <v>531</v>
      </c>
      <c r="D113" s="156" t="s">
        <v>531</v>
      </c>
      <c r="E113">
        <v>453062</v>
      </c>
      <c r="F113">
        <v>19533.559700000002</v>
      </c>
      <c r="G113">
        <v>42.236699999999999</v>
      </c>
      <c r="H113">
        <v>0.98582999999999998</v>
      </c>
      <c r="I113">
        <v>1</v>
      </c>
      <c r="J113" s="156">
        <v>1</v>
      </c>
      <c r="K113">
        <v>1</v>
      </c>
      <c r="L113">
        <v>1</v>
      </c>
      <c r="M113">
        <v>1</v>
      </c>
      <c r="N113">
        <v>0.98582999999999998</v>
      </c>
    </row>
    <row r="114" spans="1:14" x14ac:dyDescent="0.35">
      <c r="A114" s="156" t="s">
        <v>542</v>
      </c>
      <c r="B114" s="52">
        <v>42797</v>
      </c>
      <c r="C114" s="156" t="s">
        <v>531</v>
      </c>
      <c r="D114" s="156" t="s">
        <v>531</v>
      </c>
      <c r="E114">
        <v>656913</v>
      </c>
      <c r="F114">
        <v>29222.3334</v>
      </c>
      <c r="G114">
        <v>44.109900000000003</v>
      </c>
      <c r="H114">
        <v>1.0508949999999999</v>
      </c>
      <c r="I114">
        <v>1</v>
      </c>
      <c r="J114" s="156">
        <v>1</v>
      </c>
      <c r="K114">
        <v>1</v>
      </c>
      <c r="L114">
        <v>1</v>
      </c>
      <c r="M114">
        <v>1</v>
      </c>
      <c r="N114">
        <v>1.0508949999999999</v>
      </c>
    </row>
    <row r="115" spans="1:14" x14ac:dyDescent="0.35">
      <c r="A115" s="156" t="s">
        <v>542</v>
      </c>
      <c r="B115" s="52">
        <v>42800</v>
      </c>
      <c r="C115" s="156" t="s">
        <v>531</v>
      </c>
      <c r="D115" s="156" t="s">
        <v>531</v>
      </c>
      <c r="E115">
        <v>724845</v>
      </c>
      <c r="F115">
        <v>30758.393400000001</v>
      </c>
      <c r="G115">
        <v>42.185499999999998</v>
      </c>
      <c r="H115">
        <v>0.94932700000000003</v>
      </c>
      <c r="I115">
        <v>1</v>
      </c>
      <c r="J115" s="156">
        <v>1</v>
      </c>
      <c r="K115">
        <v>1</v>
      </c>
      <c r="L115">
        <v>1</v>
      </c>
      <c r="M115">
        <v>1</v>
      </c>
      <c r="N115">
        <v>0.94932700000000003</v>
      </c>
    </row>
    <row r="116" spans="1:14" x14ac:dyDescent="0.35">
      <c r="A116" s="156" t="s">
        <v>542</v>
      </c>
      <c r="B116" s="52">
        <v>42801</v>
      </c>
      <c r="C116" s="156" t="s">
        <v>531</v>
      </c>
      <c r="D116" s="156" t="s">
        <v>531</v>
      </c>
      <c r="E116">
        <v>423984</v>
      </c>
      <c r="F116">
        <v>19579.4702</v>
      </c>
      <c r="G116">
        <v>43.387</v>
      </c>
      <c r="H116">
        <v>1.041096</v>
      </c>
      <c r="I116">
        <v>1</v>
      </c>
      <c r="J116" s="156">
        <v>1</v>
      </c>
      <c r="K116">
        <v>1</v>
      </c>
      <c r="L116">
        <v>1</v>
      </c>
      <c r="M116">
        <v>1</v>
      </c>
      <c r="N116">
        <v>1.041096</v>
      </c>
    </row>
    <row r="117" spans="1:14" x14ac:dyDescent="0.35">
      <c r="A117" s="156" t="s">
        <v>542</v>
      </c>
      <c r="B117" s="52">
        <v>42802</v>
      </c>
      <c r="C117" s="156" t="s">
        <v>531</v>
      </c>
      <c r="D117" s="156" t="s">
        <v>531</v>
      </c>
      <c r="E117">
        <v>263698</v>
      </c>
      <c r="F117">
        <v>11788.8385</v>
      </c>
      <c r="G117">
        <v>43.872</v>
      </c>
      <c r="H117">
        <v>0.98253199999999996</v>
      </c>
      <c r="I117">
        <v>1</v>
      </c>
      <c r="J117" s="156">
        <v>1</v>
      </c>
      <c r="K117">
        <v>1</v>
      </c>
      <c r="L117">
        <v>1</v>
      </c>
      <c r="M117">
        <v>1</v>
      </c>
      <c r="N117">
        <v>0.98253199999999996</v>
      </c>
    </row>
    <row r="118" spans="1:14" x14ac:dyDescent="0.35">
      <c r="A118" s="156" t="s">
        <v>542</v>
      </c>
      <c r="B118" s="52">
        <v>42803</v>
      </c>
      <c r="C118" s="156" t="s">
        <v>531</v>
      </c>
      <c r="D118" s="156" t="s">
        <v>531</v>
      </c>
      <c r="E118">
        <v>261609</v>
      </c>
      <c r="F118">
        <v>12386.947200000001</v>
      </c>
      <c r="G118">
        <v>43.780500000000004</v>
      </c>
      <c r="H118">
        <v>1.0247059999999999</v>
      </c>
      <c r="I118">
        <v>1</v>
      </c>
      <c r="J118" s="156">
        <v>1</v>
      </c>
      <c r="K118">
        <v>1</v>
      </c>
      <c r="L118">
        <v>1</v>
      </c>
      <c r="M118">
        <v>1</v>
      </c>
      <c r="N118">
        <v>1.0247059999999999</v>
      </c>
    </row>
    <row r="119" spans="1:14" x14ac:dyDescent="0.35">
      <c r="A119" s="156" t="s">
        <v>542</v>
      </c>
      <c r="B119" s="52">
        <v>42804</v>
      </c>
      <c r="C119" s="156" t="s">
        <v>531</v>
      </c>
      <c r="D119" s="156" t="s">
        <v>531</v>
      </c>
      <c r="E119">
        <v>509680</v>
      </c>
      <c r="F119">
        <v>23377.266500000002</v>
      </c>
      <c r="G119">
        <v>45.312600000000003</v>
      </c>
      <c r="H119">
        <v>1.031771</v>
      </c>
      <c r="I119">
        <v>1</v>
      </c>
      <c r="J119" s="156">
        <v>1</v>
      </c>
      <c r="K119">
        <v>1</v>
      </c>
      <c r="L119">
        <v>1</v>
      </c>
      <c r="M119">
        <v>1</v>
      </c>
      <c r="N119">
        <v>1.031771</v>
      </c>
    </row>
    <row r="120" spans="1:14" x14ac:dyDescent="0.35">
      <c r="A120" s="156" t="s">
        <v>542</v>
      </c>
      <c r="B120" s="52">
        <v>42807</v>
      </c>
      <c r="C120" s="156" t="s">
        <v>531</v>
      </c>
      <c r="D120" s="156" t="s">
        <v>531</v>
      </c>
      <c r="E120">
        <v>366834</v>
      </c>
      <c r="F120">
        <v>16182.311299999999</v>
      </c>
      <c r="G120">
        <v>43.7746</v>
      </c>
      <c r="H120">
        <v>0.94671300000000003</v>
      </c>
      <c r="I120">
        <v>1</v>
      </c>
      <c r="J120" s="156">
        <v>1</v>
      </c>
      <c r="K120">
        <v>1</v>
      </c>
      <c r="L120">
        <v>1</v>
      </c>
      <c r="M120">
        <v>1</v>
      </c>
      <c r="N120">
        <v>0.94671300000000003</v>
      </c>
    </row>
    <row r="121" spans="1:14" x14ac:dyDescent="0.35">
      <c r="A121" s="156" t="s">
        <v>542</v>
      </c>
      <c r="B121" s="52">
        <v>42808</v>
      </c>
      <c r="C121" s="156" t="s">
        <v>531</v>
      </c>
      <c r="D121" s="156" t="s">
        <v>531</v>
      </c>
      <c r="E121">
        <v>479545</v>
      </c>
      <c r="F121">
        <v>20206.0062</v>
      </c>
      <c r="G121">
        <v>41.856200000000001</v>
      </c>
      <c r="H121">
        <v>0.95086499999999996</v>
      </c>
      <c r="I121">
        <v>1</v>
      </c>
      <c r="J121" s="156">
        <v>1</v>
      </c>
      <c r="K121">
        <v>1</v>
      </c>
      <c r="L121">
        <v>1</v>
      </c>
      <c r="M121">
        <v>1</v>
      </c>
      <c r="N121">
        <v>0.95086499999999996</v>
      </c>
    </row>
    <row r="122" spans="1:14" x14ac:dyDescent="0.35">
      <c r="A122" s="156" t="s">
        <v>542</v>
      </c>
      <c r="B122" s="52">
        <v>42809</v>
      </c>
      <c r="C122" s="156" t="s">
        <v>531</v>
      </c>
      <c r="D122" s="156" t="s">
        <v>531</v>
      </c>
      <c r="E122">
        <v>789468</v>
      </c>
      <c r="F122">
        <v>33195.4545</v>
      </c>
      <c r="G122">
        <v>41.317799999999998</v>
      </c>
      <c r="H122">
        <v>1.008006</v>
      </c>
      <c r="I122">
        <v>1</v>
      </c>
      <c r="J122" s="156">
        <v>1</v>
      </c>
      <c r="K122">
        <v>1</v>
      </c>
      <c r="L122">
        <v>1</v>
      </c>
      <c r="M122">
        <v>1</v>
      </c>
      <c r="N122">
        <v>1.008006</v>
      </c>
    </row>
    <row r="123" spans="1:14" x14ac:dyDescent="0.35">
      <c r="A123" s="156" t="s">
        <v>542</v>
      </c>
      <c r="B123" s="52">
        <v>42810</v>
      </c>
      <c r="C123" s="156" t="s">
        <v>531</v>
      </c>
      <c r="D123" s="156" t="s">
        <v>531</v>
      </c>
      <c r="E123">
        <v>459882</v>
      </c>
      <c r="F123">
        <v>19107.0461</v>
      </c>
      <c r="G123">
        <v>40.905900000000003</v>
      </c>
      <c r="H123">
        <v>0.967028</v>
      </c>
      <c r="I123">
        <v>1</v>
      </c>
      <c r="J123" s="156">
        <v>1</v>
      </c>
      <c r="K123">
        <v>1</v>
      </c>
      <c r="L123">
        <v>1</v>
      </c>
      <c r="M123">
        <v>1</v>
      </c>
      <c r="N123">
        <v>0.967028</v>
      </c>
    </row>
    <row r="124" spans="1:14" x14ac:dyDescent="0.35">
      <c r="A124" s="156" t="s">
        <v>542</v>
      </c>
      <c r="B124" s="52">
        <v>42811</v>
      </c>
      <c r="C124" s="156" t="s">
        <v>531</v>
      </c>
      <c r="D124" s="156" t="s">
        <v>531</v>
      </c>
      <c r="E124">
        <v>628368</v>
      </c>
      <c r="F124">
        <v>25702.0206</v>
      </c>
      <c r="G124">
        <v>39.390700000000002</v>
      </c>
      <c r="H124">
        <v>0.983325</v>
      </c>
      <c r="I124">
        <v>1</v>
      </c>
      <c r="J124" s="156">
        <v>1</v>
      </c>
      <c r="K124">
        <v>1</v>
      </c>
      <c r="L124">
        <v>1</v>
      </c>
      <c r="M124">
        <v>1</v>
      </c>
      <c r="N124">
        <v>0.983325</v>
      </c>
    </row>
    <row r="125" spans="1:14" x14ac:dyDescent="0.35">
      <c r="A125" s="156" t="s">
        <v>542</v>
      </c>
      <c r="B125" s="52">
        <v>42814</v>
      </c>
      <c r="C125" s="156" t="s">
        <v>531</v>
      </c>
      <c r="D125" s="156" t="s">
        <v>531</v>
      </c>
      <c r="E125">
        <v>682043</v>
      </c>
      <c r="F125">
        <v>26726.551500000001</v>
      </c>
      <c r="G125">
        <v>38.764000000000003</v>
      </c>
      <c r="H125">
        <v>0.96431299999999998</v>
      </c>
      <c r="I125">
        <v>1</v>
      </c>
      <c r="J125" s="156">
        <v>1</v>
      </c>
      <c r="K125">
        <v>1</v>
      </c>
      <c r="L125">
        <v>1</v>
      </c>
      <c r="M125">
        <v>1</v>
      </c>
      <c r="N125">
        <v>0.96431299999999998</v>
      </c>
    </row>
    <row r="126" spans="1:14" x14ac:dyDescent="0.35">
      <c r="A126" s="156" t="s">
        <v>542</v>
      </c>
      <c r="B126" s="52">
        <v>42815</v>
      </c>
      <c r="C126" s="156" t="s">
        <v>531</v>
      </c>
      <c r="D126" s="156" t="s">
        <v>531</v>
      </c>
      <c r="E126">
        <v>1364422</v>
      </c>
      <c r="F126">
        <v>51475.913</v>
      </c>
      <c r="G126">
        <v>37.565399999999997</v>
      </c>
      <c r="H126">
        <v>0.985564</v>
      </c>
      <c r="I126">
        <v>1</v>
      </c>
      <c r="J126" s="156">
        <v>1</v>
      </c>
      <c r="K126">
        <v>1</v>
      </c>
      <c r="L126">
        <v>1</v>
      </c>
      <c r="M126">
        <v>1</v>
      </c>
      <c r="N126">
        <v>0.985564</v>
      </c>
    </row>
    <row r="127" spans="1:14" x14ac:dyDescent="0.35">
      <c r="A127" s="156" t="s">
        <v>542</v>
      </c>
      <c r="B127" s="52">
        <v>42816</v>
      </c>
      <c r="C127" s="156" t="s">
        <v>531</v>
      </c>
      <c r="D127" s="156" t="s">
        <v>531</v>
      </c>
      <c r="E127">
        <v>783951</v>
      </c>
      <c r="F127">
        <v>30414.206099999999</v>
      </c>
      <c r="G127">
        <v>38.119700000000002</v>
      </c>
      <c r="H127">
        <v>1.0290280000000001</v>
      </c>
      <c r="I127">
        <v>1</v>
      </c>
      <c r="J127" s="156">
        <v>1</v>
      </c>
      <c r="K127">
        <v>1</v>
      </c>
      <c r="L127">
        <v>1</v>
      </c>
      <c r="M127">
        <v>1</v>
      </c>
      <c r="N127">
        <v>1.0290280000000001</v>
      </c>
    </row>
    <row r="128" spans="1:14" x14ac:dyDescent="0.35">
      <c r="A128" s="156" t="s">
        <v>542</v>
      </c>
      <c r="B128" s="52">
        <v>42817</v>
      </c>
      <c r="C128" s="156" t="s">
        <v>531</v>
      </c>
      <c r="D128" s="156" t="s">
        <v>531</v>
      </c>
      <c r="E128">
        <v>472478</v>
      </c>
      <c r="F128">
        <v>17845.180499999999</v>
      </c>
      <c r="G128">
        <v>37.509500000000003</v>
      </c>
      <c r="H128">
        <v>0.95807500000000001</v>
      </c>
      <c r="I128">
        <v>1</v>
      </c>
      <c r="J128" s="156">
        <v>1</v>
      </c>
      <c r="K128">
        <v>1</v>
      </c>
      <c r="L128">
        <v>1</v>
      </c>
      <c r="M128">
        <v>1</v>
      </c>
      <c r="N128">
        <v>0.95807500000000001</v>
      </c>
    </row>
    <row r="129" spans="1:14" x14ac:dyDescent="0.35">
      <c r="A129" s="156" t="s">
        <v>542</v>
      </c>
      <c r="B129" s="52">
        <v>42818</v>
      </c>
      <c r="C129" s="156" t="s">
        <v>531</v>
      </c>
      <c r="D129" s="156" t="s">
        <v>531</v>
      </c>
      <c r="E129">
        <v>843503</v>
      </c>
      <c r="F129">
        <v>35083.7664</v>
      </c>
      <c r="G129">
        <v>36.464799999999997</v>
      </c>
      <c r="H129">
        <v>0.97298799999999996</v>
      </c>
      <c r="I129">
        <v>1</v>
      </c>
      <c r="J129" s="156">
        <v>1</v>
      </c>
      <c r="K129">
        <v>1</v>
      </c>
      <c r="L129">
        <v>1</v>
      </c>
      <c r="M129">
        <v>1</v>
      </c>
      <c r="N129">
        <v>0.97298799999999996</v>
      </c>
    </row>
    <row r="130" spans="1:14" x14ac:dyDescent="0.35">
      <c r="A130" s="156" t="s">
        <v>542</v>
      </c>
      <c r="B130" s="52">
        <v>42821</v>
      </c>
      <c r="C130" s="156" t="s">
        <v>531</v>
      </c>
      <c r="D130" s="156" t="s">
        <v>531</v>
      </c>
      <c r="E130">
        <v>982100</v>
      </c>
      <c r="F130">
        <v>36256.844100000002</v>
      </c>
      <c r="G130">
        <v>36.748800000000003</v>
      </c>
      <c r="H130">
        <v>1.033315</v>
      </c>
      <c r="I130">
        <v>1</v>
      </c>
      <c r="J130" s="156">
        <v>1</v>
      </c>
      <c r="K130">
        <v>1</v>
      </c>
      <c r="L130">
        <v>1</v>
      </c>
      <c r="M130">
        <v>1</v>
      </c>
      <c r="N130">
        <v>1.033315</v>
      </c>
    </row>
    <row r="131" spans="1:14" x14ac:dyDescent="0.35">
      <c r="A131" s="156" t="s">
        <v>542</v>
      </c>
      <c r="B131" s="52">
        <v>42822</v>
      </c>
      <c r="C131" s="156" t="s">
        <v>531</v>
      </c>
      <c r="D131" s="156" t="s">
        <v>531</v>
      </c>
      <c r="E131">
        <v>538550</v>
      </c>
      <c r="F131">
        <v>19890.945100000001</v>
      </c>
      <c r="G131">
        <v>36.367199999999997</v>
      </c>
      <c r="H131">
        <v>0.98038700000000001</v>
      </c>
      <c r="I131">
        <v>1</v>
      </c>
      <c r="J131" s="156">
        <v>1</v>
      </c>
      <c r="K131">
        <v>1</v>
      </c>
      <c r="L131">
        <v>1</v>
      </c>
      <c r="M131">
        <v>1</v>
      </c>
      <c r="N131">
        <v>0.98038700000000001</v>
      </c>
    </row>
    <row r="132" spans="1:14" x14ac:dyDescent="0.35">
      <c r="A132" s="156" t="s">
        <v>542</v>
      </c>
      <c r="B132" s="52">
        <v>42823</v>
      </c>
      <c r="C132" s="156" t="s">
        <v>531</v>
      </c>
      <c r="D132" s="156" t="s">
        <v>531</v>
      </c>
      <c r="E132">
        <v>908960</v>
      </c>
      <c r="F132">
        <v>34606.808900000004</v>
      </c>
      <c r="G132">
        <v>37.768099999999997</v>
      </c>
      <c r="H132">
        <v>1.0408329999999999</v>
      </c>
      <c r="I132">
        <v>1</v>
      </c>
      <c r="J132" s="156">
        <v>1</v>
      </c>
      <c r="K132">
        <v>1</v>
      </c>
      <c r="L132">
        <v>1</v>
      </c>
      <c r="M132">
        <v>1</v>
      </c>
      <c r="N132">
        <v>1.0408329999999999</v>
      </c>
    </row>
    <row r="133" spans="1:14" x14ac:dyDescent="0.35">
      <c r="A133" s="156" t="s">
        <v>542</v>
      </c>
      <c r="B133" s="52">
        <v>42824</v>
      </c>
      <c r="C133" s="156" t="s">
        <v>531</v>
      </c>
      <c r="D133" s="156" t="s">
        <v>531</v>
      </c>
      <c r="E133">
        <v>719867</v>
      </c>
      <c r="F133">
        <v>27929.686699999998</v>
      </c>
      <c r="G133">
        <v>37.309399999999997</v>
      </c>
      <c r="H133">
        <v>0.96708799999999995</v>
      </c>
      <c r="I133">
        <v>1</v>
      </c>
      <c r="J133" s="156">
        <v>1</v>
      </c>
      <c r="K133">
        <v>1</v>
      </c>
      <c r="L133">
        <v>1</v>
      </c>
      <c r="M133">
        <v>1</v>
      </c>
      <c r="N133">
        <v>0.96708799999999995</v>
      </c>
    </row>
    <row r="134" spans="1:14" x14ac:dyDescent="0.35">
      <c r="A134" s="156" t="s">
        <v>542</v>
      </c>
      <c r="B134" s="52">
        <v>42825</v>
      </c>
      <c r="C134" s="156" t="s">
        <v>531</v>
      </c>
      <c r="D134" s="156" t="s">
        <v>531</v>
      </c>
      <c r="E134">
        <v>825572</v>
      </c>
      <c r="F134">
        <v>41720.191800000001</v>
      </c>
      <c r="G134">
        <v>37.237200000000001</v>
      </c>
      <c r="H134">
        <v>1.014157</v>
      </c>
      <c r="I134">
        <v>1</v>
      </c>
      <c r="J134" s="156">
        <v>1</v>
      </c>
      <c r="K134">
        <v>1</v>
      </c>
      <c r="L134">
        <v>1</v>
      </c>
      <c r="M134">
        <v>1</v>
      </c>
      <c r="N134">
        <v>1.014157</v>
      </c>
    </row>
    <row r="135" spans="1:14" x14ac:dyDescent="0.35">
      <c r="A135" s="156" t="s">
        <v>542</v>
      </c>
      <c r="B135" s="52">
        <v>42828</v>
      </c>
      <c r="C135" s="156" t="s">
        <v>531</v>
      </c>
      <c r="D135" s="156" t="s">
        <v>531</v>
      </c>
      <c r="E135">
        <v>611086</v>
      </c>
      <c r="F135">
        <v>23767.415799999999</v>
      </c>
      <c r="G135">
        <v>37.268000000000001</v>
      </c>
      <c r="H135">
        <v>0.99382599999999999</v>
      </c>
      <c r="I135">
        <v>1</v>
      </c>
      <c r="J135" s="156">
        <v>1</v>
      </c>
      <c r="K135">
        <v>1</v>
      </c>
      <c r="L135">
        <v>1</v>
      </c>
      <c r="M135">
        <v>1</v>
      </c>
      <c r="N135">
        <v>0.99382599999999999</v>
      </c>
    </row>
    <row r="136" spans="1:14" x14ac:dyDescent="0.35">
      <c r="A136" s="156" t="s">
        <v>542</v>
      </c>
      <c r="B136" s="52">
        <v>42829</v>
      </c>
      <c r="C136" s="156" t="s">
        <v>531</v>
      </c>
      <c r="D136" s="156" t="s">
        <v>531</v>
      </c>
      <c r="E136">
        <v>628953</v>
      </c>
      <c r="F136">
        <v>23334.3609</v>
      </c>
      <c r="G136">
        <v>36.119999999999997</v>
      </c>
      <c r="H136">
        <v>0.98136100000000004</v>
      </c>
      <c r="I136">
        <v>1</v>
      </c>
      <c r="J136" s="156">
        <v>1</v>
      </c>
      <c r="K136">
        <v>1</v>
      </c>
      <c r="L136">
        <v>1</v>
      </c>
      <c r="M136">
        <v>1</v>
      </c>
      <c r="N136">
        <v>0.98136100000000004</v>
      </c>
    </row>
    <row r="137" spans="1:14" x14ac:dyDescent="0.35">
      <c r="A137" s="156" t="s">
        <v>542</v>
      </c>
      <c r="B137" s="52">
        <v>42830</v>
      </c>
      <c r="C137" s="156" t="s">
        <v>531</v>
      </c>
      <c r="D137" s="156" t="s">
        <v>531</v>
      </c>
      <c r="E137">
        <v>641079</v>
      </c>
      <c r="F137">
        <v>24060.3478</v>
      </c>
      <c r="G137">
        <v>37.034399999999998</v>
      </c>
      <c r="H137">
        <v>1.0198179999999999</v>
      </c>
      <c r="I137">
        <v>1</v>
      </c>
      <c r="J137" s="156">
        <v>1</v>
      </c>
      <c r="K137">
        <v>1</v>
      </c>
      <c r="L137">
        <v>1</v>
      </c>
      <c r="M137">
        <v>1</v>
      </c>
      <c r="N137">
        <v>1.0198179999999999</v>
      </c>
    </row>
    <row r="138" spans="1:14" x14ac:dyDescent="0.35">
      <c r="A138" s="156" t="s">
        <v>542</v>
      </c>
      <c r="B138" s="52">
        <v>42831</v>
      </c>
      <c r="C138" s="156" t="s">
        <v>531</v>
      </c>
      <c r="D138" s="156" t="s">
        <v>531</v>
      </c>
      <c r="E138">
        <v>469554</v>
      </c>
      <c r="F138">
        <v>18588.943599999999</v>
      </c>
      <c r="G138">
        <v>37.838900000000002</v>
      </c>
      <c r="H138">
        <v>1.017814</v>
      </c>
      <c r="I138">
        <v>1</v>
      </c>
      <c r="J138" s="156">
        <v>1</v>
      </c>
      <c r="K138">
        <v>1</v>
      </c>
      <c r="L138">
        <v>1</v>
      </c>
      <c r="M138">
        <v>1</v>
      </c>
      <c r="N138">
        <v>1.017814</v>
      </c>
    </row>
    <row r="139" spans="1:14" x14ac:dyDescent="0.35">
      <c r="A139" s="156" t="s">
        <v>542</v>
      </c>
      <c r="B139" s="52">
        <v>42832</v>
      </c>
      <c r="C139" s="156" t="s">
        <v>531</v>
      </c>
      <c r="D139" s="156" t="s">
        <v>531</v>
      </c>
      <c r="E139">
        <v>337915</v>
      </c>
      <c r="F139">
        <v>13185.5965</v>
      </c>
      <c r="G139">
        <v>37.281199999999998</v>
      </c>
      <c r="H139">
        <v>0.98090699999999997</v>
      </c>
      <c r="I139">
        <v>1</v>
      </c>
      <c r="J139" s="156">
        <v>1</v>
      </c>
      <c r="K139">
        <v>1</v>
      </c>
      <c r="L139">
        <v>1</v>
      </c>
      <c r="M139">
        <v>1</v>
      </c>
      <c r="N139">
        <v>0.98090699999999997</v>
      </c>
    </row>
    <row r="140" spans="1:14" x14ac:dyDescent="0.35">
      <c r="A140" s="156" t="s">
        <v>542</v>
      </c>
      <c r="B140" s="52">
        <v>42835</v>
      </c>
      <c r="C140" s="156" t="s">
        <v>531</v>
      </c>
      <c r="D140" s="156" t="s">
        <v>531</v>
      </c>
      <c r="E140">
        <v>233607</v>
      </c>
      <c r="F140">
        <v>8881.7350000000006</v>
      </c>
      <c r="G140">
        <v>36.982100000000003</v>
      </c>
      <c r="H140">
        <v>0.99756699999999998</v>
      </c>
      <c r="I140">
        <v>1</v>
      </c>
      <c r="J140" s="156">
        <v>1</v>
      </c>
      <c r="K140">
        <v>1</v>
      </c>
      <c r="L140">
        <v>1</v>
      </c>
      <c r="M140">
        <v>1</v>
      </c>
      <c r="N140">
        <v>0.99756699999999998</v>
      </c>
    </row>
    <row r="141" spans="1:14" x14ac:dyDescent="0.35">
      <c r="A141" s="156" t="s">
        <v>542</v>
      </c>
      <c r="B141" s="52">
        <v>42836</v>
      </c>
      <c r="C141" s="156" t="s">
        <v>531</v>
      </c>
      <c r="D141" s="156" t="s">
        <v>531</v>
      </c>
      <c r="E141">
        <v>629573</v>
      </c>
      <c r="F141">
        <v>23853.488700000002</v>
      </c>
      <c r="G141">
        <v>37.599400000000003</v>
      </c>
      <c r="H141">
        <v>1.0176149999999999</v>
      </c>
      <c r="I141">
        <v>1</v>
      </c>
      <c r="J141" s="156">
        <v>1</v>
      </c>
      <c r="K141">
        <v>1</v>
      </c>
      <c r="L141">
        <v>1</v>
      </c>
      <c r="M141">
        <v>1</v>
      </c>
      <c r="N141">
        <v>1.0176149999999999</v>
      </c>
    </row>
    <row r="142" spans="1:14" x14ac:dyDescent="0.35">
      <c r="A142" s="156" t="s">
        <v>542</v>
      </c>
      <c r="B142" s="52">
        <v>42837</v>
      </c>
      <c r="C142" s="156" t="s">
        <v>531</v>
      </c>
      <c r="D142" s="156" t="s">
        <v>531</v>
      </c>
      <c r="E142">
        <v>484050</v>
      </c>
      <c r="F142">
        <v>18229.4388</v>
      </c>
      <c r="G142">
        <v>37.290100000000002</v>
      </c>
      <c r="H142">
        <v>0.99094499999999996</v>
      </c>
      <c r="I142">
        <v>1</v>
      </c>
      <c r="J142" s="156">
        <v>1</v>
      </c>
      <c r="K142">
        <v>1</v>
      </c>
      <c r="L142">
        <v>1</v>
      </c>
      <c r="M142">
        <v>1</v>
      </c>
      <c r="N142">
        <v>0.99094499999999996</v>
      </c>
    </row>
    <row r="143" spans="1:14" x14ac:dyDescent="0.35">
      <c r="A143" s="156" t="s">
        <v>542</v>
      </c>
      <c r="B143" s="52">
        <v>42838</v>
      </c>
      <c r="C143" s="156" t="s">
        <v>531</v>
      </c>
      <c r="D143" s="156" t="s">
        <v>531</v>
      </c>
      <c r="E143">
        <v>378832</v>
      </c>
      <c r="F143">
        <v>14244.2521</v>
      </c>
      <c r="G143">
        <v>36.522799999999997</v>
      </c>
      <c r="H143">
        <v>0.99032500000000001</v>
      </c>
      <c r="I143">
        <v>1</v>
      </c>
      <c r="J143" s="156">
        <v>1</v>
      </c>
      <c r="K143">
        <v>1</v>
      </c>
      <c r="L143">
        <v>1</v>
      </c>
      <c r="M143">
        <v>1</v>
      </c>
      <c r="N143">
        <v>0.99032500000000001</v>
      </c>
    </row>
    <row r="144" spans="1:14" x14ac:dyDescent="0.35">
      <c r="A144" s="156" t="s">
        <v>542</v>
      </c>
      <c r="B144" s="52">
        <v>42842</v>
      </c>
      <c r="C144" s="156" t="s">
        <v>531</v>
      </c>
      <c r="D144" s="156" t="s">
        <v>531</v>
      </c>
      <c r="E144">
        <v>441707</v>
      </c>
      <c r="F144">
        <v>16715.868600000002</v>
      </c>
      <c r="G144">
        <v>36.595500000000001</v>
      </c>
      <c r="H144">
        <v>0.98887400000000003</v>
      </c>
      <c r="I144">
        <v>1</v>
      </c>
      <c r="J144" s="156">
        <v>1</v>
      </c>
      <c r="K144">
        <v>1</v>
      </c>
      <c r="L144">
        <v>1</v>
      </c>
      <c r="M144">
        <v>1</v>
      </c>
      <c r="N144">
        <v>0.98887400000000003</v>
      </c>
    </row>
    <row r="145" spans="1:14" x14ac:dyDescent="0.35">
      <c r="A145" s="156" t="s">
        <v>542</v>
      </c>
      <c r="B145" s="52">
        <v>42843</v>
      </c>
      <c r="C145" s="156" t="s">
        <v>531</v>
      </c>
      <c r="D145" s="156" t="s">
        <v>531</v>
      </c>
      <c r="E145">
        <v>666208</v>
      </c>
      <c r="F145">
        <v>23976.185399999998</v>
      </c>
      <c r="G145">
        <v>35.453699999999998</v>
      </c>
      <c r="H145">
        <v>0.96569700000000003</v>
      </c>
      <c r="I145">
        <v>1</v>
      </c>
      <c r="J145" s="156">
        <v>1</v>
      </c>
      <c r="K145">
        <v>1</v>
      </c>
      <c r="L145">
        <v>1</v>
      </c>
      <c r="M145">
        <v>1</v>
      </c>
      <c r="N145">
        <v>0.96569700000000003</v>
      </c>
    </row>
    <row r="146" spans="1:14" x14ac:dyDescent="0.35">
      <c r="A146" s="156" t="s">
        <v>542</v>
      </c>
      <c r="B146" s="52">
        <v>42844</v>
      </c>
      <c r="C146" s="156" t="s">
        <v>531</v>
      </c>
      <c r="D146" s="156" t="s">
        <v>531</v>
      </c>
      <c r="E146">
        <v>416258</v>
      </c>
      <c r="F146">
        <v>15169.136200000001</v>
      </c>
      <c r="G146">
        <v>35.798699999999997</v>
      </c>
      <c r="H146">
        <v>1.0190399999999999</v>
      </c>
      <c r="I146">
        <v>1</v>
      </c>
      <c r="J146" s="156">
        <v>1</v>
      </c>
      <c r="K146">
        <v>1</v>
      </c>
      <c r="L146">
        <v>1</v>
      </c>
      <c r="M146">
        <v>1</v>
      </c>
      <c r="N146">
        <v>1.0190399999999999</v>
      </c>
    </row>
    <row r="147" spans="1:14" x14ac:dyDescent="0.35">
      <c r="A147" s="156" t="s">
        <v>542</v>
      </c>
      <c r="B147" s="52">
        <v>42845</v>
      </c>
      <c r="C147" s="156" t="s">
        <v>531</v>
      </c>
      <c r="D147" s="156" t="s">
        <v>531</v>
      </c>
      <c r="E147">
        <v>255271</v>
      </c>
      <c r="F147">
        <v>9613.4210000000003</v>
      </c>
      <c r="G147">
        <v>36.278399999999998</v>
      </c>
      <c r="H147">
        <v>1.010318</v>
      </c>
      <c r="I147">
        <v>1</v>
      </c>
      <c r="J147" s="156">
        <v>1</v>
      </c>
      <c r="K147">
        <v>1</v>
      </c>
      <c r="L147">
        <v>1</v>
      </c>
      <c r="M147">
        <v>1</v>
      </c>
      <c r="N147">
        <v>1.010318</v>
      </c>
    </row>
    <row r="148" spans="1:14" x14ac:dyDescent="0.35">
      <c r="A148" s="156" t="s">
        <v>542</v>
      </c>
      <c r="B148" s="52">
        <v>42846</v>
      </c>
      <c r="C148" s="156" t="s">
        <v>531</v>
      </c>
      <c r="D148" s="156" t="s">
        <v>531</v>
      </c>
      <c r="E148">
        <v>247401</v>
      </c>
      <c r="F148">
        <v>9287.0637000000006</v>
      </c>
      <c r="G148">
        <v>36.1297</v>
      </c>
      <c r="H148">
        <v>0.99309999999999998</v>
      </c>
      <c r="I148">
        <v>1</v>
      </c>
      <c r="J148" s="156">
        <v>1</v>
      </c>
      <c r="K148">
        <v>1</v>
      </c>
      <c r="L148">
        <v>1</v>
      </c>
      <c r="M148">
        <v>1</v>
      </c>
      <c r="N148">
        <v>0.99309999999999998</v>
      </c>
    </row>
    <row r="149" spans="1:14" x14ac:dyDescent="0.35">
      <c r="A149" s="156" t="s">
        <v>542</v>
      </c>
      <c r="B149" s="52">
        <v>42849</v>
      </c>
      <c r="C149" s="156" t="s">
        <v>531</v>
      </c>
      <c r="D149" s="156" t="s">
        <v>531</v>
      </c>
      <c r="E149">
        <v>453834</v>
      </c>
      <c r="F149">
        <v>16957.658800000001</v>
      </c>
      <c r="G149">
        <v>36.648099999999999</v>
      </c>
      <c r="H149">
        <v>1.013619</v>
      </c>
      <c r="I149">
        <v>1</v>
      </c>
      <c r="J149" s="156">
        <v>1</v>
      </c>
      <c r="K149">
        <v>1</v>
      </c>
      <c r="L149">
        <v>1</v>
      </c>
      <c r="M149">
        <v>1</v>
      </c>
      <c r="N149">
        <v>1.013619</v>
      </c>
    </row>
    <row r="150" spans="1:14" x14ac:dyDescent="0.35">
      <c r="A150" s="156" t="s">
        <v>542</v>
      </c>
      <c r="B150" s="52">
        <v>42850</v>
      </c>
      <c r="C150" s="156" t="s">
        <v>531</v>
      </c>
      <c r="D150" s="156" t="s">
        <v>531</v>
      </c>
      <c r="E150">
        <v>419247</v>
      </c>
      <c r="F150">
        <v>15598.9059</v>
      </c>
      <c r="G150">
        <v>36.438200000000002</v>
      </c>
      <c r="H150">
        <v>0.99259699999999995</v>
      </c>
      <c r="I150">
        <v>1</v>
      </c>
      <c r="J150" s="156">
        <v>1</v>
      </c>
      <c r="K150">
        <v>1</v>
      </c>
      <c r="L150">
        <v>1</v>
      </c>
      <c r="M150">
        <v>1</v>
      </c>
      <c r="N150">
        <v>0.99259699999999995</v>
      </c>
    </row>
    <row r="151" spans="1:14" x14ac:dyDescent="0.35">
      <c r="A151" s="156" t="s">
        <v>542</v>
      </c>
      <c r="B151" s="52">
        <v>42851</v>
      </c>
      <c r="C151" s="156" t="s">
        <v>531</v>
      </c>
      <c r="D151" s="156" t="s">
        <v>531</v>
      </c>
      <c r="E151">
        <v>261221</v>
      </c>
      <c r="F151">
        <v>9889.4264999999996</v>
      </c>
      <c r="G151">
        <v>36.610799999999998</v>
      </c>
      <c r="H151">
        <v>1.0035909999999999</v>
      </c>
      <c r="I151">
        <v>1</v>
      </c>
      <c r="J151" s="156">
        <v>1</v>
      </c>
      <c r="K151">
        <v>1</v>
      </c>
      <c r="L151">
        <v>1</v>
      </c>
      <c r="M151">
        <v>1</v>
      </c>
      <c r="N151">
        <v>1.0035909999999999</v>
      </c>
    </row>
    <row r="152" spans="1:14" x14ac:dyDescent="0.35">
      <c r="A152" s="156" t="s">
        <v>542</v>
      </c>
      <c r="B152" s="52">
        <v>42852</v>
      </c>
      <c r="C152" s="156" t="s">
        <v>531</v>
      </c>
      <c r="D152" s="156" t="s">
        <v>531</v>
      </c>
      <c r="E152">
        <v>570856</v>
      </c>
      <c r="F152">
        <v>21295.456399999999</v>
      </c>
      <c r="G152">
        <v>37.011499999999998</v>
      </c>
      <c r="H152">
        <v>1.0374350000000001</v>
      </c>
      <c r="I152">
        <v>1</v>
      </c>
      <c r="J152" s="156">
        <v>1</v>
      </c>
      <c r="K152">
        <v>1</v>
      </c>
      <c r="L152">
        <v>1</v>
      </c>
      <c r="M152">
        <v>1</v>
      </c>
      <c r="N152">
        <v>1.0374350000000001</v>
      </c>
    </row>
    <row r="153" spans="1:14" x14ac:dyDescent="0.35">
      <c r="A153" s="156" t="s">
        <v>542</v>
      </c>
      <c r="B153" s="52">
        <v>42853</v>
      </c>
      <c r="C153" s="156" t="s">
        <v>531</v>
      </c>
      <c r="D153" s="156" t="s">
        <v>531</v>
      </c>
      <c r="E153">
        <v>530895</v>
      </c>
      <c r="F153">
        <v>20222.910800000001</v>
      </c>
      <c r="G153">
        <v>37.540100000000002</v>
      </c>
      <c r="H153">
        <v>0.99097900000000005</v>
      </c>
      <c r="I153">
        <v>1</v>
      </c>
      <c r="J153" s="156">
        <v>1</v>
      </c>
      <c r="K153">
        <v>1</v>
      </c>
      <c r="L153">
        <v>1</v>
      </c>
      <c r="M153">
        <v>1</v>
      </c>
      <c r="N153">
        <v>0.99097900000000005</v>
      </c>
    </row>
    <row r="154" spans="1:14" x14ac:dyDescent="0.35">
      <c r="A154" s="156" t="s">
        <v>542</v>
      </c>
      <c r="B154" s="52">
        <v>42856</v>
      </c>
      <c r="C154" s="156" t="s">
        <v>531</v>
      </c>
      <c r="D154" s="156" t="s">
        <v>531</v>
      </c>
      <c r="E154">
        <v>284682</v>
      </c>
      <c r="F154">
        <v>10825.2965</v>
      </c>
      <c r="G154">
        <v>37.430999999999997</v>
      </c>
      <c r="H154">
        <v>1.006426</v>
      </c>
      <c r="I154">
        <v>1</v>
      </c>
      <c r="J154" s="156">
        <v>1</v>
      </c>
      <c r="K154">
        <v>1</v>
      </c>
      <c r="L154">
        <v>1</v>
      </c>
      <c r="M154">
        <v>1</v>
      </c>
      <c r="N154">
        <v>1.006426</v>
      </c>
    </row>
    <row r="155" spans="1:14" x14ac:dyDescent="0.35">
      <c r="A155" s="156" t="s">
        <v>542</v>
      </c>
      <c r="B155" s="52">
        <v>42857</v>
      </c>
      <c r="C155" s="156" t="s">
        <v>531</v>
      </c>
      <c r="D155" s="156" t="s">
        <v>531</v>
      </c>
      <c r="E155">
        <v>640402</v>
      </c>
      <c r="F155">
        <v>24695.993200000001</v>
      </c>
      <c r="G155">
        <v>38.386899999999997</v>
      </c>
      <c r="H155">
        <v>1.018356</v>
      </c>
      <c r="I155">
        <v>1</v>
      </c>
      <c r="J155" s="156">
        <v>1</v>
      </c>
      <c r="K155">
        <v>1</v>
      </c>
      <c r="L155">
        <v>1</v>
      </c>
      <c r="M155">
        <v>1</v>
      </c>
      <c r="N155">
        <v>1.018356</v>
      </c>
    </row>
    <row r="156" spans="1:14" x14ac:dyDescent="0.35">
      <c r="A156" s="156" t="s">
        <v>542</v>
      </c>
      <c r="B156" s="52">
        <v>42858</v>
      </c>
      <c r="C156" s="156" t="s">
        <v>531</v>
      </c>
      <c r="D156" s="156" t="s">
        <v>531</v>
      </c>
      <c r="E156">
        <v>238926</v>
      </c>
      <c r="F156">
        <v>9197.7742999999991</v>
      </c>
      <c r="G156">
        <v>38.0139</v>
      </c>
      <c r="H156">
        <v>0.99425300000000005</v>
      </c>
      <c r="I156">
        <v>1</v>
      </c>
      <c r="J156" s="156">
        <v>1</v>
      </c>
      <c r="K156">
        <v>1</v>
      </c>
      <c r="L156">
        <v>1</v>
      </c>
      <c r="M156">
        <v>1</v>
      </c>
      <c r="N156">
        <v>0.99425300000000005</v>
      </c>
    </row>
    <row r="157" spans="1:14" x14ac:dyDescent="0.35">
      <c r="A157" s="156" t="s">
        <v>542</v>
      </c>
      <c r="B157" s="52">
        <v>42859</v>
      </c>
      <c r="C157" s="156" t="s">
        <v>531</v>
      </c>
      <c r="D157" s="156" t="s">
        <v>531</v>
      </c>
      <c r="E157">
        <v>1211875</v>
      </c>
      <c r="F157">
        <v>47834.042600000001</v>
      </c>
      <c r="G157">
        <v>39.221600000000002</v>
      </c>
      <c r="H157">
        <v>1.047031</v>
      </c>
      <c r="I157">
        <v>1</v>
      </c>
      <c r="J157" s="156">
        <v>1</v>
      </c>
      <c r="K157">
        <v>1</v>
      </c>
      <c r="L157">
        <v>1</v>
      </c>
      <c r="M157">
        <v>1</v>
      </c>
      <c r="N157">
        <v>1.047031</v>
      </c>
    </row>
    <row r="158" spans="1:14" x14ac:dyDescent="0.35">
      <c r="A158" s="156" t="s">
        <v>542</v>
      </c>
      <c r="B158" s="52">
        <v>42860</v>
      </c>
      <c r="C158" s="156" t="s">
        <v>531</v>
      </c>
      <c r="D158" s="156" t="s">
        <v>531</v>
      </c>
      <c r="E158">
        <v>673619</v>
      </c>
      <c r="F158">
        <v>26983.7592</v>
      </c>
      <c r="G158">
        <v>39.767899999999997</v>
      </c>
      <c r="H158">
        <v>1.0055210000000001</v>
      </c>
      <c r="I158">
        <v>1</v>
      </c>
      <c r="J158" s="156">
        <v>1</v>
      </c>
      <c r="K158">
        <v>1</v>
      </c>
      <c r="L158">
        <v>1</v>
      </c>
      <c r="M158">
        <v>1</v>
      </c>
      <c r="N158">
        <v>1.0055210000000001</v>
      </c>
    </row>
    <row r="159" spans="1:14" x14ac:dyDescent="0.35">
      <c r="A159" s="156" t="s">
        <v>542</v>
      </c>
      <c r="B159" s="52">
        <v>42863</v>
      </c>
      <c r="C159" s="156" t="s">
        <v>531</v>
      </c>
      <c r="D159" s="156" t="s">
        <v>531</v>
      </c>
      <c r="E159">
        <v>435021</v>
      </c>
      <c r="F159">
        <v>17719.547999999999</v>
      </c>
      <c r="G159">
        <v>40.171500000000002</v>
      </c>
      <c r="H159">
        <v>1.007986</v>
      </c>
      <c r="I159">
        <v>1</v>
      </c>
      <c r="J159" s="156">
        <v>1</v>
      </c>
      <c r="K159">
        <v>1</v>
      </c>
      <c r="L159">
        <v>1</v>
      </c>
      <c r="M159">
        <v>1</v>
      </c>
      <c r="N159">
        <v>1.007986</v>
      </c>
    </row>
    <row r="160" spans="1:14" x14ac:dyDescent="0.35">
      <c r="A160" s="156" t="s">
        <v>542</v>
      </c>
      <c r="B160" s="52">
        <v>42864</v>
      </c>
      <c r="C160" s="156" t="s">
        <v>531</v>
      </c>
      <c r="D160" s="156" t="s">
        <v>531</v>
      </c>
      <c r="E160">
        <v>659161</v>
      </c>
      <c r="F160">
        <v>27246.022099999998</v>
      </c>
      <c r="G160">
        <v>41.034300000000002</v>
      </c>
      <c r="H160">
        <v>1.0116369999999999</v>
      </c>
      <c r="I160">
        <v>1</v>
      </c>
      <c r="J160" s="156">
        <v>1</v>
      </c>
      <c r="K160">
        <v>1</v>
      </c>
      <c r="L160">
        <v>1</v>
      </c>
      <c r="M160">
        <v>1</v>
      </c>
      <c r="N160">
        <v>1.0116369999999999</v>
      </c>
    </row>
    <row r="161" spans="1:14" x14ac:dyDescent="0.35">
      <c r="A161" s="156" t="s">
        <v>542</v>
      </c>
      <c r="B161" s="52">
        <v>42865</v>
      </c>
      <c r="C161" s="156" t="s">
        <v>531</v>
      </c>
      <c r="D161" s="156" t="s">
        <v>531</v>
      </c>
      <c r="E161">
        <v>358046</v>
      </c>
      <c r="F161">
        <v>14608.4642</v>
      </c>
      <c r="G161">
        <v>40.2682</v>
      </c>
      <c r="H161">
        <v>0.98017600000000005</v>
      </c>
      <c r="I161">
        <v>1</v>
      </c>
      <c r="J161" s="156">
        <v>1</v>
      </c>
      <c r="K161">
        <v>1</v>
      </c>
      <c r="L161">
        <v>1</v>
      </c>
      <c r="M161">
        <v>1</v>
      </c>
      <c r="N161">
        <v>0.98017600000000005</v>
      </c>
    </row>
    <row r="162" spans="1:14" x14ac:dyDescent="0.35">
      <c r="A162" s="156" t="s">
        <v>542</v>
      </c>
      <c r="B162" s="52">
        <v>42866</v>
      </c>
      <c r="C162" s="156" t="s">
        <v>531</v>
      </c>
      <c r="D162" s="156" t="s">
        <v>531</v>
      </c>
      <c r="E162">
        <v>1256198</v>
      </c>
      <c r="F162">
        <v>53355.830099999999</v>
      </c>
      <c r="G162">
        <v>42.169699999999999</v>
      </c>
      <c r="H162">
        <v>0.99600500000000003</v>
      </c>
      <c r="I162">
        <v>1</v>
      </c>
      <c r="J162" s="156">
        <v>1</v>
      </c>
      <c r="K162">
        <v>1</v>
      </c>
      <c r="L162">
        <v>1</v>
      </c>
      <c r="M162">
        <v>1</v>
      </c>
      <c r="N162">
        <v>0.99600500000000003</v>
      </c>
    </row>
    <row r="163" spans="1:14" x14ac:dyDescent="0.35">
      <c r="A163" s="156" t="s">
        <v>542</v>
      </c>
      <c r="B163" s="52">
        <v>42867</v>
      </c>
      <c r="C163" s="156" t="s">
        <v>531</v>
      </c>
      <c r="D163" s="156" t="s">
        <v>531</v>
      </c>
      <c r="E163">
        <v>12461358</v>
      </c>
      <c r="F163">
        <v>624589.15469999996</v>
      </c>
      <c r="G163">
        <v>50.041600000000003</v>
      </c>
      <c r="H163">
        <v>1.301078</v>
      </c>
      <c r="I163">
        <v>1</v>
      </c>
      <c r="J163" s="156">
        <v>1</v>
      </c>
      <c r="K163">
        <v>1</v>
      </c>
      <c r="L163">
        <v>1</v>
      </c>
      <c r="M163">
        <v>1</v>
      </c>
      <c r="N163">
        <v>1.301078</v>
      </c>
    </row>
    <row r="164" spans="1:14" x14ac:dyDescent="0.35">
      <c r="A164" s="156" t="s">
        <v>542</v>
      </c>
      <c r="B164" s="52">
        <v>42870</v>
      </c>
      <c r="C164" s="156" t="s">
        <v>531</v>
      </c>
      <c r="D164" s="156" t="s">
        <v>531</v>
      </c>
      <c r="E164">
        <v>3290470</v>
      </c>
      <c r="F164">
        <v>176368.41250000001</v>
      </c>
      <c r="G164">
        <v>53.256100000000004</v>
      </c>
      <c r="H164">
        <v>1.0321769999999999</v>
      </c>
      <c r="I164">
        <v>1</v>
      </c>
      <c r="J164" s="156">
        <v>1</v>
      </c>
      <c r="K164">
        <v>1</v>
      </c>
      <c r="L164">
        <v>1</v>
      </c>
      <c r="M164">
        <v>1</v>
      </c>
      <c r="N164">
        <v>1.0321769999999999</v>
      </c>
    </row>
    <row r="165" spans="1:14" x14ac:dyDescent="0.35">
      <c r="A165" s="156" t="s">
        <v>542</v>
      </c>
      <c r="B165" s="52">
        <v>42871</v>
      </c>
      <c r="C165" s="156" t="s">
        <v>531</v>
      </c>
      <c r="D165" s="156" t="s">
        <v>531</v>
      </c>
      <c r="E165">
        <v>982509</v>
      </c>
      <c r="F165">
        <v>52028.528400000003</v>
      </c>
      <c r="G165">
        <v>52.689599999999999</v>
      </c>
      <c r="H165">
        <v>0.97442600000000001</v>
      </c>
      <c r="I165">
        <v>1</v>
      </c>
      <c r="J165" s="156">
        <v>1</v>
      </c>
      <c r="K165">
        <v>1</v>
      </c>
      <c r="L165">
        <v>1</v>
      </c>
      <c r="M165">
        <v>1</v>
      </c>
      <c r="N165">
        <v>0.97442600000000001</v>
      </c>
    </row>
    <row r="166" spans="1:14" x14ac:dyDescent="0.35">
      <c r="A166" s="156" t="s">
        <v>542</v>
      </c>
      <c r="B166" s="52">
        <v>42872</v>
      </c>
      <c r="C166" s="156" t="s">
        <v>531</v>
      </c>
      <c r="D166" s="156" t="s">
        <v>531</v>
      </c>
      <c r="E166">
        <v>1959169</v>
      </c>
      <c r="F166">
        <v>98609.052899999995</v>
      </c>
      <c r="G166">
        <v>49.9099</v>
      </c>
      <c r="H166">
        <v>0.91475099999999998</v>
      </c>
      <c r="I166">
        <v>1</v>
      </c>
      <c r="J166" s="156">
        <v>1</v>
      </c>
      <c r="K166">
        <v>1</v>
      </c>
      <c r="L166">
        <v>1</v>
      </c>
      <c r="M166">
        <v>1</v>
      </c>
      <c r="N166">
        <v>0.91475099999999998</v>
      </c>
    </row>
    <row r="167" spans="1:14" x14ac:dyDescent="0.35">
      <c r="A167" s="156" t="s">
        <v>542</v>
      </c>
      <c r="B167" s="52">
        <v>42873</v>
      </c>
      <c r="C167" s="156" t="s">
        <v>531</v>
      </c>
      <c r="D167" s="156" t="s">
        <v>531</v>
      </c>
      <c r="E167">
        <v>1702795</v>
      </c>
      <c r="F167">
        <v>86779.652799999996</v>
      </c>
      <c r="G167">
        <v>50.283700000000003</v>
      </c>
      <c r="H167">
        <v>1.0760209999999999</v>
      </c>
      <c r="I167">
        <v>1</v>
      </c>
      <c r="J167" s="156">
        <v>1</v>
      </c>
      <c r="K167">
        <v>1</v>
      </c>
      <c r="L167">
        <v>1</v>
      </c>
      <c r="M167">
        <v>1</v>
      </c>
      <c r="N167">
        <v>1.0760209999999999</v>
      </c>
    </row>
    <row r="168" spans="1:14" x14ac:dyDescent="0.35">
      <c r="A168" s="156" t="s">
        <v>542</v>
      </c>
      <c r="B168" s="52">
        <v>42874</v>
      </c>
      <c r="C168" s="156" t="s">
        <v>531</v>
      </c>
      <c r="D168" s="156" t="s">
        <v>531</v>
      </c>
      <c r="E168">
        <v>1522317</v>
      </c>
      <c r="F168">
        <v>77852.559800000003</v>
      </c>
      <c r="G168">
        <v>50.669400000000003</v>
      </c>
      <c r="H168">
        <v>0.97450400000000004</v>
      </c>
      <c r="I168">
        <v>1</v>
      </c>
      <c r="J168" s="156">
        <v>1</v>
      </c>
      <c r="K168">
        <v>1</v>
      </c>
      <c r="L168">
        <v>1</v>
      </c>
      <c r="M168">
        <v>1</v>
      </c>
      <c r="N168">
        <v>0.97450400000000004</v>
      </c>
    </row>
    <row r="169" spans="1:14" x14ac:dyDescent="0.35">
      <c r="A169" s="156" t="s">
        <v>542</v>
      </c>
      <c r="B169" s="52">
        <v>42877</v>
      </c>
      <c r="C169" s="156" t="s">
        <v>531</v>
      </c>
      <c r="D169" s="156" t="s">
        <v>531</v>
      </c>
      <c r="E169">
        <v>1318915</v>
      </c>
      <c r="F169">
        <v>68807.336299999995</v>
      </c>
      <c r="G169">
        <v>51.823099999999997</v>
      </c>
      <c r="H169">
        <v>1.048732</v>
      </c>
      <c r="I169">
        <v>1</v>
      </c>
      <c r="J169" s="156">
        <v>1</v>
      </c>
      <c r="K169">
        <v>1</v>
      </c>
      <c r="L169">
        <v>1</v>
      </c>
      <c r="M169">
        <v>1</v>
      </c>
      <c r="N169">
        <v>1.048732</v>
      </c>
    </row>
    <row r="170" spans="1:14" x14ac:dyDescent="0.35">
      <c r="A170" s="156" t="s">
        <v>542</v>
      </c>
      <c r="B170" s="52">
        <v>42878</v>
      </c>
      <c r="C170" s="156" t="s">
        <v>531</v>
      </c>
      <c r="D170" s="156" t="s">
        <v>531</v>
      </c>
      <c r="E170">
        <v>1243676</v>
      </c>
      <c r="F170">
        <v>66267.460999999996</v>
      </c>
      <c r="G170">
        <v>52.908099999999997</v>
      </c>
      <c r="H170">
        <v>1.018473</v>
      </c>
      <c r="I170">
        <v>1</v>
      </c>
      <c r="J170" s="156">
        <v>1</v>
      </c>
      <c r="K170">
        <v>1</v>
      </c>
      <c r="L170">
        <v>1</v>
      </c>
      <c r="M170">
        <v>1</v>
      </c>
      <c r="N170">
        <v>1.018473</v>
      </c>
    </row>
    <row r="171" spans="1:14" x14ac:dyDescent="0.35">
      <c r="A171" s="156" t="s">
        <v>542</v>
      </c>
      <c r="B171" s="52">
        <v>42879</v>
      </c>
      <c r="C171" s="156" t="s">
        <v>531</v>
      </c>
      <c r="D171" s="156" t="s">
        <v>531</v>
      </c>
      <c r="E171">
        <v>4432139</v>
      </c>
      <c r="F171">
        <v>247950.78599999999</v>
      </c>
      <c r="G171">
        <v>52.175400000000003</v>
      </c>
      <c r="H171">
        <v>0.96297699999999997</v>
      </c>
      <c r="I171">
        <v>1</v>
      </c>
      <c r="J171" s="156">
        <v>1</v>
      </c>
      <c r="K171">
        <v>1</v>
      </c>
      <c r="L171">
        <v>1</v>
      </c>
      <c r="M171">
        <v>1</v>
      </c>
      <c r="N171">
        <v>0.96297699999999997</v>
      </c>
    </row>
    <row r="172" spans="1:14" x14ac:dyDescent="0.35">
      <c r="A172" s="156" t="s">
        <v>542</v>
      </c>
      <c r="B172" s="52">
        <v>42880</v>
      </c>
      <c r="C172" s="156" t="s">
        <v>531</v>
      </c>
      <c r="D172" s="156" t="s">
        <v>531</v>
      </c>
      <c r="E172">
        <v>1697653</v>
      </c>
      <c r="F172">
        <v>89341.6345</v>
      </c>
      <c r="G172">
        <v>52.222999999999999</v>
      </c>
      <c r="H172">
        <v>1.0095149999999999</v>
      </c>
      <c r="I172">
        <v>1</v>
      </c>
      <c r="J172" s="156">
        <v>1</v>
      </c>
      <c r="K172">
        <v>1</v>
      </c>
      <c r="L172">
        <v>1</v>
      </c>
      <c r="M172">
        <v>1</v>
      </c>
      <c r="N172">
        <v>1.0095149999999999</v>
      </c>
    </row>
    <row r="173" spans="1:14" x14ac:dyDescent="0.35">
      <c r="A173" s="156" t="s">
        <v>542</v>
      </c>
      <c r="B173" s="52">
        <v>42881</v>
      </c>
      <c r="C173" s="156" t="s">
        <v>531</v>
      </c>
      <c r="D173" s="156" t="s">
        <v>531</v>
      </c>
      <c r="E173">
        <v>896414</v>
      </c>
      <c r="F173">
        <v>47607.326699999998</v>
      </c>
      <c r="G173">
        <v>52.338000000000001</v>
      </c>
      <c r="H173">
        <v>1.0048090000000001</v>
      </c>
      <c r="I173">
        <v>1</v>
      </c>
      <c r="J173" s="156">
        <v>1</v>
      </c>
      <c r="K173">
        <v>1</v>
      </c>
      <c r="L173">
        <v>1</v>
      </c>
      <c r="M173">
        <v>1</v>
      </c>
      <c r="N173">
        <v>1.0048090000000001</v>
      </c>
    </row>
    <row r="174" spans="1:14" x14ac:dyDescent="0.35">
      <c r="A174" s="156" t="s">
        <v>542</v>
      </c>
      <c r="B174" s="52">
        <v>42885</v>
      </c>
      <c r="C174" s="156" t="s">
        <v>531</v>
      </c>
      <c r="D174" s="156" t="s">
        <v>531</v>
      </c>
      <c r="E174">
        <v>1829999</v>
      </c>
      <c r="F174">
        <v>99147.144100000005</v>
      </c>
      <c r="G174">
        <v>53.6203</v>
      </c>
      <c r="H174">
        <v>1.0239279999999999</v>
      </c>
      <c r="I174">
        <v>1</v>
      </c>
      <c r="J174" s="156">
        <v>1</v>
      </c>
      <c r="K174">
        <v>1</v>
      </c>
      <c r="L174">
        <v>1</v>
      </c>
      <c r="M174">
        <v>1</v>
      </c>
      <c r="N174">
        <v>1.0239279999999999</v>
      </c>
    </row>
    <row r="175" spans="1:14" x14ac:dyDescent="0.35">
      <c r="A175" s="156" t="s">
        <v>542</v>
      </c>
      <c r="B175" s="52">
        <v>42886</v>
      </c>
      <c r="C175" s="156" t="s">
        <v>531</v>
      </c>
      <c r="D175" s="156" t="s">
        <v>531</v>
      </c>
      <c r="E175">
        <v>1868533</v>
      </c>
      <c r="F175">
        <v>115597.2956</v>
      </c>
      <c r="G175">
        <v>54.113300000000002</v>
      </c>
      <c r="H175">
        <v>1.02823</v>
      </c>
      <c r="I175">
        <v>1</v>
      </c>
      <c r="J175" s="156">
        <v>1</v>
      </c>
      <c r="K175">
        <v>1</v>
      </c>
      <c r="L175">
        <v>1</v>
      </c>
      <c r="M175">
        <v>1</v>
      </c>
      <c r="N175">
        <v>1.02823</v>
      </c>
    </row>
    <row r="176" spans="1:14" x14ac:dyDescent="0.35">
      <c r="A176" s="156" t="s">
        <v>542</v>
      </c>
      <c r="B176" s="52">
        <v>42887</v>
      </c>
      <c r="C176" s="156" t="s">
        <v>531</v>
      </c>
      <c r="D176" s="156" t="s">
        <v>531</v>
      </c>
      <c r="E176">
        <v>1430272</v>
      </c>
      <c r="F176">
        <v>79074.760599999994</v>
      </c>
      <c r="G176">
        <v>54.635300000000001</v>
      </c>
      <c r="H176">
        <v>0.99927299999999997</v>
      </c>
      <c r="I176">
        <v>1</v>
      </c>
      <c r="J176" s="156">
        <v>1</v>
      </c>
      <c r="K176">
        <v>1</v>
      </c>
      <c r="L176">
        <v>1</v>
      </c>
      <c r="M176">
        <v>1</v>
      </c>
      <c r="N176">
        <v>0.99927299999999997</v>
      </c>
    </row>
    <row r="177" spans="1:14" x14ac:dyDescent="0.35">
      <c r="A177" s="156" t="s">
        <v>542</v>
      </c>
      <c r="B177" s="52">
        <v>42888</v>
      </c>
      <c r="C177" s="156" t="s">
        <v>531</v>
      </c>
      <c r="D177" s="156" t="s">
        <v>531</v>
      </c>
      <c r="E177">
        <v>1378205</v>
      </c>
      <c r="F177">
        <v>78582.901599999997</v>
      </c>
      <c r="G177">
        <v>56.302700000000002</v>
      </c>
      <c r="H177">
        <v>1.0363899999999999</v>
      </c>
      <c r="I177">
        <v>1</v>
      </c>
      <c r="J177" s="156">
        <v>1</v>
      </c>
      <c r="K177">
        <v>1</v>
      </c>
      <c r="L177">
        <v>1</v>
      </c>
      <c r="M177">
        <v>1</v>
      </c>
      <c r="N177">
        <v>1.0363899999999999</v>
      </c>
    </row>
    <row r="178" spans="1:14" x14ac:dyDescent="0.35">
      <c r="A178" s="156" t="s">
        <v>542</v>
      </c>
      <c r="B178" s="52">
        <v>42891</v>
      </c>
      <c r="C178" s="156" t="s">
        <v>531</v>
      </c>
      <c r="D178" s="156" t="s">
        <v>531</v>
      </c>
      <c r="E178">
        <v>834324</v>
      </c>
      <c r="F178">
        <v>47726.296699999999</v>
      </c>
      <c r="G178">
        <v>56.333100000000002</v>
      </c>
      <c r="H178">
        <v>0.97770400000000002</v>
      </c>
      <c r="I178">
        <v>1</v>
      </c>
      <c r="J178" s="156">
        <v>1</v>
      </c>
      <c r="K178">
        <v>1</v>
      </c>
      <c r="L178">
        <v>1</v>
      </c>
      <c r="M178">
        <v>1</v>
      </c>
      <c r="N178">
        <v>0.97770400000000002</v>
      </c>
    </row>
    <row r="179" spans="1:14" x14ac:dyDescent="0.35">
      <c r="A179" s="156" t="s">
        <v>542</v>
      </c>
      <c r="B179" s="52">
        <v>42892</v>
      </c>
      <c r="C179" s="156" t="s">
        <v>531</v>
      </c>
      <c r="D179" s="156" t="s">
        <v>531</v>
      </c>
      <c r="E179">
        <v>811002</v>
      </c>
      <c r="F179">
        <v>45860.698499999999</v>
      </c>
      <c r="G179">
        <v>55.800800000000002</v>
      </c>
      <c r="H179">
        <v>1.002694</v>
      </c>
      <c r="I179">
        <v>1</v>
      </c>
      <c r="J179" s="156">
        <v>1</v>
      </c>
      <c r="K179">
        <v>1</v>
      </c>
      <c r="L179">
        <v>1</v>
      </c>
      <c r="M179">
        <v>1</v>
      </c>
      <c r="N179">
        <v>1.002694</v>
      </c>
    </row>
    <row r="180" spans="1:14" x14ac:dyDescent="0.35">
      <c r="A180" s="156" t="s">
        <v>542</v>
      </c>
      <c r="B180" s="52">
        <v>42893</v>
      </c>
      <c r="C180" s="156" t="s">
        <v>531</v>
      </c>
      <c r="D180" s="156" t="s">
        <v>531</v>
      </c>
      <c r="E180">
        <v>847843</v>
      </c>
      <c r="F180">
        <v>48110.169600000001</v>
      </c>
      <c r="G180">
        <v>54.608899999999998</v>
      </c>
      <c r="H180">
        <v>0.973854</v>
      </c>
      <c r="I180">
        <v>1</v>
      </c>
      <c r="J180" s="156">
        <v>1</v>
      </c>
      <c r="K180">
        <v>1</v>
      </c>
      <c r="L180">
        <v>1</v>
      </c>
      <c r="M180">
        <v>1</v>
      </c>
      <c r="N180">
        <v>0.973854</v>
      </c>
    </row>
    <row r="181" spans="1:14" x14ac:dyDescent="0.35">
      <c r="A181" s="156" t="s">
        <v>542</v>
      </c>
      <c r="B181" s="52">
        <v>42894</v>
      </c>
      <c r="C181" s="156" t="s">
        <v>531</v>
      </c>
      <c r="D181" s="156" t="s">
        <v>531</v>
      </c>
      <c r="E181">
        <v>800426</v>
      </c>
      <c r="F181">
        <v>44174.393100000001</v>
      </c>
      <c r="G181">
        <v>54.707599999999999</v>
      </c>
      <c r="H181">
        <v>1.0194920000000001</v>
      </c>
      <c r="I181">
        <v>1</v>
      </c>
      <c r="J181" s="156">
        <v>1</v>
      </c>
      <c r="K181">
        <v>1</v>
      </c>
      <c r="L181">
        <v>1</v>
      </c>
      <c r="M181">
        <v>1</v>
      </c>
      <c r="N181">
        <v>1.0194920000000001</v>
      </c>
    </row>
    <row r="182" spans="1:14" x14ac:dyDescent="0.35">
      <c r="A182" s="156" t="s">
        <v>542</v>
      </c>
      <c r="B182" s="52">
        <v>42895</v>
      </c>
      <c r="C182" s="156" t="s">
        <v>531</v>
      </c>
      <c r="D182" s="156" t="s">
        <v>531</v>
      </c>
      <c r="E182">
        <v>2055491</v>
      </c>
      <c r="F182">
        <v>108505.1038</v>
      </c>
      <c r="G182">
        <v>52.441800000000001</v>
      </c>
      <c r="H182">
        <v>0.92640699999999998</v>
      </c>
      <c r="I182">
        <v>1</v>
      </c>
      <c r="J182" s="156">
        <v>1</v>
      </c>
      <c r="K182">
        <v>1</v>
      </c>
      <c r="L182">
        <v>1</v>
      </c>
      <c r="M182">
        <v>1</v>
      </c>
      <c r="N182">
        <v>0.92640699999999998</v>
      </c>
    </row>
    <row r="183" spans="1:14" x14ac:dyDescent="0.35">
      <c r="A183" s="156" t="s">
        <v>542</v>
      </c>
      <c r="B183" s="52">
        <v>42898</v>
      </c>
      <c r="C183" s="156" t="s">
        <v>531</v>
      </c>
      <c r="D183" s="156" t="s">
        <v>531</v>
      </c>
      <c r="E183">
        <v>1317065</v>
      </c>
      <c r="F183">
        <v>68128.489100000006</v>
      </c>
      <c r="G183">
        <v>50.077399999999997</v>
      </c>
      <c r="H183">
        <v>0.97449399999999997</v>
      </c>
      <c r="I183">
        <v>1</v>
      </c>
      <c r="J183" s="156">
        <v>1</v>
      </c>
      <c r="K183">
        <v>1</v>
      </c>
      <c r="L183">
        <v>1</v>
      </c>
      <c r="M183">
        <v>1</v>
      </c>
      <c r="N183">
        <v>0.97449399999999997</v>
      </c>
    </row>
    <row r="184" spans="1:14" x14ac:dyDescent="0.35">
      <c r="A184" s="156" t="s">
        <v>542</v>
      </c>
      <c r="B184" s="52">
        <v>42899</v>
      </c>
      <c r="C184" s="156" t="s">
        <v>531</v>
      </c>
      <c r="D184" s="156" t="s">
        <v>531</v>
      </c>
      <c r="E184">
        <v>960294</v>
      </c>
      <c r="F184">
        <v>48784.618999999999</v>
      </c>
      <c r="G184">
        <v>50.347999999999999</v>
      </c>
      <c r="H184">
        <v>1.0019979999999999</v>
      </c>
      <c r="I184">
        <v>1</v>
      </c>
      <c r="J184" s="156">
        <v>1</v>
      </c>
      <c r="K184">
        <v>1</v>
      </c>
      <c r="L184">
        <v>1</v>
      </c>
      <c r="M184">
        <v>1</v>
      </c>
      <c r="N184">
        <v>1.0019979999999999</v>
      </c>
    </row>
    <row r="185" spans="1:14" x14ac:dyDescent="0.35">
      <c r="A185" s="156" t="s">
        <v>542</v>
      </c>
      <c r="B185" s="52">
        <v>42900</v>
      </c>
      <c r="C185" s="156" t="s">
        <v>531</v>
      </c>
      <c r="D185" s="156" t="s">
        <v>531</v>
      </c>
      <c r="E185">
        <v>839486</v>
      </c>
      <c r="F185">
        <v>42586.078500000003</v>
      </c>
      <c r="G185">
        <v>50.0473</v>
      </c>
      <c r="H185">
        <v>0.981854</v>
      </c>
      <c r="I185">
        <v>1</v>
      </c>
      <c r="J185" s="156">
        <v>1</v>
      </c>
      <c r="K185">
        <v>1</v>
      </c>
      <c r="L185">
        <v>1</v>
      </c>
      <c r="M185">
        <v>1</v>
      </c>
      <c r="N185">
        <v>0.981854</v>
      </c>
    </row>
    <row r="186" spans="1:14" x14ac:dyDescent="0.35">
      <c r="A186" s="156" t="s">
        <v>542</v>
      </c>
      <c r="B186" s="52">
        <v>42901</v>
      </c>
      <c r="C186" s="156" t="s">
        <v>531</v>
      </c>
      <c r="D186" s="156" t="s">
        <v>531</v>
      </c>
      <c r="E186">
        <v>1437083</v>
      </c>
      <c r="F186">
        <v>73210.824299999993</v>
      </c>
      <c r="G186">
        <v>48.360999999999997</v>
      </c>
      <c r="H186">
        <v>0.98801799999999995</v>
      </c>
      <c r="I186">
        <v>1</v>
      </c>
      <c r="J186" s="156">
        <v>1</v>
      </c>
      <c r="K186">
        <v>1</v>
      </c>
      <c r="L186">
        <v>1</v>
      </c>
      <c r="M186">
        <v>1</v>
      </c>
      <c r="N186">
        <v>0.98801799999999995</v>
      </c>
    </row>
    <row r="187" spans="1:14" x14ac:dyDescent="0.35">
      <c r="A187" s="156" t="s">
        <v>542</v>
      </c>
      <c r="B187" s="52">
        <v>42902</v>
      </c>
      <c r="C187" s="156" t="s">
        <v>531</v>
      </c>
      <c r="D187" s="156" t="s">
        <v>531</v>
      </c>
      <c r="E187">
        <v>1612731</v>
      </c>
      <c r="F187">
        <v>92868.113899999997</v>
      </c>
      <c r="G187">
        <v>49.660400000000003</v>
      </c>
      <c r="H187">
        <v>1.0263100000000001</v>
      </c>
      <c r="I187">
        <v>1</v>
      </c>
      <c r="J187" s="156">
        <v>1</v>
      </c>
      <c r="K187">
        <v>1</v>
      </c>
      <c r="L187">
        <v>1</v>
      </c>
      <c r="M187">
        <v>1</v>
      </c>
      <c r="N187">
        <v>1.0263100000000001</v>
      </c>
    </row>
    <row r="188" spans="1:14" x14ac:dyDescent="0.35">
      <c r="A188" s="156" t="s">
        <v>542</v>
      </c>
      <c r="B188" s="52">
        <v>42905</v>
      </c>
      <c r="C188" s="156" t="s">
        <v>531</v>
      </c>
      <c r="D188" s="156" t="s">
        <v>531</v>
      </c>
      <c r="E188">
        <v>1254212</v>
      </c>
      <c r="F188">
        <v>66056.763500000001</v>
      </c>
      <c r="G188">
        <v>51.272500000000001</v>
      </c>
      <c r="H188">
        <v>1.0428599999999999</v>
      </c>
      <c r="I188">
        <v>1</v>
      </c>
      <c r="J188" s="156">
        <v>1</v>
      </c>
      <c r="K188">
        <v>1</v>
      </c>
      <c r="L188">
        <v>1</v>
      </c>
      <c r="M188">
        <v>1</v>
      </c>
      <c r="N188">
        <v>1.0428599999999999</v>
      </c>
    </row>
    <row r="189" spans="1:14" x14ac:dyDescent="0.35">
      <c r="A189" s="156" t="s">
        <v>542</v>
      </c>
      <c r="B189" s="52">
        <v>42906</v>
      </c>
      <c r="C189" s="156" t="s">
        <v>531</v>
      </c>
      <c r="D189" s="156" t="s">
        <v>531</v>
      </c>
      <c r="E189">
        <v>916365</v>
      </c>
      <c r="F189">
        <v>47025.748200000002</v>
      </c>
      <c r="G189">
        <v>50.768500000000003</v>
      </c>
      <c r="H189">
        <v>0.97733800000000004</v>
      </c>
      <c r="I189">
        <v>1</v>
      </c>
      <c r="J189" s="156">
        <v>1</v>
      </c>
      <c r="K189">
        <v>1</v>
      </c>
      <c r="L189">
        <v>1</v>
      </c>
      <c r="M189">
        <v>1</v>
      </c>
      <c r="N189">
        <v>0.97733800000000004</v>
      </c>
    </row>
    <row r="190" spans="1:14" x14ac:dyDescent="0.35">
      <c r="A190" s="156" t="s">
        <v>542</v>
      </c>
      <c r="B190" s="52">
        <v>42907</v>
      </c>
      <c r="C190" s="156" t="s">
        <v>531</v>
      </c>
      <c r="D190" s="156" t="s">
        <v>531</v>
      </c>
      <c r="E190">
        <v>767425</v>
      </c>
      <c r="F190">
        <v>40495.8629</v>
      </c>
      <c r="G190">
        <v>52.012300000000003</v>
      </c>
      <c r="H190">
        <v>1.028689</v>
      </c>
      <c r="I190">
        <v>1</v>
      </c>
      <c r="J190" s="156">
        <v>1</v>
      </c>
      <c r="K190">
        <v>1</v>
      </c>
      <c r="L190">
        <v>1</v>
      </c>
      <c r="M190">
        <v>1</v>
      </c>
      <c r="N190">
        <v>1.028689</v>
      </c>
    </row>
    <row r="191" spans="1:14" x14ac:dyDescent="0.35">
      <c r="A191" s="156" t="s">
        <v>542</v>
      </c>
      <c r="B191" s="52">
        <v>42908</v>
      </c>
      <c r="C191" s="156" t="s">
        <v>531</v>
      </c>
      <c r="D191" s="156" t="s">
        <v>531</v>
      </c>
      <c r="E191">
        <v>953554</v>
      </c>
      <c r="F191">
        <v>58762.465700000001</v>
      </c>
      <c r="G191">
        <v>51.858199999999997</v>
      </c>
      <c r="H191">
        <v>0.99044900000000002</v>
      </c>
      <c r="I191">
        <v>1</v>
      </c>
      <c r="J191" s="156">
        <v>1</v>
      </c>
      <c r="K191">
        <v>1</v>
      </c>
      <c r="L191">
        <v>1</v>
      </c>
      <c r="M191">
        <v>1</v>
      </c>
      <c r="N191">
        <v>0.99044900000000002</v>
      </c>
    </row>
    <row r="192" spans="1:14" x14ac:dyDescent="0.35">
      <c r="A192" s="156" t="s">
        <v>542</v>
      </c>
      <c r="B192" s="52">
        <v>42909</v>
      </c>
      <c r="C192" s="156" t="s">
        <v>531</v>
      </c>
      <c r="D192" s="156" t="s">
        <v>531</v>
      </c>
      <c r="E192">
        <v>2143394</v>
      </c>
      <c r="F192">
        <v>145655.90770000001</v>
      </c>
      <c r="G192">
        <v>53.890799999999999</v>
      </c>
      <c r="H192">
        <v>1.0455159999999999</v>
      </c>
      <c r="I192">
        <v>1</v>
      </c>
      <c r="J192" s="156">
        <v>1</v>
      </c>
      <c r="K192">
        <v>1</v>
      </c>
      <c r="L192">
        <v>1</v>
      </c>
      <c r="M192">
        <v>1</v>
      </c>
      <c r="N192">
        <v>1.0455159999999999</v>
      </c>
    </row>
    <row r="193" spans="1:14" x14ac:dyDescent="0.35">
      <c r="A193" s="156" t="s">
        <v>542</v>
      </c>
      <c r="B193" s="52">
        <v>42912</v>
      </c>
      <c r="C193" s="156" t="s">
        <v>531</v>
      </c>
      <c r="D193" s="156" t="s">
        <v>531</v>
      </c>
      <c r="E193">
        <v>745824</v>
      </c>
      <c r="F193">
        <v>39981.937299999998</v>
      </c>
      <c r="G193">
        <v>53.071599999999997</v>
      </c>
      <c r="H193">
        <v>0.979155</v>
      </c>
      <c r="I193">
        <v>1</v>
      </c>
      <c r="J193" s="156">
        <v>1</v>
      </c>
      <c r="K193">
        <v>1</v>
      </c>
      <c r="L193">
        <v>1</v>
      </c>
      <c r="M193">
        <v>1</v>
      </c>
      <c r="N193">
        <v>0.979155</v>
      </c>
    </row>
    <row r="194" spans="1:14" x14ac:dyDescent="0.35">
      <c r="A194" s="156" t="s">
        <v>542</v>
      </c>
      <c r="B194" s="52">
        <v>42913</v>
      </c>
      <c r="C194" s="156" t="s">
        <v>531</v>
      </c>
      <c r="D194" s="156" t="s">
        <v>531</v>
      </c>
      <c r="E194">
        <v>734422</v>
      </c>
      <c r="F194">
        <v>38106.779499999997</v>
      </c>
      <c r="G194">
        <v>51.252800000000001</v>
      </c>
      <c r="H194">
        <v>0.95158200000000004</v>
      </c>
      <c r="I194">
        <v>1</v>
      </c>
      <c r="J194" s="156">
        <v>1</v>
      </c>
      <c r="K194">
        <v>1</v>
      </c>
      <c r="L194">
        <v>1</v>
      </c>
      <c r="M194">
        <v>1</v>
      </c>
      <c r="N194">
        <v>0.95158200000000004</v>
      </c>
    </row>
    <row r="195" spans="1:14" x14ac:dyDescent="0.35">
      <c r="A195" s="156" t="s">
        <v>542</v>
      </c>
      <c r="B195" s="52">
        <v>42914</v>
      </c>
      <c r="C195" s="156" t="s">
        <v>531</v>
      </c>
      <c r="D195" s="156" t="s">
        <v>531</v>
      </c>
      <c r="E195">
        <v>828418</v>
      </c>
      <c r="F195">
        <v>50178.1878</v>
      </c>
      <c r="G195">
        <v>52.010599999999997</v>
      </c>
      <c r="H195">
        <v>1.0401899999999999</v>
      </c>
      <c r="I195">
        <v>1</v>
      </c>
      <c r="J195" s="156">
        <v>1</v>
      </c>
      <c r="K195">
        <v>1</v>
      </c>
      <c r="L195">
        <v>1</v>
      </c>
      <c r="M195">
        <v>1</v>
      </c>
      <c r="N195">
        <v>1.0401899999999999</v>
      </c>
    </row>
    <row r="196" spans="1:14" x14ac:dyDescent="0.35">
      <c r="A196" s="156" t="s">
        <v>542</v>
      </c>
      <c r="B196" s="52">
        <v>42915</v>
      </c>
      <c r="C196" s="156" t="s">
        <v>531</v>
      </c>
      <c r="D196" s="156" t="s">
        <v>531</v>
      </c>
      <c r="E196">
        <v>636210</v>
      </c>
      <c r="F196">
        <v>32848.829899999997</v>
      </c>
      <c r="G196">
        <v>50.805799999999998</v>
      </c>
      <c r="H196">
        <v>0.96764399999999995</v>
      </c>
      <c r="I196">
        <v>1</v>
      </c>
      <c r="J196" s="156">
        <v>1</v>
      </c>
      <c r="K196">
        <v>1</v>
      </c>
      <c r="L196">
        <v>1</v>
      </c>
      <c r="M196">
        <v>1</v>
      </c>
      <c r="N196">
        <v>0.96764399999999995</v>
      </c>
    </row>
    <row r="197" spans="1:14" x14ac:dyDescent="0.35">
      <c r="A197" s="156" t="s">
        <v>542</v>
      </c>
      <c r="B197" s="52">
        <v>42916</v>
      </c>
      <c r="C197" s="156" t="s">
        <v>531</v>
      </c>
      <c r="D197" s="156" t="s">
        <v>531</v>
      </c>
      <c r="E197">
        <v>399420</v>
      </c>
      <c r="F197">
        <v>20887.6178</v>
      </c>
      <c r="G197">
        <v>50.321100000000001</v>
      </c>
      <c r="H197">
        <v>0.98564099999999999</v>
      </c>
      <c r="I197">
        <v>1</v>
      </c>
      <c r="J197" s="156">
        <v>1</v>
      </c>
      <c r="K197">
        <v>1</v>
      </c>
      <c r="L197">
        <v>1</v>
      </c>
      <c r="M197">
        <v>1</v>
      </c>
      <c r="N197">
        <v>0.98564099999999999</v>
      </c>
    </row>
    <row r="198" spans="1:14" x14ac:dyDescent="0.35">
      <c r="A198" s="156" t="s">
        <v>542</v>
      </c>
      <c r="B198" s="52">
        <v>42919</v>
      </c>
      <c r="C198" s="156" t="s">
        <v>531</v>
      </c>
      <c r="D198" s="156" t="s">
        <v>531</v>
      </c>
      <c r="E198">
        <v>546871</v>
      </c>
      <c r="F198">
        <v>27052.639200000001</v>
      </c>
      <c r="G198">
        <v>49.106099999999998</v>
      </c>
      <c r="H198">
        <v>0.99221700000000002</v>
      </c>
      <c r="I198">
        <v>1</v>
      </c>
      <c r="J198" s="156">
        <v>1</v>
      </c>
      <c r="K198">
        <v>1</v>
      </c>
      <c r="L198">
        <v>1</v>
      </c>
      <c r="M198">
        <v>1</v>
      </c>
      <c r="N198">
        <v>0.99221700000000002</v>
      </c>
    </row>
    <row r="199" spans="1:14" x14ac:dyDescent="0.35">
      <c r="A199" s="156" t="s">
        <v>542</v>
      </c>
      <c r="B199" s="52">
        <v>42921</v>
      </c>
      <c r="C199" s="156" t="s">
        <v>531</v>
      </c>
      <c r="D199" s="156" t="s">
        <v>531</v>
      </c>
      <c r="E199">
        <v>451889</v>
      </c>
      <c r="F199">
        <v>22741.729599999999</v>
      </c>
      <c r="G199">
        <v>49.913800000000002</v>
      </c>
      <c r="H199">
        <v>1.0032179999999999</v>
      </c>
      <c r="I199">
        <v>1</v>
      </c>
      <c r="J199" s="156">
        <v>1</v>
      </c>
      <c r="K199">
        <v>1</v>
      </c>
      <c r="L199">
        <v>1</v>
      </c>
      <c r="M199">
        <v>1</v>
      </c>
      <c r="N199">
        <v>1.0032179999999999</v>
      </c>
    </row>
    <row r="200" spans="1:14" x14ac:dyDescent="0.35">
      <c r="A200" s="156" t="s">
        <v>542</v>
      </c>
      <c r="B200" s="52">
        <v>42922</v>
      </c>
      <c r="C200" s="156" t="s">
        <v>531</v>
      </c>
      <c r="D200" s="156" t="s">
        <v>531</v>
      </c>
      <c r="E200">
        <v>816192</v>
      </c>
      <c r="F200">
        <v>40783.032700000003</v>
      </c>
      <c r="G200">
        <v>49.160899999999998</v>
      </c>
      <c r="H200">
        <v>0.97514000000000001</v>
      </c>
      <c r="I200">
        <v>1</v>
      </c>
      <c r="J200" s="156">
        <v>1</v>
      </c>
      <c r="K200">
        <v>1</v>
      </c>
      <c r="L200">
        <v>1</v>
      </c>
      <c r="M200">
        <v>1</v>
      </c>
      <c r="N200">
        <v>0.97514000000000001</v>
      </c>
    </row>
    <row r="201" spans="1:14" x14ac:dyDescent="0.35">
      <c r="A201" s="156" t="s">
        <v>542</v>
      </c>
      <c r="B201" s="52">
        <v>42923</v>
      </c>
      <c r="C201" s="156" t="s">
        <v>531</v>
      </c>
      <c r="D201" s="156" t="s">
        <v>531</v>
      </c>
      <c r="E201">
        <v>609494</v>
      </c>
      <c r="F201">
        <v>30627.772400000002</v>
      </c>
      <c r="G201">
        <v>49.465499999999999</v>
      </c>
      <c r="H201">
        <v>1.0259050000000001</v>
      </c>
      <c r="I201">
        <v>1</v>
      </c>
      <c r="J201" s="156">
        <v>1</v>
      </c>
      <c r="K201">
        <v>1</v>
      </c>
      <c r="L201">
        <v>1</v>
      </c>
      <c r="M201">
        <v>1</v>
      </c>
      <c r="N201">
        <v>1.0259050000000001</v>
      </c>
    </row>
    <row r="202" spans="1:14" x14ac:dyDescent="0.35">
      <c r="A202" s="156" t="s">
        <v>542</v>
      </c>
      <c r="B202" s="52">
        <v>42926</v>
      </c>
      <c r="C202" s="156" t="s">
        <v>531</v>
      </c>
      <c r="D202" s="156" t="s">
        <v>531</v>
      </c>
      <c r="E202">
        <v>407569</v>
      </c>
      <c r="F202">
        <v>20917.7219</v>
      </c>
      <c r="G202">
        <v>50.069099999999999</v>
      </c>
      <c r="H202">
        <v>1.00501</v>
      </c>
      <c r="I202">
        <v>1</v>
      </c>
      <c r="J202" s="156">
        <v>1</v>
      </c>
      <c r="K202">
        <v>1</v>
      </c>
      <c r="L202">
        <v>1</v>
      </c>
      <c r="M202">
        <v>1</v>
      </c>
      <c r="N202">
        <v>1.00501</v>
      </c>
    </row>
    <row r="203" spans="1:14" x14ac:dyDescent="0.35">
      <c r="A203" s="156" t="s">
        <v>542</v>
      </c>
      <c r="B203" s="52">
        <v>42927</v>
      </c>
      <c r="C203" s="156" t="s">
        <v>531</v>
      </c>
      <c r="D203" s="156" t="s">
        <v>531</v>
      </c>
      <c r="E203">
        <v>895228</v>
      </c>
      <c r="F203">
        <v>46311.802000000003</v>
      </c>
      <c r="G203">
        <v>51.1723</v>
      </c>
      <c r="H203">
        <v>1.0203390000000001</v>
      </c>
      <c r="I203">
        <v>1</v>
      </c>
      <c r="J203" s="156">
        <v>1</v>
      </c>
      <c r="K203">
        <v>1</v>
      </c>
      <c r="L203">
        <v>1</v>
      </c>
      <c r="M203">
        <v>1</v>
      </c>
      <c r="N203">
        <v>1.0203390000000001</v>
      </c>
    </row>
    <row r="204" spans="1:14" x14ac:dyDescent="0.35">
      <c r="A204" s="156" t="s">
        <v>542</v>
      </c>
      <c r="B204" s="52">
        <v>42928</v>
      </c>
      <c r="C204" s="156" t="s">
        <v>531</v>
      </c>
      <c r="D204" s="156" t="s">
        <v>531</v>
      </c>
      <c r="E204">
        <v>803966</v>
      </c>
      <c r="F204">
        <v>42529.135399999999</v>
      </c>
      <c r="G204">
        <v>52.070599999999999</v>
      </c>
      <c r="H204">
        <v>1.006645</v>
      </c>
      <c r="I204">
        <v>1</v>
      </c>
      <c r="J204" s="156">
        <v>1</v>
      </c>
      <c r="K204">
        <v>1</v>
      </c>
      <c r="L204">
        <v>1</v>
      </c>
      <c r="M204">
        <v>1</v>
      </c>
      <c r="N204">
        <v>1.006645</v>
      </c>
    </row>
    <row r="205" spans="1:14" x14ac:dyDescent="0.35">
      <c r="A205" s="156" t="s">
        <v>542</v>
      </c>
      <c r="B205" s="52">
        <v>42929</v>
      </c>
      <c r="C205" s="156" t="s">
        <v>531</v>
      </c>
      <c r="D205" s="156" t="s">
        <v>531</v>
      </c>
      <c r="E205">
        <v>612777</v>
      </c>
      <c r="F205">
        <v>32765.247299999999</v>
      </c>
      <c r="G205">
        <v>51.177</v>
      </c>
      <c r="H205">
        <v>0.98621599999999998</v>
      </c>
      <c r="I205">
        <v>1</v>
      </c>
      <c r="J205" s="156">
        <v>1</v>
      </c>
      <c r="K205">
        <v>1</v>
      </c>
      <c r="L205">
        <v>1</v>
      </c>
      <c r="M205">
        <v>1</v>
      </c>
      <c r="N205">
        <v>0.98621599999999998</v>
      </c>
    </row>
    <row r="206" spans="1:14" x14ac:dyDescent="0.35">
      <c r="A206" s="156" t="s">
        <v>542</v>
      </c>
      <c r="B206" s="52">
        <v>42930</v>
      </c>
      <c r="C206" s="156" t="s">
        <v>531</v>
      </c>
      <c r="D206" s="156" t="s">
        <v>531</v>
      </c>
      <c r="E206">
        <v>616892</v>
      </c>
      <c r="F206">
        <v>33239.484900000003</v>
      </c>
      <c r="G206">
        <v>50.790100000000002</v>
      </c>
      <c r="H206">
        <v>1.0041340000000001</v>
      </c>
      <c r="I206">
        <v>1</v>
      </c>
      <c r="J206" s="156">
        <v>1</v>
      </c>
      <c r="K206">
        <v>1</v>
      </c>
      <c r="L206">
        <v>1</v>
      </c>
      <c r="M206">
        <v>1</v>
      </c>
      <c r="N206">
        <v>1.0041340000000001</v>
      </c>
    </row>
    <row r="207" spans="1:14" x14ac:dyDescent="0.35">
      <c r="A207" s="156" t="s">
        <v>542</v>
      </c>
      <c r="B207" s="52">
        <v>42933</v>
      </c>
      <c r="C207" s="156" t="s">
        <v>531</v>
      </c>
      <c r="D207" s="156" t="s">
        <v>531</v>
      </c>
      <c r="E207">
        <v>464657</v>
      </c>
      <c r="F207">
        <v>27451.5573</v>
      </c>
      <c r="G207">
        <v>50.554000000000002</v>
      </c>
      <c r="H207">
        <v>0.987846</v>
      </c>
      <c r="I207">
        <v>1</v>
      </c>
      <c r="J207" s="156">
        <v>1</v>
      </c>
      <c r="K207">
        <v>1</v>
      </c>
      <c r="L207">
        <v>1</v>
      </c>
      <c r="M207">
        <v>1</v>
      </c>
      <c r="N207">
        <v>0.987846</v>
      </c>
    </row>
    <row r="208" spans="1:14" x14ac:dyDescent="0.35">
      <c r="A208" s="156" t="s">
        <v>542</v>
      </c>
      <c r="B208" s="52">
        <v>42934</v>
      </c>
      <c r="C208" s="156" t="s">
        <v>531</v>
      </c>
      <c r="D208" s="156" t="s">
        <v>531</v>
      </c>
      <c r="E208">
        <v>546957</v>
      </c>
      <c r="F208">
        <v>28541.7775</v>
      </c>
      <c r="G208">
        <v>49.893099999999997</v>
      </c>
      <c r="H208">
        <v>0.99007699999999998</v>
      </c>
      <c r="I208">
        <v>1</v>
      </c>
      <c r="J208" s="156">
        <v>1</v>
      </c>
      <c r="K208">
        <v>1</v>
      </c>
      <c r="L208">
        <v>1</v>
      </c>
      <c r="M208">
        <v>1</v>
      </c>
      <c r="N208">
        <v>0.99007699999999998</v>
      </c>
    </row>
    <row r="209" spans="1:14" x14ac:dyDescent="0.35">
      <c r="A209" s="156" t="s">
        <v>542</v>
      </c>
      <c r="B209" s="52">
        <v>42935</v>
      </c>
      <c r="C209" s="156" t="s">
        <v>531</v>
      </c>
      <c r="D209" s="156" t="s">
        <v>531</v>
      </c>
      <c r="E209">
        <v>2335425</v>
      </c>
      <c r="F209">
        <v>127021.27499999999</v>
      </c>
      <c r="G209">
        <v>53.523899999999998</v>
      </c>
      <c r="H209">
        <v>1.096212</v>
      </c>
      <c r="I209">
        <v>1</v>
      </c>
      <c r="J209" s="156">
        <v>1</v>
      </c>
      <c r="K209">
        <v>1</v>
      </c>
      <c r="L209">
        <v>1</v>
      </c>
      <c r="M209">
        <v>1</v>
      </c>
      <c r="N209">
        <v>1.096212</v>
      </c>
    </row>
    <row r="210" spans="1:14" x14ac:dyDescent="0.35">
      <c r="A210" s="156" t="s">
        <v>542</v>
      </c>
      <c r="B210" s="52">
        <v>42936</v>
      </c>
      <c r="C210" s="156" t="s">
        <v>531</v>
      </c>
      <c r="D210" s="156" t="s">
        <v>531</v>
      </c>
      <c r="E210">
        <v>1209006</v>
      </c>
      <c r="F210">
        <v>66409.577999999994</v>
      </c>
      <c r="G210">
        <v>54.687899999999999</v>
      </c>
      <c r="H210">
        <v>0.996892</v>
      </c>
      <c r="I210">
        <v>1</v>
      </c>
      <c r="J210" s="156">
        <v>1</v>
      </c>
      <c r="K210">
        <v>1</v>
      </c>
      <c r="L210">
        <v>1</v>
      </c>
      <c r="M210">
        <v>1</v>
      </c>
      <c r="N210">
        <v>0.996892</v>
      </c>
    </row>
    <row r="211" spans="1:14" x14ac:dyDescent="0.35">
      <c r="A211" s="156" t="s">
        <v>542</v>
      </c>
      <c r="B211" s="52">
        <v>42937</v>
      </c>
      <c r="C211" s="156" t="s">
        <v>531</v>
      </c>
      <c r="D211" s="156" t="s">
        <v>531</v>
      </c>
      <c r="E211">
        <v>1248275</v>
      </c>
      <c r="F211">
        <v>76165.835099999997</v>
      </c>
      <c r="G211">
        <v>52.710799999999999</v>
      </c>
      <c r="H211">
        <v>0.95983099999999999</v>
      </c>
      <c r="I211">
        <v>1</v>
      </c>
      <c r="J211" s="156">
        <v>1</v>
      </c>
      <c r="K211">
        <v>1</v>
      </c>
      <c r="L211">
        <v>1</v>
      </c>
      <c r="M211">
        <v>1</v>
      </c>
      <c r="N211">
        <v>0.95983099999999999</v>
      </c>
    </row>
    <row r="212" spans="1:14" x14ac:dyDescent="0.35">
      <c r="A212" s="156" t="s">
        <v>542</v>
      </c>
      <c r="B212" s="52">
        <v>42940</v>
      </c>
      <c r="C212" s="156" t="s">
        <v>531</v>
      </c>
      <c r="D212" s="156" t="s">
        <v>531</v>
      </c>
      <c r="E212">
        <v>847088</v>
      </c>
      <c r="F212">
        <v>46258.416799999999</v>
      </c>
      <c r="G212">
        <v>53.614699999999999</v>
      </c>
      <c r="H212">
        <v>1.0340149999999999</v>
      </c>
      <c r="I212">
        <v>1</v>
      </c>
      <c r="J212" s="156">
        <v>1</v>
      </c>
      <c r="K212">
        <v>1</v>
      </c>
      <c r="L212">
        <v>1</v>
      </c>
      <c r="M212">
        <v>1</v>
      </c>
      <c r="N212">
        <v>1.0340149999999999</v>
      </c>
    </row>
    <row r="213" spans="1:14" x14ac:dyDescent="0.35">
      <c r="A213" s="156" t="s">
        <v>542</v>
      </c>
      <c r="B213" s="52">
        <v>42941</v>
      </c>
      <c r="C213" s="156" t="s">
        <v>531</v>
      </c>
      <c r="D213" s="156" t="s">
        <v>531</v>
      </c>
      <c r="E213">
        <v>1929463</v>
      </c>
      <c r="F213">
        <v>115967.4504</v>
      </c>
      <c r="G213">
        <v>55.788899999999998</v>
      </c>
      <c r="H213">
        <v>1.029015</v>
      </c>
      <c r="I213">
        <v>1</v>
      </c>
      <c r="J213" s="156">
        <v>1</v>
      </c>
      <c r="K213">
        <v>1</v>
      </c>
      <c r="L213">
        <v>1</v>
      </c>
      <c r="M213">
        <v>1</v>
      </c>
      <c r="N213">
        <v>1.029015</v>
      </c>
    </row>
    <row r="214" spans="1:14" x14ac:dyDescent="0.35">
      <c r="A214" s="156" t="s">
        <v>542</v>
      </c>
      <c r="B214" s="52">
        <v>42942</v>
      </c>
      <c r="C214" s="156" t="s">
        <v>531</v>
      </c>
      <c r="D214" s="156" t="s">
        <v>531</v>
      </c>
      <c r="E214">
        <v>761975</v>
      </c>
      <c r="F214">
        <v>42734.694199999998</v>
      </c>
      <c r="G214">
        <v>55.6023</v>
      </c>
      <c r="H214">
        <v>0.98724900000000004</v>
      </c>
      <c r="I214">
        <v>1</v>
      </c>
      <c r="J214" s="156">
        <v>1</v>
      </c>
      <c r="K214">
        <v>1</v>
      </c>
      <c r="L214">
        <v>1</v>
      </c>
      <c r="M214">
        <v>1</v>
      </c>
      <c r="N214">
        <v>0.98724900000000004</v>
      </c>
    </row>
    <row r="215" spans="1:14" x14ac:dyDescent="0.35">
      <c r="A215" s="156" t="s">
        <v>542</v>
      </c>
      <c r="B215" s="52">
        <v>42943</v>
      </c>
      <c r="C215" s="156" t="s">
        <v>531</v>
      </c>
      <c r="D215" s="156" t="s">
        <v>531</v>
      </c>
      <c r="E215">
        <v>1763226</v>
      </c>
      <c r="F215">
        <v>96498.269499999995</v>
      </c>
      <c r="G215">
        <v>54.604399999999998</v>
      </c>
      <c r="H215">
        <v>0.96598099999999998</v>
      </c>
      <c r="I215">
        <v>1</v>
      </c>
      <c r="J215" s="156">
        <v>1</v>
      </c>
      <c r="K215">
        <v>1</v>
      </c>
      <c r="L215">
        <v>1</v>
      </c>
      <c r="M215">
        <v>1</v>
      </c>
      <c r="N215">
        <v>0.96598099999999998</v>
      </c>
    </row>
    <row r="216" spans="1:14" x14ac:dyDescent="0.35">
      <c r="A216" s="156" t="s">
        <v>542</v>
      </c>
      <c r="B216" s="52">
        <v>42944</v>
      </c>
      <c r="C216" s="156" t="s">
        <v>531</v>
      </c>
      <c r="D216" s="156" t="s">
        <v>531</v>
      </c>
      <c r="E216">
        <v>719347</v>
      </c>
      <c r="F216">
        <v>38846.052900000002</v>
      </c>
      <c r="G216">
        <v>53.204099999999997</v>
      </c>
      <c r="H216">
        <v>1.005838</v>
      </c>
      <c r="I216">
        <v>1</v>
      </c>
      <c r="J216" s="156">
        <v>1</v>
      </c>
      <c r="K216">
        <v>1</v>
      </c>
      <c r="L216">
        <v>1</v>
      </c>
      <c r="M216">
        <v>1</v>
      </c>
      <c r="N216">
        <v>1.005838</v>
      </c>
    </row>
    <row r="217" spans="1:14" x14ac:dyDescent="0.35">
      <c r="A217" s="156" t="s">
        <v>542</v>
      </c>
      <c r="B217" s="52">
        <v>42947</v>
      </c>
      <c r="C217" s="156" t="s">
        <v>531</v>
      </c>
      <c r="D217" s="156" t="s">
        <v>531</v>
      </c>
      <c r="E217">
        <v>488117</v>
      </c>
      <c r="F217">
        <v>26769.104599999999</v>
      </c>
      <c r="G217">
        <v>53.274700000000003</v>
      </c>
      <c r="H217">
        <v>0.99812800000000002</v>
      </c>
      <c r="I217">
        <v>1</v>
      </c>
      <c r="J217" s="156">
        <v>1</v>
      </c>
      <c r="K217">
        <v>1</v>
      </c>
      <c r="L217">
        <v>1</v>
      </c>
      <c r="M217">
        <v>1</v>
      </c>
      <c r="N217">
        <v>0.99812800000000002</v>
      </c>
    </row>
    <row r="218" spans="1:14" x14ac:dyDescent="0.35">
      <c r="A218" s="156" t="s">
        <v>542</v>
      </c>
      <c r="B218" s="52">
        <v>42948</v>
      </c>
      <c r="C218" s="156" t="s">
        <v>531</v>
      </c>
      <c r="D218" s="156" t="s">
        <v>531</v>
      </c>
      <c r="E218">
        <v>515497</v>
      </c>
      <c r="F218">
        <v>32508.397799999999</v>
      </c>
      <c r="G218">
        <v>53.376899999999999</v>
      </c>
      <c r="H218">
        <v>1.0020629999999999</v>
      </c>
      <c r="I218">
        <v>1</v>
      </c>
      <c r="J218" s="156">
        <v>1</v>
      </c>
      <c r="K218">
        <v>1</v>
      </c>
      <c r="L218">
        <v>1</v>
      </c>
      <c r="M218">
        <v>1</v>
      </c>
      <c r="N218">
        <v>1.0020629999999999</v>
      </c>
    </row>
    <row r="219" spans="1:14" x14ac:dyDescent="0.35">
      <c r="A219" s="156" t="s">
        <v>542</v>
      </c>
      <c r="B219" s="52">
        <v>42949</v>
      </c>
      <c r="C219" s="156" t="s">
        <v>531</v>
      </c>
      <c r="D219" s="156" t="s">
        <v>531</v>
      </c>
      <c r="E219">
        <v>413258</v>
      </c>
      <c r="F219">
        <v>22252.829300000001</v>
      </c>
      <c r="G219">
        <v>53.269799999999996</v>
      </c>
      <c r="H219">
        <v>0.99232500000000001</v>
      </c>
      <c r="I219">
        <v>1</v>
      </c>
      <c r="J219" s="156">
        <v>1</v>
      </c>
      <c r="K219">
        <v>1</v>
      </c>
      <c r="L219">
        <v>1</v>
      </c>
      <c r="M219">
        <v>1</v>
      </c>
      <c r="N219">
        <v>0.99232500000000001</v>
      </c>
    </row>
    <row r="220" spans="1:14" x14ac:dyDescent="0.35">
      <c r="A220" s="156" t="s">
        <v>542</v>
      </c>
      <c r="B220" s="52">
        <v>42950</v>
      </c>
      <c r="C220" s="156" t="s">
        <v>531</v>
      </c>
      <c r="D220" s="156" t="s">
        <v>531</v>
      </c>
      <c r="E220">
        <v>496735</v>
      </c>
      <c r="F220">
        <v>27223.3488</v>
      </c>
      <c r="G220">
        <v>54.304000000000002</v>
      </c>
      <c r="H220">
        <v>1.027731</v>
      </c>
      <c r="I220">
        <v>1</v>
      </c>
      <c r="J220" s="156">
        <v>1</v>
      </c>
      <c r="K220">
        <v>1</v>
      </c>
      <c r="L220">
        <v>1</v>
      </c>
      <c r="M220">
        <v>1</v>
      </c>
      <c r="N220">
        <v>1.027731</v>
      </c>
    </row>
    <row r="221" spans="1:14" x14ac:dyDescent="0.35">
      <c r="A221" s="156" t="s">
        <v>542</v>
      </c>
      <c r="B221" s="52">
        <v>42951</v>
      </c>
      <c r="C221" s="156" t="s">
        <v>531</v>
      </c>
      <c r="D221" s="156" t="s">
        <v>531</v>
      </c>
      <c r="E221">
        <v>401412</v>
      </c>
      <c r="F221">
        <v>21893.489099999999</v>
      </c>
      <c r="G221">
        <v>53.8855</v>
      </c>
      <c r="H221">
        <v>0.979993</v>
      </c>
      <c r="I221">
        <v>1</v>
      </c>
      <c r="J221" s="156">
        <v>1</v>
      </c>
      <c r="K221">
        <v>1</v>
      </c>
      <c r="L221">
        <v>1</v>
      </c>
      <c r="M221">
        <v>1</v>
      </c>
      <c r="N221">
        <v>0.979993</v>
      </c>
    </row>
    <row r="222" spans="1:14" x14ac:dyDescent="0.35">
      <c r="A222" s="156" t="s">
        <v>542</v>
      </c>
      <c r="B222" s="52">
        <v>42954</v>
      </c>
      <c r="C222" s="156" t="s">
        <v>531</v>
      </c>
      <c r="D222" s="156" t="s">
        <v>531</v>
      </c>
      <c r="E222">
        <v>858605</v>
      </c>
      <c r="F222">
        <v>48269.4879</v>
      </c>
      <c r="G222">
        <v>55.390500000000003</v>
      </c>
      <c r="H222">
        <v>1.0397080000000001</v>
      </c>
      <c r="I222">
        <v>1</v>
      </c>
      <c r="J222" s="156">
        <v>1</v>
      </c>
      <c r="K222">
        <v>1</v>
      </c>
      <c r="L222">
        <v>1</v>
      </c>
      <c r="M222">
        <v>1</v>
      </c>
      <c r="N222">
        <v>1.0397080000000001</v>
      </c>
    </row>
    <row r="223" spans="1:14" x14ac:dyDescent="0.35">
      <c r="A223" s="156" t="s">
        <v>542</v>
      </c>
      <c r="B223" s="52">
        <v>42955</v>
      </c>
      <c r="C223" s="156" t="s">
        <v>531</v>
      </c>
      <c r="D223" s="156" t="s">
        <v>531</v>
      </c>
      <c r="E223">
        <v>859530</v>
      </c>
      <c r="F223">
        <v>48519.732499999998</v>
      </c>
      <c r="G223">
        <v>55.417700000000004</v>
      </c>
      <c r="H223">
        <v>0.98216499999999995</v>
      </c>
      <c r="I223">
        <v>1</v>
      </c>
      <c r="J223" s="156">
        <v>1</v>
      </c>
      <c r="K223">
        <v>1</v>
      </c>
      <c r="L223">
        <v>1</v>
      </c>
      <c r="M223">
        <v>1</v>
      </c>
      <c r="N223">
        <v>0.98216499999999995</v>
      </c>
    </row>
    <row r="224" spans="1:14" x14ac:dyDescent="0.35">
      <c r="A224" s="156" t="s">
        <v>542</v>
      </c>
      <c r="B224" s="52">
        <v>42956</v>
      </c>
      <c r="C224" s="156" t="s">
        <v>531</v>
      </c>
      <c r="D224" s="156" t="s">
        <v>531</v>
      </c>
      <c r="E224">
        <v>935447</v>
      </c>
      <c r="F224">
        <v>51129.964</v>
      </c>
      <c r="G224">
        <v>54.146000000000001</v>
      </c>
      <c r="H224">
        <v>0.99027900000000002</v>
      </c>
      <c r="I224">
        <v>1</v>
      </c>
      <c r="J224" s="156">
        <v>1</v>
      </c>
      <c r="K224">
        <v>1</v>
      </c>
      <c r="L224">
        <v>1</v>
      </c>
      <c r="M224">
        <v>1</v>
      </c>
      <c r="N224">
        <v>0.99027900000000002</v>
      </c>
    </row>
    <row r="225" spans="1:14" x14ac:dyDescent="0.35">
      <c r="A225" s="156" t="s">
        <v>542</v>
      </c>
      <c r="B225" s="52">
        <v>42957</v>
      </c>
      <c r="C225" s="156" t="s">
        <v>531</v>
      </c>
      <c r="D225" s="156" t="s">
        <v>531</v>
      </c>
      <c r="E225">
        <v>2246651</v>
      </c>
      <c r="F225">
        <v>115882.9163</v>
      </c>
      <c r="G225">
        <v>51.3812</v>
      </c>
      <c r="H225">
        <v>0.92720899999999995</v>
      </c>
      <c r="I225">
        <v>1</v>
      </c>
      <c r="J225" s="156">
        <v>1</v>
      </c>
      <c r="K225">
        <v>1</v>
      </c>
      <c r="L225">
        <v>1</v>
      </c>
      <c r="M225">
        <v>1</v>
      </c>
      <c r="N225">
        <v>0.92720899999999995</v>
      </c>
    </row>
    <row r="226" spans="1:14" x14ac:dyDescent="0.35">
      <c r="A226" s="156" t="s">
        <v>542</v>
      </c>
      <c r="B226" s="52">
        <v>42958</v>
      </c>
      <c r="C226" s="156" t="s">
        <v>531</v>
      </c>
      <c r="D226" s="156" t="s">
        <v>531</v>
      </c>
      <c r="E226">
        <v>3902404</v>
      </c>
      <c r="F226">
        <v>208669.7482</v>
      </c>
      <c r="G226">
        <v>53.266199999999998</v>
      </c>
      <c r="H226">
        <v>1.0876950000000001</v>
      </c>
      <c r="I226">
        <v>1</v>
      </c>
      <c r="J226" s="156">
        <v>1</v>
      </c>
      <c r="K226">
        <v>1</v>
      </c>
      <c r="L226">
        <v>1</v>
      </c>
      <c r="M226">
        <v>1</v>
      </c>
      <c r="N226">
        <v>1.0876950000000001</v>
      </c>
    </row>
    <row r="227" spans="1:14" x14ac:dyDescent="0.35">
      <c r="A227" s="156" t="s">
        <v>542</v>
      </c>
      <c r="B227" s="52">
        <v>42961</v>
      </c>
      <c r="C227" s="156" t="s">
        <v>531</v>
      </c>
      <c r="D227" s="156" t="s">
        <v>531</v>
      </c>
      <c r="E227">
        <v>1718610</v>
      </c>
      <c r="F227">
        <v>93403.251999999993</v>
      </c>
      <c r="G227">
        <v>54.003500000000003</v>
      </c>
      <c r="H227">
        <v>0.985124</v>
      </c>
      <c r="I227">
        <v>1</v>
      </c>
      <c r="J227" s="156">
        <v>1</v>
      </c>
      <c r="K227">
        <v>1</v>
      </c>
      <c r="L227">
        <v>1</v>
      </c>
      <c r="M227">
        <v>1</v>
      </c>
      <c r="N227">
        <v>0.985124</v>
      </c>
    </row>
    <row r="228" spans="1:14" x14ac:dyDescent="0.35">
      <c r="A228" s="156" t="s">
        <v>542</v>
      </c>
      <c r="B228" s="52">
        <v>42962</v>
      </c>
      <c r="C228" s="156" t="s">
        <v>531</v>
      </c>
      <c r="D228" s="156" t="s">
        <v>531</v>
      </c>
      <c r="E228">
        <v>2014484</v>
      </c>
      <c r="F228">
        <v>104016.6571</v>
      </c>
      <c r="G228">
        <v>51.1922</v>
      </c>
      <c r="H228">
        <v>0.951156</v>
      </c>
      <c r="I228">
        <v>1</v>
      </c>
      <c r="J228" s="156">
        <v>1</v>
      </c>
      <c r="K228">
        <v>1</v>
      </c>
      <c r="L228">
        <v>1</v>
      </c>
      <c r="M228">
        <v>1</v>
      </c>
      <c r="N228">
        <v>0.951156</v>
      </c>
    </row>
    <row r="229" spans="1:14" x14ac:dyDescent="0.35">
      <c r="A229" s="156" t="s">
        <v>542</v>
      </c>
      <c r="B229" s="52">
        <v>42963</v>
      </c>
      <c r="C229" s="156" t="s">
        <v>531</v>
      </c>
      <c r="D229" s="156" t="s">
        <v>531</v>
      </c>
      <c r="E229">
        <v>1187130</v>
      </c>
      <c r="F229">
        <v>60421.288500000002</v>
      </c>
      <c r="G229">
        <v>50.653300000000002</v>
      </c>
      <c r="H229">
        <v>0.99117999999999995</v>
      </c>
      <c r="I229">
        <v>1</v>
      </c>
      <c r="J229" s="156">
        <v>1</v>
      </c>
      <c r="K229">
        <v>1</v>
      </c>
      <c r="L229">
        <v>1</v>
      </c>
      <c r="M229">
        <v>1</v>
      </c>
      <c r="N229">
        <v>0.99117999999999995</v>
      </c>
    </row>
    <row r="230" spans="1:14" x14ac:dyDescent="0.35">
      <c r="A230" s="156" t="s">
        <v>542</v>
      </c>
      <c r="B230" s="52">
        <v>42964</v>
      </c>
      <c r="C230" s="156" t="s">
        <v>531</v>
      </c>
      <c r="D230" s="156" t="s">
        <v>531</v>
      </c>
      <c r="E230">
        <v>1761129</v>
      </c>
      <c r="F230">
        <v>87971.9323</v>
      </c>
      <c r="G230">
        <v>49.389899999999997</v>
      </c>
      <c r="H230">
        <v>0.95649600000000001</v>
      </c>
      <c r="I230">
        <v>1</v>
      </c>
      <c r="J230" s="156">
        <v>1</v>
      </c>
      <c r="K230">
        <v>1</v>
      </c>
      <c r="L230">
        <v>1</v>
      </c>
      <c r="M230">
        <v>1</v>
      </c>
      <c r="N230">
        <v>0.95649600000000001</v>
      </c>
    </row>
    <row r="231" spans="1:14" x14ac:dyDescent="0.35">
      <c r="A231" s="156" t="s">
        <v>542</v>
      </c>
      <c r="B231" s="52">
        <v>42965</v>
      </c>
      <c r="C231" s="156" t="s">
        <v>531</v>
      </c>
      <c r="D231" s="156" t="s">
        <v>531</v>
      </c>
      <c r="E231">
        <v>1372148</v>
      </c>
      <c r="F231">
        <v>67312.499299999996</v>
      </c>
      <c r="G231">
        <v>48.736199999999997</v>
      </c>
      <c r="H231">
        <v>1.023568</v>
      </c>
      <c r="I231">
        <v>1</v>
      </c>
      <c r="J231" s="156">
        <v>1</v>
      </c>
      <c r="K231">
        <v>1</v>
      </c>
      <c r="L231">
        <v>1</v>
      </c>
      <c r="M231">
        <v>1</v>
      </c>
      <c r="N231">
        <v>1.023568</v>
      </c>
    </row>
    <row r="232" spans="1:14" x14ac:dyDescent="0.35">
      <c r="A232" s="156" t="s">
        <v>542</v>
      </c>
      <c r="B232" s="52">
        <v>42968</v>
      </c>
      <c r="C232" s="156" t="s">
        <v>531</v>
      </c>
      <c r="D232" s="156" t="s">
        <v>531</v>
      </c>
      <c r="E232">
        <v>808338</v>
      </c>
      <c r="F232">
        <v>40233.373800000001</v>
      </c>
      <c r="G232">
        <v>49.253300000000003</v>
      </c>
      <c r="H232">
        <v>1.0103009999999999</v>
      </c>
      <c r="I232">
        <v>1</v>
      </c>
      <c r="J232" s="156">
        <v>1</v>
      </c>
      <c r="K232">
        <v>1</v>
      </c>
      <c r="L232">
        <v>1</v>
      </c>
      <c r="M232">
        <v>1</v>
      </c>
      <c r="N232">
        <v>1.0103009999999999</v>
      </c>
    </row>
    <row r="233" spans="1:14" x14ac:dyDescent="0.35">
      <c r="A233" s="156" t="s">
        <v>542</v>
      </c>
      <c r="B233" s="52">
        <v>42969</v>
      </c>
      <c r="C233" s="156" t="s">
        <v>531</v>
      </c>
      <c r="D233" s="156" t="s">
        <v>531</v>
      </c>
      <c r="E233">
        <v>736532</v>
      </c>
      <c r="F233">
        <v>37209.652699999999</v>
      </c>
      <c r="G233">
        <v>49.912799999999997</v>
      </c>
      <c r="H233">
        <v>1.005198</v>
      </c>
      <c r="I233">
        <v>1</v>
      </c>
      <c r="J233" s="156">
        <v>1</v>
      </c>
      <c r="K233">
        <v>1</v>
      </c>
      <c r="L233">
        <v>1</v>
      </c>
      <c r="M233">
        <v>1</v>
      </c>
      <c r="N233">
        <v>1.005198</v>
      </c>
    </row>
    <row r="234" spans="1:14" x14ac:dyDescent="0.35">
      <c r="A234" s="156" t="s">
        <v>542</v>
      </c>
      <c r="B234" s="52">
        <v>42970</v>
      </c>
      <c r="C234" s="156" t="s">
        <v>531</v>
      </c>
      <c r="D234" s="156" t="s">
        <v>531</v>
      </c>
      <c r="E234">
        <v>456641</v>
      </c>
      <c r="F234">
        <v>23062.8639</v>
      </c>
      <c r="G234">
        <v>49.847700000000003</v>
      </c>
      <c r="H234">
        <v>0.994232</v>
      </c>
      <c r="I234">
        <v>1</v>
      </c>
      <c r="J234" s="156">
        <v>1</v>
      </c>
      <c r="K234">
        <v>1</v>
      </c>
      <c r="L234">
        <v>1</v>
      </c>
      <c r="M234">
        <v>1</v>
      </c>
      <c r="N234">
        <v>0.994232</v>
      </c>
    </row>
    <row r="235" spans="1:14" x14ac:dyDescent="0.35">
      <c r="A235" s="156" t="s">
        <v>542</v>
      </c>
      <c r="B235" s="52">
        <v>42971</v>
      </c>
      <c r="C235" s="156" t="s">
        <v>531</v>
      </c>
      <c r="D235" s="156" t="s">
        <v>531</v>
      </c>
      <c r="E235">
        <v>885308</v>
      </c>
      <c r="F235">
        <v>44844.402699999999</v>
      </c>
      <c r="G235">
        <v>51.026200000000003</v>
      </c>
      <c r="H235">
        <v>1.0202040000000001</v>
      </c>
      <c r="I235">
        <v>1</v>
      </c>
      <c r="J235" s="156">
        <v>1</v>
      </c>
      <c r="K235">
        <v>1</v>
      </c>
      <c r="L235">
        <v>1</v>
      </c>
      <c r="M235">
        <v>1</v>
      </c>
      <c r="N235">
        <v>1.0202040000000001</v>
      </c>
    </row>
    <row r="236" spans="1:14" x14ac:dyDescent="0.35">
      <c r="A236" s="156" t="s">
        <v>542</v>
      </c>
      <c r="B236" s="52">
        <v>42972</v>
      </c>
      <c r="C236" s="156" t="s">
        <v>531</v>
      </c>
      <c r="D236" s="156" t="s">
        <v>531</v>
      </c>
      <c r="E236">
        <v>1054567</v>
      </c>
      <c r="F236">
        <v>61455.5864</v>
      </c>
      <c r="G236">
        <v>51.128300000000003</v>
      </c>
      <c r="H236">
        <v>1.0007839999999999</v>
      </c>
      <c r="I236">
        <v>1</v>
      </c>
      <c r="J236" s="156">
        <v>1</v>
      </c>
      <c r="K236">
        <v>1</v>
      </c>
      <c r="L236">
        <v>1</v>
      </c>
      <c r="M236">
        <v>1</v>
      </c>
      <c r="N236">
        <v>1.0007839999999999</v>
      </c>
    </row>
    <row r="237" spans="1:14" x14ac:dyDescent="0.35">
      <c r="A237" s="156" t="s">
        <v>542</v>
      </c>
      <c r="B237" s="52">
        <v>42975</v>
      </c>
      <c r="C237" s="156" t="s">
        <v>531</v>
      </c>
      <c r="D237" s="156" t="s">
        <v>531</v>
      </c>
      <c r="E237">
        <v>586536</v>
      </c>
      <c r="F237">
        <v>30355.387999999999</v>
      </c>
      <c r="G237">
        <v>51.131599999999999</v>
      </c>
      <c r="H237">
        <v>1.007053</v>
      </c>
      <c r="I237">
        <v>1</v>
      </c>
      <c r="J237" s="156">
        <v>1</v>
      </c>
      <c r="K237">
        <v>1</v>
      </c>
      <c r="L237">
        <v>1</v>
      </c>
      <c r="M237">
        <v>1</v>
      </c>
      <c r="N237">
        <v>1.007053</v>
      </c>
    </row>
    <row r="238" spans="1:14" x14ac:dyDescent="0.35">
      <c r="A238" s="156" t="s">
        <v>542</v>
      </c>
      <c r="B238" s="52">
        <v>42976</v>
      </c>
      <c r="C238" s="156" t="s">
        <v>531</v>
      </c>
      <c r="D238" s="156" t="s">
        <v>531</v>
      </c>
      <c r="E238">
        <v>756477</v>
      </c>
      <c r="F238">
        <v>42057.133800000003</v>
      </c>
      <c r="G238">
        <v>51.638300000000001</v>
      </c>
      <c r="H238">
        <v>1.0068090000000001</v>
      </c>
      <c r="I238">
        <v>1</v>
      </c>
      <c r="J238" s="156">
        <v>1</v>
      </c>
      <c r="K238">
        <v>1</v>
      </c>
      <c r="L238">
        <v>1</v>
      </c>
      <c r="M238">
        <v>1</v>
      </c>
      <c r="N238">
        <v>1.0068090000000001</v>
      </c>
    </row>
    <row r="239" spans="1:14" x14ac:dyDescent="0.35">
      <c r="A239" s="156" t="s">
        <v>542</v>
      </c>
      <c r="B239" s="52">
        <v>42977</v>
      </c>
      <c r="C239" s="156" t="s">
        <v>531</v>
      </c>
      <c r="D239" s="156" t="s">
        <v>531</v>
      </c>
      <c r="E239">
        <v>609585</v>
      </c>
      <c r="F239">
        <v>32482.6698</v>
      </c>
      <c r="G239">
        <v>52.733800000000002</v>
      </c>
      <c r="H239">
        <v>1.0241549999999999</v>
      </c>
      <c r="I239">
        <v>1</v>
      </c>
      <c r="J239" s="156">
        <v>1</v>
      </c>
      <c r="K239">
        <v>1</v>
      </c>
      <c r="L239">
        <v>1</v>
      </c>
      <c r="M239">
        <v>1</v>
      </c>
      <c r="N239">
        <v>1.0241549999999999</v>
      </c>
    </row>
    <row r="240" spans="1:14" x14ac:dyDescent="0.35">
      <c r="A240" s="156" t="s">
        <v>542</v>
      </c>
      <c r="B240" s="52">
        <v>42978</v>
      </c>
      <c r="C240" s="156" t="s">
        <v>531</v>
      </c>
      <c r="D240" s="156" t="s">
        <v>531</v>
      </c>
      <c r="E240">
        <v>478386</v>
      </c>
      <c r="F240">
        <v>26157.7035</v>
      </c>
      <c r="G240">
        <v>53.121400000000001</v>
      </c>
      <c r="H240">
        <v>0.99943400000000004</v>
      </c>
      <c r="I240">
        <v>1</v>
      </c>
      <c r="J240" s="156">
        <v>1</v>
      </c>
      <c r="K240">
        <v>1</v>
      </c>
      <c r="L240">
        <v>1</v>
      </c>
      <c r="M240">
        <v>1</v>
      </c>
      <c r="N240">
        <v>0.99943400000000004</v>
      </c>
    </row>
    <row r="241" spans="1:14" x14ac:dyDescent="0.35">
      <c r="A241" s="156" t="s">
        <v>542</v>
      </c>
      <c r="B241" s="52">
        <v>42979</v>
      </c>
      <c r="C241" s="156" t="s">
        <v>531</v>
      </c>
      <c r="D241" s="156" t="s">
        <v>531</v>
      </c>
      <c r="E241">
        <v>791213</v>
      </c>
      <c r="F241">
        <v>43169.350299999998</v>
      </c>
      <c r="G241">
        <v>53.704000000000001</v>
      </c>
      <c r="H241">
        <v>1.013593</v>
      </c>
      <c r="I241">
        <v>1</v>
      </c>
      <c r="J241" s="156">
        <v>1</v>
      </c>
      <c r="K241">
        <v>1</v>
      </c>
      <c r="L241">
        <v>1</v>
      </c>
      <c r="M241">
        <v>1</v>
      </c>
      <c r="N241">
        <v>1.013593</v>
      </c>
    </row>
    <row r="242" spans="1:14" x14ac:dyDescent="0.35">
      <c r="A242" s="156" t="s">
        <v>542</v>
      </c>
      <c r="B242" s="52">
        <v>42983</v>
      </c>
      <c r="C242" s="156" t="s">
        <v>531</v>
      </c>
      <c r="D242" s="156" t="s">
        <v>531</v>
      </c>
      <c r="E242">
        <v>776972</v>
      </c>
      <c r="F242">
        <v>41618.275399999999</v>
      </c>
      <c r="G242">
        <v>52.881900000000002</v>
      </c>
      <c r="H242">
        <v>0.99664699999999995</v>
      </c>
      <c r="I242">
        <v>1</v>
      </c>
      <c r="J242" s="156">
        <v>1</v>
      </c>
      <c r="K242">
        <v>1</v>
      </c>
      <c r="L242">
        <v>1</v>
      </c>
      <c r="M242">
        <v>1</v>
      </c>
      <c r="N242">
        <v>0.99664699999999995</v>
      </c>
    </row>
    <row r="243" spans="1:14" x14ac:dyDescent="0.35">
      <c r="A243" s="156" t="s">
        <v>542</v>
      </c>
      <c r="B243" s="52">
        <v>42984</v>
      </c>
      <c r="C243" s="156" t="s">
        <v>531</v>
      </c>
      <c r="D243" s="156" t="s">
        <v>531</v>
      </c>
      <c r="E243">
        <v>843088</v>
      </c>
      <c r="F243">
        <v>46482.568899999998</v>
      </c>
      <c r="G243">
        <v>54.487200000000001</v>
      </c>
      <c r="H243">
        <v>1.025042</v>
      </c>
      <c r="I243">
        <v>1</v>
      </c>
      <c r="J243" s="156">
        <v>1</v>
      </c>
      <c r="K243">
        <v>1</v>
      </c>
      <c r="L243">
        <v>1</v>
      </c>
      <c r="M243">
        <v>1</v>
      </c>
      <c r="N243">
        <v>1.025042</v>
      </c>
    </row>
    <row r="244" spans="1:14" x14ac:dyDescent="0.35">
      <c r="A244" s="156" t="s">
        <v>542</v>
      </c>
      <c r="B244" s="52">
        <v>42985</v>
      </c>
      <c r="C244" s="156" t="s">
        <v>531</v>
      </c>
      <c r="D244" s="156" t="s">
        <v>531</v>
      </c>
      <c r="E244">
        <v>1083747</v>
      </c>
      <c r="F244">
        <v>61960.178399999997</v>
      </c>
      <c r="G244">
        <v>56.776299999999999</v>
      </c>
      <c r="H244">
        <v>1.040656</v>
      </c>
      <c r="I244">
        <v>1</v>
      </c>
      <c r="J244" s="156">
        <v>1</v>
      </c>
      <c r="K244">
        <v>1</v>
      </c>
      <c r="L244">
        <v>1</v>
      </c>
      <c r="M244">
        <v>1</v>
      </c>
      <c r="N244">
        <v>1.040656</v>
      </c>
    </row>
    <row r="245" spans="1:14" x14ac:dyDescent="0.35">
      <c r="A245" s="156" t="s">
        <v>542</v>
      </c>
      <c r="B245" s="52">
        <v>42986</v>
      </c>
      <c r="C245" s="156" t="s">
        <v>531</v>
      </c>
      <c r="D245" s="156" t="s">
        <v>531</v>
      </c>
      <c r="E245">
        <v>1371890</v>
      </c>
      <c r="F245">
        <v>80528.901199999993</v>
      </c>
      <c r="G245">
        <v>57.446899999999999</v>
      </c>
      <c r="H245">
        <v>0.98510900000000001</v>
      </c>
      <c r="I245">
        <v>1</v>
      </c>
      <c r="J245" s="156">
        <v>1</v>
      </c>
      <c r="K245">
        <v>1</v>
      </c>
      <c r="L245">
        <v>1</v>
      </c>
      <c r="M245">
        <v>1</v>
      </c>
      <c r="N245">
        <v>0.98510900000000001</v>
      </c>
    </row>
    <row r="246" spans="1:14" x14ac:dyDescent="0.35">
      <c r="A246" s="156" t="s">
        <v>542</v>
      </c>
      <c r="B246" s="52">
        <v>42989</v>
      </c>
      <c r="C246" s="156" t="s">
        <v>531</v>
      </c>
      <c r="D246" s="156" t="s">
        <v>531</v>
      </c>
      <c r="E246">
        <v>1685025</v>
      </c>
      <c r="F246">
        <v>100170.0631</v>
      </c>
      <c r="G246">
        <v>58.935099999999998</v>
      </c>
      <c r="H246">
        <v>1.077183</v>
      </c>
      <c r="I246">
        <v>1</v>
      </c>
      <c r="J246" s="156">
        <v>1</v>
      </c>
      <c r="K246">
        <v>1</v>
      </c>
      <c r="L246">
        <v>1</v>
      </c>
      <c r="M246">
        <v>1</v>
      </c>
      <c r="N246">
        <v>1.077183</v>
      </c>
    </row>
    <row r="247" spans="1:14" x14ac:dyDescent="0.35">
      <c r="A247" s="156" t="s">
        <v>542</v>
      </c>
      <c r="B247" s="52">
        <v>42990</v>
      </c>
      <c r="C247" s="156" t="s">
        <v>531</v>
      </c>
      <c r="D247" s="156" t="s">
        <v>531</v>
      </c>
      <c r="E247">
        <v>1337154</v>
      </c>
      <c r="F247">
        <v>83554.155799999993</v>
      </c>
      <c r="G247">
        <v>61.653300000000002</v>
      </c>
      <c r="H247">
        <v>1.0183260000000001</v>
      </c>
      <c r="I247">
        <v>1</v>
      </c>
      <c r="J247" s="156">
        <v>1</v>
      </c>
      <c r="K247">
        <v>1</v>
      </c>
      <c r="L247">
        <v>1</v>
      </c>
      <c r="M247">
        <v>1</v>
      </c>
      <c r="N247">
        <v>1.0183260000000001</v>
      </c>
    </row>
    <row r="248" spans="1:14" x14ac:dyDescent="0.35">
      <c r="A248" s="156" t="s">
        <v>542</v>
      </c>
      <c r="B248" s="52">
        <v>42991</v>
      </c>
      <c r="C248" s="156" t="s">
        <v>531</v>
      </c>
      <c r="D248" s="156" t="s">
        <v>531</v>
      </c>
      <c r="E248">
        <v>865210</v>
      </c>
      <c r="F248">
        <v>54512.345200000003</v>
      </c>
      <c r="G248">
        <v>60.763199999999998</v>
      </c>
      <c r="H248">
        <v>0.97470800000000002</v>
      </c>
      <c r="I248">
        <v>1</v>
      </c>
      <c r="J248" s="156">
        <v>1</v>
      </c>
      <c r="K248">
        <v>1</v>
      </c>
      <c r="L248">
        <v>1</v>
      </c>
      <c r="M248">
        <v>1</v>
      </c>
      <c r="N248">
        <v>0.97470800000000002</v>
      </c>
    </row>
    <row r="249" spans="1:14" x14ac:dyDescent="0.35">
      <c r="A249" s="156" t="s">
        <v>542</v>
      </c>
      <c r="B249" s="52">
        <v>42992</v>
      </c>
      <c r="C249" s="156" t="s">
        <v>531</v>
      </c>
      <c r="D249" s="156" t="s">
        <v>531</v>
      </c>
      <c r="E249">
        <v>813915</v>
      </c>
      <c r="F249">
        <v>50798.998299999999</v>
      </c>
      <c r="G249">
        <v>59.743600000000001</v>
      </c>
      <c r="H249">
        <v>0.99301399999999995</v>
      </c>
      <c r="I249">
        <v>1</v>
      </c>
      <c r="J249" s="156">
        <v>1</v>
      </c>
      <c r="K249">
        <v>1</v>
      </c>
      <c r="L249">
        <v>1</v>
      </c>
      <c r="M249">
        <v>1</v>
      </c>
      <c r="N249">
        <v>0.99301399999999995</v>
      </c>
    </row>
    <row r="250" spans="1:14" x14ac:dyDescent="0.35">
      <c r="A250" s="156" t="s">
        <v>542</v>
      </c>
      <c r="B250" s="52">
        <v>42993</v>
      </c>
      <c r="C250" s="156" t="s">
        <v>531</v>
      </c>
      <c r="D250" s="156" t="s">
        <v>531</v>
      </c>
      <c r="E250">
        <v>1332172</v>
      </c>
      <c r="F250">
        <v>111096.8177</v>
      </c>
      <c r="G250">
        <v>59.924900000000001</v>
      </c>
      <c r="H250">
        <v>1.003015</v>
      </c>
      <c r="I250">
        <v>1</v>
      </c>
      <c r="J250" s="156">
        <v>1</v>
      </c>
      <c r="K250">
        <v>1</v>
      </c>
      <c r="L250">
        <v>1</v>
      </c>
      <c r="M250">
        <v>1</v>
      </c>
      <c r="N250">
        <v>1.003015</v>
      </c>
    </row>
    <row r="251" spans="1:14" x14ac:dyDescent="0.35">
      <c r="A251" s="156" t="s">
        <v>542</v>
      </c>
      <c r="B251" s="52">
        <v>42996</v>
      </c>
      <c r="C251" s="156" t="s">
        <v>531</v>
      </c>
      <c r="D251" s="156" t="s">
        <v>531</v>
      </c>
      <c r="E251">
        <v>644102</v>
      </c>
      <c r="F251">
        <v>40555.214500000002</v>
      </c>
      <c r="G251">
        <v>60.006399999999999</v>
      </c>
      <c r="H251">
        <v>1.0035069999999999</v>
      </c>
      <c r="I251">
        <v>1</v>
      </c>
      <c r="J251" s="156">
        <v>1</v>
      </c>
      <c r="K251">
        <v>1</v>
      </c>
      <c r="L251">
        <v>1</v>
      </c>
      <c r="M251">
        <v>1</v>
      </c>
      <c r="N251">
        <v>1.0035069999999999</v>
      </c>
    </row>
    <row r="252" spans="1:14" x14ac:dyDescent="0.35">
      <c r="A252" s="156" t="s">
        <v>542</v>
      </c>
      <c r="B252" s="52">
        <v>42997</v>
      </c>
      <c r="C252" s="156" t="s">
        <v>531</v>
      </c>
      <c r="D252" s="156" t="s">
        <v>531</v>
      </c>
      <c r="E252">
        <v>1214692</v>
      </c>
      <c r="F252">
        <v>76488.596399999995</v>
      </c>
      <c r="G252">
        <v>60.959200000000003</v>
      </c>
      <c r="H252">
        <v>1.027126</v>
      </c>
      <c r="I252">
        <v>1</v>
      </c>
      <c r="J252" s="156">
        <v>1</v>
      </c>
      <c r="K252">
        <v>1</v>
      </c>
      <c r="L252">
        <v>1</v>
      </c>
      <c r="M252">
        <v>1</v>
      </c>
      <c r="N252">
        <v>1.027126</v>
      </c>
    </row>
    <row r="253" spans="1:14" x14ac:dyDescent="0.35">
      <c r="A253" s="156" t="s">
        <v>542</v>
      </c>
      <c r="B253" s="52">
        <v>42998</v>
      </c>
      <c r="C253" s="156" t="s">
        <v>531</v>
      </c>
      <c r="D253" s="156" t="s">
        <v>531</v>
      </c>
      <c r="E253">
        <v>1444675</v>
      </c>
      <c r="F253">
        <v>87162.527799999996</v>
      </c>
      <c r="G253">
        <v>59.767800000000001</v>
      </c>
      <c r="H253">
        <v>0.96905399999999997</v>
      </c>
      <c r="I253">
        <v>1</v>
      </c>
      <c r="J253" s="156">
        <v>1</v>
      </c>
      <c r="K253">
        <v>1</v>
      </c>
      <c r="L253">
        <v>1</v>
      </c>
      <c r="M253">
        <v>1</v>
      </c>
      <c r="N253">
        <v>0.96905399999999997</v>
      </c>
    </row>
    <row r="254" spans="1:14" x14ac:dyDescent="0.35">
      <c r="A254" s="156" t="s">
        <v>542</v>
      </c>
      <c r="B254" s="52">
        <v>42999</v>
      </c>
      <c r="C254" s="156" t="s">
        <v>531</v>
      </c>
      <c r="D254" s="156" t="s">
        <v>531</v>
      </c>
      <c r="E254">
        <v>925600</v>
      </c>
      <c r="F254">
        <v>56275.579100000003</v>
      </c>
      <c r="G254">
        <v>59.839799999999997</v>
      </c>
      <c r="H254">
        <v>0.99548599999999998</v>
      </c>
      <c r="I254">
        <v>1</v>
      </c>
      <c r="J254" s="156">
        <v>1</v>
      </c>
      <c r="K254">
        <v>1</v>
      </c>
      <c r="L254">
        <v>1</v>
      </c>
      <c r="M254">
        <v>1</v>
      </c>
      <c r="N254">
        <v>0.99548599999999998</v>
      </c>
    </row>
    <row r="255" spans="1:14" x14ac:dyDescent="0.35">
      <c r="A255" s="156" t="s">
        <v>542</v>
      </c>
      <c r="B255" s="52">
        <v>43000</v>
      </c>
      <c r="C255" s="156" t="s">
        <v>531</v>
      </c>
      <c r="D255" s="156" t="s">
        <v>531</v>
      </c>
      <c r="E255">
        <v>494955</v>
      </c>
      <c r="F255">
        <v>30049.4506</v>
      </c>
      <c r="G255">
        <v>59.698700000000002</v>
      </c>
      <c r="H255">
        <v>1.004367</v>
      </c>
      <c r="I255">
        <v>1</v>
      </c>
      <c r="J255" s="156">
        <v>1</v>
      </c>
      <c r="K255">
        <v>1</v>
      </c>
      <c r="L255">
        <v>1</v>
      </c>
      <c r="M255">
        <v>1</v>
      </c>
      <c r="N255">
        <v>1.004367</v>
      </c>
    </row>
    <row r="256" spans="1:14" x14ac:dyDescent="0.35">
      <c r="A256" s="156" t="s">
        <v>542</v>
      </c>
      <c r="B256" s="52">
        <v>43003</v>
      </c>
      <c r="C256" s="156" t="s">
        <v>531</v>
      </c>
      <c r="D256" s="156" t="s">
        <v>531</v>
      </c>
      <c r="E256">
        <v>1078507</v>
      </c>
      <c r="F256">
        <v>62706.360699999997</v>
      </c>
      <c r="G256">
        <v>57.407800000000002</v>
      </c>
      <c r="H256">
        <v>0.94247499999999995</v>
      </c>
      <c r="I256">
        <v>1</v>
      </c>
      <c r="J256" s="156">
        <v>1</v>
      </c>
      <c r="K256">
        <v>1</v>
      </c>
      <c r="L256">
        <v>1</v>
      </c>
      <c r="M256">
        <v>1</v>
      </c>
      <c r="N256">
        <v>0.94247499999999995</v>
      </c>
    </row>
    <row r="257" spans="1:14" x14ac:dyDescent="0.35">
      <c r="A257" s="156" t="s">
        <v>542</v>
      </c>
      <c r="B257" s="52">
        <v>43004</v>
      </c>
      <c r="C257" s="156" t="s">
        <v>531</v>
      </c>
      <c r="D257" s="156" t="s">
        <v>531</v>
      </c>
      <c r="E257">
        <v>806411</v>
      </c>
      <c r="F257">
        <v>46290.386599999998</v>
      </c>
      <c r="G257">
        <v>56.537700000000001</v>
      </c>
      <c r="H257">
        <v>0.99378999999999995</v>
      </c>
      <c r="I257">
        <v>1</v>
      </c>
      <c r="J257" s="156">
        <v>1</v>
      </c>
      <c r="K257">
        <v>1</v>
      </c>
      <c r="L257">
        <v>1</v>
      </c>
      <c r="M257">
        <v>1</v>
      </c>
      <c r="N257">
        <v>0.99378999999999995</v>
      </c>
    </row>
    <row r="258" spans="1:14" x14ac:dyDescent="0.35">
      <c r="A258" s="156" t="s">
        <v>542</v>
      </c>
      <c r="B258" s="52">
        <v>43005</v>
      </c>
      <c r="C258" s="156" t="s">
        <v>531</v>
      </c>
      <c r="D258" s="156" t="s">
        <v>531</v>
      </c>
      <c r="E258">
        <v>666256</v>
      </c>
      <c r="F258">
        <v>39224.767099999997</v>
      </c>
      <c r="G258">
        <v>57.531300000000002</v>
      </c>
      <c r="H258">
        <v>1.0317799999999999</v>
      </c>
      <c r="I258">
        <v>1</v>
      </c>
      <c r="J258" s="156">
        <v>1</v>
      </c>
      <c r="K258">
        <v>1</v>
      </c>
      <c r="L258">
        <v>1</v>
      </c>
      <c r="M258">
        <v>1</v>
      </c>
      <c r="N258">
        <v>1.0317799999999999</v>
      </c>
    </row>
    <row r="259" spans="1:14" x14ac:dyDescent="0.35">
      <c r="A259" s="156" t="s">
        <v>542</v>
      </c>
      <c r="B259" s="52">
        <v>43006</v>
      </c>
      <c r="C259" s="156" t="s">
        <v>531</v>
      </c>
      <c r="D259" s="156" t="s">
        <v>531</v>
      </c>
      <c r="E259">
        <v>418535</v>
      </c>
      <c r="F259">
        <v>25062.726299999998</v>
      </c>
      <c r="G259">
        <v>58.048499999999997</v>
      </c>
      <c r="H259">
        <v>1.009171</v>
      </c>
      <c r="I259">
        <v>1</v>
      </c>
      <c r="J259" s="156">
        <v>1</v>
      </c>
      <c r="K259">
        <v>1</v>
      </c>
      <c r="L259">
        <v>1</v>
      </c>
      <c r="M259">
        <v>1</v>
      </c>
      <c r="N259">
        <v>1.009171</v>
      </c>
    </row>
    <row r="260" spans="1:14" x14ac:dyDescent="0.35">
      <c r="A260" s="156" t="s">
        <v>542</v>
      </c>
      <c r="B260" s="52">
        <v>43007</v>
      </c>
      <c r="C260" s="156" t="s">
        <v>531</v>
      </c>
      <c r="D260" s="156" t="s">
        <v>531</v>
      </c>
      <c r="E260">
        <v>1133741</v>
      </c>
      <c r="F260">
        <v>70909.835900000005</v>
      </c>
      <c r="G260">
        <v>60.598999999999997</v>
      </c>
      <c r="H260">
        <v>1.0546979999999999</v>
      </c>
      <c r="I260">
        <v>1</v>
      </c>
      <c r="J260" s="156">
        <v>1</v>
      </c>
      <c r="K260">
        <v>1</v>
      </c>
      <c r="L260">
        <v>1</v>
      </c>
      <c r="M260">
        <v>1</v>
      </c>
      <c r="N260">
        <v>1.0546979999999999</v>
      </c>
    </row>
    <row r="261" spans="1:14" x14ac:dyDescent="0.35">
      <c r="A261" s="156" t="s">
        <v>542</v>
      </c>
      <c r="B261" s="52">
        <v>43010</v>
      </c>
      <c r="C261" s="156" t="s">
        <v>531</v>
      </c>
      <c r="D261" s="156" t="s">
        <v>531</v>
      </c>
      <c r="E261">
        <v>730777</v>
      </c>
      <c r="F261">
        <v>45181.143100000001</v>
      </c>
      <c r="G261">
        <v>60.247399999999999</v>
      </c>
      <c r="H261">
        <v>0.96829799999999999</v>
      </c>
      <c r="I261">
        <v>1</v>
      </c>
      <c r="J261" s="156">
        <v>1</v>
      </c>
      <c r="K261">
        <v>1</v>
      </c>
      <c r="L261">
        <v>1</v>
      </c>
      <c r="M261">
        <v>1</v>
      </c>
      <c r="N261">
        <v>0.96829799999999999</v>
      </c>
    </row>
    <row r="262" spans="1:14" x14ac:dyDescent="0.35">
      <c r="A262" s="156" t="s">
        <v>542</v>
      </c>
      <c r="B262" s="52">
        <v>43011</v>
      </c>
      <c r="C262" s="156" t="s">
        <v>531</v>
      </c>
      <c r="D262" s="156" t="s">
        <v>531</v>
      </c>
      <c r="E262">
        <v>853917</v>
      </c>
      <c r="F262">
        <v>52469.949699999997</v>
      </c>
      <c r="G262">
        <v>59.926699999999997</v>
      </c>
      <c r="H262">
        <v>1.016286</v>
      </c>
      <c r="I262">
        <v>1</v>
      </c>
      <c r="J262" s="156">
        <v>1</v>
      </c>
      <c r="K262">
        <v>1</v>
      </c>
      <c r="L262">
        <v>1</v>
      </c>
      <c r="M262">
        <v>1</v>
      </c>
      <c r="N262">
        <v>1.016286</v>
      </c>
    </row>
    <row r="263" spans="1:14" x14ac:dyDescent="0.35">
      <c r="A263" s="156" t="s">
        <v>542</v>
      </c>
      <c r="B263" s="52">
        <v>43012</v>
      </c>
      <c r="C263" s="156" t="s">
        <v>531</v>
      </c>
      <c r="D263" s="156" t="s">
        <v>531</v>
      </c>
      <c r="E263">
        <v>788978</v>
      </c>
      <c r="F263">
        <v>48904.434099999999</v>
      </c>
      <c r="G263">
        <v>60.516300000000001</v>
      </c>
      <c r="H263">
        <v>0.99355700000000002</v>
      </c>
      <c r="I263">
        <v>1</v>
      </c>
      <c r="J263" s="156">
        <v>1</v>
      </c>
      <c r="K263">
        <v>1</v>
      </c>
      <c r="L263">
        <v>1</v>
      </c>
      <c r="M263">
        <v>1</v>
      </c>
      <c r="N263">
        <v>0.99355700000000002</v>
      </c>
    </row>
    <row r="264" spans="1:14" x14ac:dyDescent="0.35">
      <c r="A264" s="156" t="s">
        <v>542</v>
      </c>
      <c r="B264" s="52">
        <v>43013</v>
      </c>
      <c r="C264" s="156" t="s">
        <v>531</v>
      </c>
      <c r="D264" s="156" t="s">
        <v>531</v>
      </c>
      <c r="E264">
        <v>931050</v>
      </c>
      <c r="F264">
        <v>56893.470399999998</v>
      </c>
      <c r="G264">
        <v>59.913200000000003</v>
      </c>
      <c r="H264">
        <v>1.0136350000000001</v>
      </c>
      <c r="I264">
        <v>1</v>
      </c>
      <c r="J264" s="156">
        <v>1</v>
      </c>
      <c r="K264">
        <v>1</v>
      </c>
      <c r="L264">
        <v>1</v>
      </c>
      <c r="M264">
        <v>1</v>
      </c>
      <c r="N264">
        <v>1.0136350000000001</v>
      </c>
    </row>
    <row r="265" spans="1:14" x14ac:dyDescent="0.35">
      <c r="A265" s="156" t="s">
        <v>542</v>
      </c>
      <c r="B265" s="52">
        <v>43014</v>
      </c>
      <c r="C265" s="156" t="s">
        <v>531</v>
      </c>
      <c r="D265" s="156" t="s">
        <v>531</v>
      </c>
      <c r="E265">
        <v>1612393</v>
      </c>
      <c r="F265">
        <v>105110.6084</v>
      </c>
      <c r="G265">
        <v>63.915100000000002</v>
      </c>
      <c r="H265">
        <v>1.054462</v>
      </c>
      <c r="I265">
        <v>1</v>
      </c>
      <c r="J265" s="156">
        <v>1</v>
      </c>
      <c r="K265">
        <v>1</v>
      </c>
      <c r="L265">
        <v>1</v>
      </c>
      <c r="M265">
        <v>1</v>
      </c>
      <c r="N265">
        <v>1.054462</v>
      </c>
    </row>
    <row r="266" spans="1:14" x14ac:dyDescent="0.35">
      <c r="A266" s="156" t="s">
        <v>542</v>
      </c>
      <c r="B266" s="52">
        <v>43017</v>
      </c>
      <c r="C266" s="156" t="s">
        <v>531</v>
      </c>
      <c r="D266" s="156" t="s">
        <v>531</v>
      </c>
      <c r="E266">
        <v>1048588</v>
      </c>
      <c r="F266">
        <v>69654.365600000005</v>
      </c>
      <c r="G266">
        <v>65.123699999999999</v>
      </c>
      <c r="H266">
        <v>0.998444</v>
      </c>
      <c r="I266">
        <v>1</v>
      </c>
      <c r="J266" s="156">
        <v>1</v>
      </c>
      <c r="K266">
        <v>1</v>
      </c>
      <c r="L266">
        <v>1</v>
      </c>
      <c r="M266">
        <v>1</v>
      </c>
      <c r="N266">
        <v>0.998444</v>
      </c>
    </row>
    <row r="267" spans="1:14" x14ac:dyDescent="0.35">
      <c r="A267" s="156" t="s">
        <v>542</v>
      </c>
      <c r="B267" s="52">
        <v>43018</v>
      </c>
      <c r="C267" s="156" t="s">
        <v>531</v>
      </c>
      <c r="D267" s="156" t="s">
        <v>531</v>
      </c>
      <c r="E267">
        <v>488339</v>
      </c>
      <c r="F267">
        <v>32170.807199999999</v>
      </c>
      <c r="G267">
        <v>64.532700000000006</v>
      </c>
      <c r="H267">
        <v>0.99906499999999998</v>
      </c>
      <c r="I267">
        <v>1</v>
      </c>
      <c r="J267" s="156">
        <v>1</v>
      </c>
      <c r="K267">
        <v>1</v>
      </c>
      <c r="L267">
        <v>1</v>
      </c>
      <c r="M267">
        <v>1</v>
      </c>
      <c r="N267">
        <v>0.99906499999999998</v>
      </c>
    </row>
    <row r="268" spans="1:14" x14ac:dyDescent="0.35">
      <c r="A268" s="156" t="s">
        <v>542</v>
      </c>
      <c r="B268" s="52">
        <v>43019</v>
      </c>
      <c r="C268" s="156" t="s">
        <v>531</v>
      </c>
      <c r="D268" s="156" t="s">
        <v>531</v>
      </c>
      <c r="E268">
        <v>397052</v>
      </c>
      <c r="F268">
        <v>26366.149399999998</v>
      </c>
      <c r="G268">
        <v>64.623999999999995</v>
      </c>
      <c r="H268">
        <v>1.011541</v>
      </c>
      <c r="I268">
        <v>1</v>
      </c>
      <c r="J268" s="156">
        <v>1</v>
      </c>
      <c r="K268">
        <v>1</v>
      </c>
      <c r="L268">
        <v>1</v>
      </c>
      <c r="M268">
        <v>1</v>
      </c>
      <c r="N268">
        <v>1.011541</v>
      </c>
    </row>
    <row r="269" spans="1:14" x14ac:dyDescent="0.35">
      <c r="A269" s="156" t="s">
        <v>542</v>
      </c>
      <c r="B269" s="52">
        <v>43020</v>
      </c>
      <c r="C269" s="156" t="s">
        <v>531</v>
      </c>
      <c r="D269" s="156" t="s">
        <v>531</v>
      </c>
      <c r="E269">
        <v>676113</v>
      </c>
      <c r="F269">
        <v>45010.113599999997</v>
      </c>
      <c r="G269">
        <v>65.558499999999995</v>
      </c>
      <c r="H269">
        <v>1.0069379999999999</v>
      </c>
      <c r="I269">
        <v>1</v>
      </c>
      <c r="J269" s="156">
        <v>1</v>
      </c>
      <c r="K269">
        <v>1</v>
      </c>
      <c r="L269">
        <v>1</v>
      </c>
      <c r="M269">
        <v>1</v>
      </c>
      <c r="N269">
        <v>1.0069379999999999</v>
      </c>
    </row>
    <row r="270" spans="1:14" x14ac:dyDescent="0.35">
      <c r="A270" s="156" t="s">
        <v>542</v>
      </c>
      <c r="B270" s="52">
        <v>43021</v>
      </c>
      <c r="C270" s="156" t="s">
        <v>531</v>
      </c>
      <c r="D270" s="156" t="s">
        <v>531</v>
      </c>
      <c r="E270">
        <v>634966</v>
      </c>
      <c r="F270">
        <v>43195.542000000001</v>
      </c>
      <c r="G270">
        <v>66.650000000000006</v>
      </c>
      <c r="H270">
        <v>1.0183739999999999</v>
      </c>
      <c r="I270">
        <v>1</v>
      </c>
      <c r="J270" s="156">
        <v>1</v>
      </c>
      <c r="K270">
        <v>1</v>
      </c>
      <c r="L270">
        <v>1</v>
      </c>
      <c r="M270">
        <v>1</v>
      </c>
      <c r="N270">
        <v>1.0183739999999999</v>
      </c>
    </row>
    <row r="271" spans="1:14" x14ac:dyDescent="0.35">
      <c r="A271" s="156" t="s">
        <v>542</v>
      </c>
      <c r="B271" s="52">
        <v>43024</v>
      </c>
      <c r="C271" s="156" t="s">
        <v>531</v>
      </c>
      <c r="D271" s="156" t="s">
        <v>531</v>
      </c>
      <c r="E271">
        <v>1055865</v>
      </c>
      <c r="F271">
        <v>68375.127699999997</v>
      </c>
      <c r="G271">
        <v>64.119699999999995</v>
      </c>
      <c r="H271">
        <v>0.97023000000000004</v>
      </c>
      <c r="I271">
        <v>1</v>
      </c>
      <c r="J271" s="156">
        <v>1</v>
      </c>
      <c r="K271">
        <v>1</v>
      </c>
      <c r="L271">
        <v>1</v>
      </c>
      <c r="M271">
        <v>1</v>
      </c>
      <c r="N271">
        <v>0.97023000000000004</v>
      </c>
    </row>
    <row r="272" spans="1:14" x14ac:dyDescent="0.35">
      <c r="A272" s="156" t="s">
        <v>542</v>
      </c>
      <c r="B272" s="52">
        <v>43025</v>
      </c>
      <c r="C272" s="156" t="s">
        <v>531</v>
      </c>
      <c r="D272" s="156" t="s">
        <v>531</v>
      </c>
      <c r="E272">
        <v>493376</v>
      </c>
      <c r="F272">
        <v>32230.966799999998</v>
      </c>
      <c r="G272">
        <v>64.069599999999994</v>
      </c>
      <c r="H272">
        <v>0.99008200000000002</v>
      </c>
      <c r="I272">
        <v>1</v>
      </c>
      <c r="J272" s="156">
        <v>1</v>
      </c>
      <c r="K272">
        <v>1</v>
      </c>
      <c r="L272">
        <v>1</v>
      </c>
      <c r="M272">
        <v>1</v>
      </c>
      <c r="N272">
        <v>0.99008200000000002</v>
      </c>
    </row>
    <row r="273" spans="1:14" x14ac:dyDescent="0.35">
      <c r="A273" s="156" t="s">
        <v>542</v>
      </c>
      <c r="B273" s="52">
        <v>43026</v>
      </c>
      <c r="C273" s="156" t="s">
        <v>531</v>
      </c>
      <c r="D273" s="156" t="s">
        <v>531</v>
      </c>
      <c r="E273">
        <v>361314</v>
      </c>
      <c r="F273">
        <v>24263.045900000001</v>
      </c>
      <c r="G273">
        <v>63.889299999999999</v>
      </c>
      <c r="H273">
        <v>1.0028170000000001</v>
      </c>
      <c r="I273">
        <v>1</v>
      </c>
      <c r="J273" s="156">
        <v>1</v>
      </c>
      <c r="K273">
        <v>1</v>
      </c>
      <c r="L273">
        <v>1</v>
      </c>
      <c r="M273">
        <v>1</v>
      </c>
      <c r="N273">
        <v>1.0028170000000001</v>
      </c>
    </row>
    <row r="274" spans="1:14" x14ac:dyDescent="0.35">
      <c r="A274" s="156" t="s">
        <v>542</v>
      </c>
      <c r="B274" s="52">
        <v>43027</v>
      </c>
      <c r="C274" s="156" t="s">
        <v>531</v>
      </c>
      <c r="D274" s="156" t="s">
        <v>531</v>
      </c>
      <c r="E274">
        <v>576393</v>
      </c>
      <c r="F274">
        <v>36847.894200000002</v>
      </c>
      <c r="G274">
        <v>62.659399999999998</v>
      </c>
      <c r="H274">
        <v>0.98704499999999995</v>
      </c>
      <c r="I274">
        <v>1</v>
      </c>
      <c r="J274" s="156">
        <v>1</v>
      </c>
      <c r="K274">
        <v>1</v>
      </c>
      <c r="L274">
        <v>1</v>
      </c>
      <c r="M274">
        <v>1</v>
      </c>
      <c r="N274">
        <v>0.98704499999999995</v>
      </c>
    </row>
    <row r="275" spans="1:14" x14ac:dyDescent="0.35">
      <c r="A275" s="156" t="s">
        <v>542</v>
      </c>
      <c r="B275" s="52">
        <v>43028</v>
      </c>
      <c r="C275" s="156" t="s">
        <v>531</v>
      </c>
      <c r="D275" s="156" t="s">
        <v>531</v>
      </c>
      <c r="E275">
        <v>978872</v>
      </c>
      <c r="F275">
        <v>63693.895600000003</v>
      </c>
      <c r="G275">
        <v>63.814900000000002</v>
      </c>
      <c r="H275">
        <v>1.0060089999999999</v>
      </c>
      <c r="I275">
        <v>1</v>
      </c>
      <c r="J275" s="156">
        <v>1</v>
      </c>
      <c r="K275">
        <v>1</v>
      </c>
      <c r="L275">
        <v>1</v>
      </c>
      <c r="M275">
        <v>1</v>
      </c>
      <c r="N275">
        <v>1.0060089999999999</v>
      </c>
    </row>
    <row r="276" spans="1:14" x14ac:dyDescent="0.35">
      <c r="A276" s="156" t="s">
        <v>542</v>
      </c>
      <c r="B276" s="52">
        <v>43031</v>
      </c>
      <c r="C276" s="156" t="s">
        <v>531</v>
      </c>
      <c r="D276" s="156" t="s">
        <v>531</v>
      </c>
      <c r="E276">
        <v>656809</v>
      </c>
      <c r="F276">
        <v>42788.4156</v>
      </c>
      <c r="G276">
        <v>64.066599999999994</v>
      </c>
      <c r="H276">
        <v>0.99748499999999996</v>
      </c>
      <c r="I276">
        <v>1</v>
      </c>
      <c r="J276" s="156">
        <v>1</v>
      </c>
      <c r="K276">
        <v>1</v>
      </c>
      <c r="L276">
        <v>1</v>
      </c>
      <c r="M276">
        <v>1</v>
      </c>
      <c r="N276">
        <v>0.99748499999999996</v>
      </c>
    </row>
    <row r="277" spans="1:14" x14ac:dyDescent="0.35">
      <c r="A277" s="156" t="s">
        <v>542</v>
      </c>
      <c r="B277" s="52">
        <v>43032</v>
      </c>
      <c r="C277" s="156" t="s">
        <v>531</v>
      </c>
      <c r="D277" s="156" t="s">
        <v>531</v>
      </c>
      <c r="E277">
        <v>517910</v>
      </c>
      <c r="F277">
        <v>33910.049299999999</v>
      </c>
      <c r="G277">
        <v>63.683</v>
      </c>
      <c r="H277">
        <v>0.99763599999999997</v>
      </c>
      <c r="I277">
        <v>1</v>
      </c>
      <c r="J277" s="156">
        <v>1</v>
      </c>
      <c r="K277">
        <v>1</v>
      </c>
      <c r="L277">
        <v>1</v>
      </c>
      <c r="M277">
        <v>1</v>
      </c>
      <c r="N277">
        <v>0.99763599999999997</v>
      </c>
    </row>
    <row r="278" spans="1:14" x14ac:dyDescent="0.35">
      <c r="A278" s="156" t="s">
        <v>542</v>
      </c>
      <c r="B278" s="52">
        <v>43033</v>
      </c>
      <c r="C278" s="156" t="s">
        <v>531</v>
      </c>
      <c r="D278" s="156" t="s">
        <v>531</v>
      </c>
      <c r="E278">
        <v>502831</v>
      </c>
      <c r="F278">
        <v>32193.929100000001</v>
      </c>
      <c r="G278">
        <v>62.814500000000002</v>
      </c>
      <c r="H278">
        <v>0.98831100000000005</v>
      </c>
      <c r="I278">
        <v>1</v>
      </c>
      <c r="J278" s="156">
        <v>1</v>
      </c>
      <c r="K278">
        <v>1</v>
      </c>
      <c r="L278">
        <v>1</v>
      </c>
      <c r="M278">
        <v>1</v>
      </c>
      <c r="N278">
        <v>0.98831100000000005</v>
      </c>
    </row>
    <row r="279" spans="1:14" x14ac:dyDescent="0.35">
      <c r="A279" s="156" t="s">
        <v>542</v>
      </c>
      <c r="B279" s="52">
        <v>43034</v>
      </c>
      <c r="C279" s="156" t="s">
        <v>531</v>
      </c>
      <c r="D279" s="156" t="s">
        <v>531</v>
      </c>
      <c r="E279">
        <v>489880</v>
      </c>
      <c r="F279">
        <v>31583.928400000001</v>
      </c>
      <c r="G279">
        <v>63.002699999999997</v>
      </c>
      <c r="H279">
        <v>1.0017579999999999</v>
      </c>
      <c r="I279">
        <v>1</v>
      </c>
      <c r="J279" s="156">
        <v>1</v>
      </c>
      <c r="K279">
        <v>1</v>
      </c>
      <c r="L279">
        <v>1</v>
      </c>
      <c r="M279">
        <v>1</v>
      </c>
      <c r="N279">
        <v>1.0017579999999999</v>
      </c>
    </row>
    <row r="280" spans="1:14" x14ac:dyDescent="0.35">
      <c r="A280" s="156" t="s">
        <v>542</v>
      </c>
      <c r="B280" s="52">
        <v>43035</v>
      </c>
      <c r="C280" s="156" t="s">
        <v>531</v>
      </c>
      <c r="D280" s="156" t="s">
        <v>531</v>
      </c>
      <c r="E280">
        <v>507947</v>
      </c>
      <c r="F280">
        <v>32779.870999999999</v>
      </c>
      <c r="G280">
        <v>63.286799999999999</v>
      </c>
      <c r="H280">
        <v>1.020581</v>
      </c>
      <c r="I280">
        <v>1</v>
      </c>
      <c r="J280" s="156">
        <v>1</v>
      </c>
      <c r="K280">
        <v>1</v>
      </c>
      <c r="L280">
        <v>1</v>
      </c>
      <c r="M280">
        <v>1</v>
      </c>
      <c r="N280">
        <v>1.020581</v>
      </c>
    </row>
    <row r="281" spans="1:14" x14ac:dyDescent="0.35">
      <c r="A281" s="156" t="s">
        <v>542</v>
      </c>
      <c r="B281" s="52">
        <v>43038</v>
      </c>
      <c r="C281" s="156" t="s">
        <v>531</v>
      </c>
      <c r="D281" s="156" t="s">
        <v>531</v>
      </c>
      <c r="E281">
        <v>379666</v>
      </c>
      <c r="F281">
        <v>24882.194800000001</v>
      </c>
      <c r="G281">
        <v>63.921100000000003</v>
      </c>
      <c r="H281">
        <v>1.003595</v>
      </c>
      <c r="I281">
        <v>1</v>
      </c>
      <c r="J281" s="156">
        <v>1</v>
      </c>
      <c r="K281">
        <v>1</v>
      </c>
      <c r="L281">
        <v>1</v>
      </c>
      <c r="M281">
        <v>1</v>
      </c>
      <c r="N281">
        <v>1.003595</v>
      </c>
    </row>
    <row r="282" spans="1:14" x14ac:dyDescent="0.35">
      <c r="A282" s="156" t="s">
        <v>542</v>
      </c>
      <c r="B282" s="52">
        <v>43039</v>
      </c>
      <c r="C282" s="156" t="s">
        <v>531</v>
      </c>
      <c r="D282" s="156" t="s">
        <v>531</v>
      </c>
      <c r="E282">
        <v>641675</v>
      </c>
      <c r="F282">
        <v>43632.903700000003</v>
      </c>
      <c r="G282">
        <v>65.779499999999999</v>
      </c>
      <c r="H282">
        <v>1.026791</v>
      </c>
      <c r="I282">
        <v>1</v>
      </c>
      <c r="J282" s="156">
        <v>1</v>
      </c>
      <c r="K282">
        <v>1</v>
      </c>
      <c r="L282">
        <v>1</v>
      </c>
      <c r="M282">
        <v>1</v>
      </c>
      <c r="N282">
        <v>1.026791</v>
      </c>
    </row>
    <row r="283" spans="1:14" x14ac:dyDescent="0.35">
      <c r="A283" s="156" t="s">
        <v>542</v>
      </c>
      <c r="B283" s="52">
        <v>43040</v>
      </c>
      <c r="C283" s="156" t="s">
        <v>531</v>
      </c>
      <c r="D283" s="156" t="s">
        <v>531</v>
      </c>
      <c r="E283">
        <v>714030</v>
      </c>
      <c r="F283">
        <v>47176.290500000003</v>
      </c>
      <c r="G283">
        <v>65.002799999999993</v>
      </c>
      <c r="H283">
        <v>0.98710600000000004</v>
      </c>
      <c r="I283">
        <v>1</v>
      </c>
      <c r="J283" s="156">
        <v>1</v>
      </c>
      <c r="K283">
        <v>1</v>
      </c>
      <c r="L283">
        <v>1</v>
      </c>
      <c r="M283">
        <v>1</v>
      </c>
      <c r="N283">
        <v>0.98710600000000004</v>
      </c>
    </row>
    <row r="284" spans="1:14" x14ac:dyDescent="0.35">
      <c r="A284" s="156" t="s">
        <v>542</v>
      </c>
      <c r="B284" s="52">
        <v>43041</v>
      </c>
      <c r="C284" s="156" t="s">
        <v>531</v>
      </c>
      <c r="D284" s="156" t="s">
        <v>531</v>
      </c>
      <c r="E284">
        <v>590049</v>
      </c>
      <c r="F284">
        <v>38416.788800000002</v>
      </c>
      <c r="G284">
        <v>63.948599999999999</v>
      </c>
      <c r="H284">
        <v>0.98447799999999996</v>
      </c>
      <c r="I284">
        <v>1</v>
      </c>
      <c r="J284" s="156">
        <v>1</v>
      </c>
      <c r="K284">
        <v>1</v>
      </c>
      <c r="L284">
        <v>1</v>
      </c>
      <c r="M284">
        <v>1</v>
      </c>
      <c r="N284">
        <v>0.98447799999999996</v>
      </c>
    </row>
    <row r="285" spans="1:14" x14ac:dyDescent="0.35">
      <c r="A285" s="156" t="s">
        <v>542</v>
      </c>
      <c r="B285" s="52">
        <v>43042</v>
      </c>
      <c r="C285" s="156" t="s">
        <v>531</v>
      </c>
      <c r="D285" s="156" t="s">
        <v>531</v>
      </c>
      <c r="E285">
        <v>770608</v>
      </c>
      <c r="F285">
        <v>50224.667099999999</v>
      </c>
      <c r="G285">
        <v>64.356800000000007</v>
      </c>
      <c r="H285">
        <v>1.008742</v>
      </c>
      <c r="I285">
        <v>1</v>
      </c>
      <c r="J285" s="156">
        <v>1</v>
      </c>
      <c r="K285">
        <v>1</v>
      </c>
      <c r="L285">
        <v>1</v>
      </c>
      <c r="M285">
        <v>1</v>
      </c>
      <c r="N285">
        <v>1.008742</v>
      </c>
    </row>
    <row r="286" spans="1:14" x14ac:dyDescent="0.35">
      <c r="A286" s="156" t="s">
        <v>542</v>
      </c>
      <c r="B286" s="52">
        <v>43045</v>
      </c>
      <c r="C286" s="156" t="s">
        <v>531</v>
      </c>
      <c r="D286" s="156" t="s">
        <v>531</v>
      </c>
      <c r="E286">
        <v>746581</v>
      </c>
      <c r="F286">
        <v>49029.717700000001</v>
      </c>
      <c r="G286">
        <v>64.751300000000001</v>
      </c>
      <c r="H286">
        <v>1.0117609999999999</v>
      </c>
      <c r="I286">
        <v>1</v>
      </c>
      <c r="J286" s="156">
        <v>1</v>
      </c>
      <c r="K286">
        <v>1</v>
      </c>
      <c r="L286">
        <v>1</v>
      </c>
      <c r="M286">
        <v>1</v>
      </c>
      <c r="N286">
        <v>1.0117609999999999</v>
      </c>
    </row>
    <row r="287" spans="1:14" x14ac:dyDescent="0.35">
      <c r="A287" s="156" t="s">
        <v>542</v>
      </c>
      <c r="B287" s="52">
        <v>43046</v>
      </c>
      <c r="C287" s="156" t="s">
        <v>531</v>
      </c>
      <c r="D287" s="156" t="s">
        <v>531</v>
      </c>
      <c r="E287">
        <v>660713</v>
      </c>
      <c r="F287">
        <v>43378.627200000003</v>
      </c>
      <c r="G287">
        <v>64.6447</v>
      </c>
      <c r="H287">
        <v>0.98898799999999998</v>
      </c>
      <c r="I287">
        <v>1</v>
      </c>
      <c r="J287" s="156">
        <v>1</v>
      </c>
      <c r="K287">
        <v>1</v>
      </c>
      <c r="L287">
        <v>1</v>
      </c>
      <c r="M287">
        <v>1</v>
      </c>
      <c r="N287">
        <v>0.98898799999999998</v>
      </c>
    </row>
    <row r="288" spans="1:14" x14ac:dyDescent="0.35">
      <c r="A288" s="156" t="s">
        <v>542</v>
      </c>
      <c r="B288" s="52">
        <v>43047</v>
      </c>
      <c r="C288" s="156" t="s">
        <v>531</v>
      </c>
      <c r="D288" s="156" t="s">
        <v>531</v>
      </c>
      <c r="E288">
        <v>1656631</v>
      </c>
      <c r="F288">
        <v>104426.3538</v>
      </c>
      <c r="G288">
        <v>61.578499999999998</v>
      </c>
      <c r="H288">
        <v>0.95344899999999999</v>
      </c>
      <c r="I288">
        <v>1</v>
      </c>
      <c r="J288" s="156">
        <v>1</v>
      </c>
      <c r="K288">
        <v>1</v>
      </c>
      <c r="L288">
        <v>1</v>
      </c>
      <c r="M288">
        <v>1</v>
      </c>
      <c r="N288">
        <v>0.95344899999999999</v>
      </c>
    </row>
    <row r="289" spans="1:14" x14ac:dyDescent="0.35">
      <c r="A289" s="156" t="s">
        <v>542</v>
      </c>
      <c r="B289" s="52">
        <v>43048</v>
      </c>
      <c r="C289" s="156" t="s">
        <v>531</v>
      </c>
      <c r="D289" s="156" t="s">
        <v>531</v>
      </c>
      <c r="E289">
        <v>2468368</v>
      </c>
      <c r="F289">
        <v>143846.1023</v>
      </c>
      <c r="G289">
        <v>57.828499999999998</v>
      </c>
      <c r="H289">
        <v>0.961557</v>
      </c>
      <c r="I289">
        <v>1</v>
      </c>
      <c r="J289" s="156">
        <v>1</v>
      </c>
      <c r="K289">
        <v>1</v>
      </c>
      <c r="L289">
        <v>1</v>
      </c>
      <c r="M289">
        <v>1</v>
      </c>
      <c r="N289">
        <v>0.961557</v>
      </c>
    </row>
    <row r="290" spans="1:14" x14ac:dyDescent="0.35">
      <c r="A290" s="156" t="s">
        <v>542</v>
      </c>
      <c r="B290" s="52">
        <v>43049</v>
      </c>
      <c r="C290" s="156" t="s">
        <v>531</v>
      </c>
      <c r="D290" s="156" t="s">
        <v>531</v>
      </c>
      <c r="E290">
        <v>9841275</v>
      </c>
      <c r="F290">
        <v>505995.33630000002</v>
      </c>
      <c r="G290">
        <v>51.345500000000001</v>
      </c>
      <c r="H290">
        <v>0.86024</v>
      </c>
      <c r="I290">
        <v>1</v>
      </c>
      <c r="J290" s="156">
        <v>1</v>
      </c>
      <c r="K290">
        <v>1</v>
      </c>
      <c r="L290">
        <v>1</v>
      </c>
      <c r="M290">
        <v>1</v>
      </c>
      <c r="N290">
        <v>0.86024</v>
      </c>
    </row>
    <row r="291" spans="1:14" x14ac:dyDescent="0.35">
      <c r="A291" s="156" t="s">
        <v>542</v>
      </c>
      <c r="B291" s="52">
        <v>43052</v>
      </c>
      <c r="C291" s="156" t="s">
        <v>531</v>
      </c>
      <c r="D291" s="156" t="s">
        <v>531</v>
      </c>
      <c r="E291">
        <v>4907080</v>
      </c>
      <c r="F291">
        <v>239917.74660000001</v>
      </c>
      <c r="G291">
        <v>48.546799999999998</v>
      </c>
      <c r="H291">
        <v>0.94921100000000003</v>
      </c>
      <c r="I291">
        <v>1</v>
      </c>
      <c r="J291" s="156">
        <v>1</v>
      </c>
      <c r="K291">
        <v>1</v>
      </c>
      <c r="L291">
        <v>1</v>
      </c>
      <c r="M291">
        <v>1</v>
      </c>
      <c r="N291">
        <v>0.94921100000000003</v>
      </c>
    </row>
    <row r="292" spans="1:14" x14ac:dyDescent="0.35">
      <c r="A292" s="156" t="s">
        <v>542</v>
      </c>
      <c r="B292" s="52">
        <v>43053</v>
      </c>
      <c r="C292" s="156" t="s">
        <v>531</v>
      </c>
      <c r="D292" s="156" t="s">
        <v>531</v>
      </c>
      <c r="E292">
        <v>2064811</v>
      </c>
      <c r="F292">
        <v>98549.897500000006</v>
      </c>
      <c r="G292">
        <v>47.308700000000002</v>
      </c>
      <c r="H292">
        <v>0.97200699999999995</v>
      </c>
      <c r="I292">
        <v>1</v>
      </c>
      <c r="J292" s="156">
        <v>1</v>
      </c>
      <c r="K292">
        <v>1</v>
      </c>
      <c r="L292">
        <v>1</v>
      </c>
      <c r="M292">
        <v>1</v>
      </c>
      <c r="N292">
        <v>0.97200699999999995</v>
      </c>
    </row>
    <row r="293" spans="1:14" x14ac:dyDescent="0.35">
      <c r="A293" s="156" t="s">
        <v>542</v>
      </c>
      <c r="B293" s="52">
        <v>43054</v>
      </c>
      <c r="C293" s="156" t="s">
        <v>531</v>
      </c>
      <c r="D293" s="156" t="s">
        <v>531</v>
      </c>
      <c r="E293">
        <v>1824536</v>
      </c>
      <c r="F293">
        <v>87765.213300000003</v>
      </c>
      <c r="G293">
        <v>47.107799999999997</v>
      </c>
      <c r="H293">
        <v>1.0252920000000001</v>
      </c>
      <c r="I293">
        <v>1</v>
      </c>
      <c r="J293" s="156">
        <v>1</v>
      </c>
      <c r="K293">
        <v>1</v>
      </c>
      <c r="L293">
        <v>1</v>
      </c>
      <c r="M293">
        <v>1</v>
      </c>
      <c r="N293">
        <v>1.0252920000000001</v>
      </c>
    </row>
    <row r="294" spans="1:14" x14ac:dyDescent="0.35">
      <c r="A294" s="156" t="s">
        <v>542</v>
      </c>
      <c r="B294" s="52">
        <v>43055</v>
      </c>
      <c r="C294" s="156" t="s">
        <v>531</v>
      </c>
      <c r="D294" s="156" t="s">
        <v>531</v>
      </c>
      <c r="E294">
        <v>1555013</v>
      </c>
      <c r="F294">
        <v>76647.486999999994</v>
      </c>
      <c r="G294">
        <v>48.8827</v>
      </c>
      <c r="H294">
        <v>1.013682</v>
      </c>
      <c r="I294">
        <v>1</v>
      </c>
      <c r="J294" s="156">
        <v>1</v>
      </c>
      <c r="K294">
        <v>1</v>
      </c>
      <c r="L294">
        <v>1</v>
      </c>
      <c r="M294">
        <v>1</v>
      </c>
      <c r="N294">
        <v>1.013682</v>
      </c>
    </row>
    <row r="295" spans="1:14" x14ac:dyDescent="0.35">
      <c r="A295" s="156" t="s">
        <v>542</v>
      </c>
      <c r="B295" s="52">
        <v>43056</v>
      </c>
      <c r="C295" s="156" t="s">
        <v>531</v>
      </c>
      <c r="D295" s="156" t="s">
        <v>531</v>
      </c>
      <c r="E295">
        <v>1087672</v>
      </c>
      <c r="F295">
        <v>54783.598899999997</v>
      </c>
      <c r="G295">
        <v>49.728999999999999</v>
      </c>
      <c r="H295">
        <v>1.022699</v>
      </c>
      <c r="I295">
        <v>1</v>
      </c>
      <c r="J295" s="156">
        <v>1</v>
      </c>
      <c r="K295">
        <v>1</v>
      </c>
      <c r="L295">
        <v>1</v>
      </c>
      <c r="M295">
        <v>1</v>
      </c>
      <c r="N295">
        <v>1.022699</v>
      </c>
    </row>
    <row r="296" spans="1:14" x14ac:dyDescent="0.35">
      <c r="A296" s="156" t="s">
        <v>542</v>
      </c>
      <c r="B296" s="52">
        <v>43059</v>
      </c>
      <c r="C296" s="156" t="s">
        <v>531</v>
      </c>
      <c r="D296" s="156" t="s">
        <v>531</v>
      </c>
      <c r="E296">
        <v>1057230</v>
      </c>
      <c r="F296">
        <v>53771.654499999997</v>
      </c>
      <c r="G296">
        <v>50.285699999999999</v>
      </c>
      <c r="H296">
        <v>1.0077989999999999</v>
      </c>
      <c r="I296">
        <v>1</v>
      </c>
      <c r="J296" s="156">
        <v>1</v>
      </c>
      <c r="K296">
        <v>1</v>
      </c>
      <c r="L296">
        <v>1</v>
      </c>
      <c r="M296">
        <v>1</v>
      </c>
      <c r="N296">
        <v>1.0077989999999999</v>
      </c>
    </row>
    <row r="297" spans="1:14" x14ac:dyDescent="0.35">
      <c r="A297" s="156" t="s">
        <v>542</v>
      </c>
      <c r="B297" s="52">
        <v>43060</v>
      </c>
      <c r="C297" s="156" t="s">
        <v>531</v>
      </c>
      <c r="D297" s="156" t="s">
        <v>531</v>
      </c>
      <c r="E297">
        <v>1003805</v>
      </c>
      <c r="F297">
        <v>52503.892999999996</v>
      </c>
      <c r="G297">
        <v>51.393300000000004</v>
      </c>
      <c r="H297">
        <v>1.030159</v>
      </c>
      <c r="I297">
        <v>1</v>
      </c>
      <c r="J297" s="156">
        <v>1</v>
      </c>
      <c r="K297">
        <v>1</v>
      </c>
      <c r="L297">
        <v>1</v>
      </c>
      <c r="M297">
        <v>1</v>
      </c>
      <c r="N297">
        <v>1.030159</v>
      </c>
    </row>
    <row r="298" spans="1:14" x14ac:dyDescent="0.35">
      <c r="A298" s="156" t="s">
        <v>542</v>
      </c>
      <c r="B298" s="52">
        <v>43061</v>
      </c>
      <c r="C298" s="156" t="s">
        <v>531</v>
      </c>
      <c r="D298" s="156" t="s">
        <v>531</v>
      </c>
      <c r="E298">
        <v>724402</v>
      </c>
      <c r="F298">
        <v>38762.7425</v>
      </c>
      <c r="G298">
        <v>51.470599999999997</v>
      </c>
      <c r="H298">
        <v>0.98459200000000002</v>
      </c>
      <c r="I298">
        <v>1</v>
      </c>
      <c r="J298" s="156">
        <v>1</v>
      </c>
      <c r="K298">
        <v>1</v>
      </c>
      <c r="L298">
        <v>1</v>
      </c>
      <c r="M298">
        <v>1</v>
      </c>
      <c r="N298">
        <v>0.98459200000000002</v>
      </c>
    </row>
    <row r="299" spans="1:14" x14ac:dyDescent="0.35">
      <c r="A299" s="156" t="s">
        <v>542</v>
      </c>
      <c r="B299" s="52">
        <v>43063</v>
      </c>
      <c r="C299" s="156" t="s">
        <v>531</v>
      </c>
      <c r="D299" s="156" t="s">
        <v>531</v>
      </c>
      <c r="E299">
        <v>377705</v>
      </c>
      <c r="F299">
        <v>19490.804100000001</v>
      </c>
      <c r="G299">
        <v>50.942300000000003</v>
      </c>
      <c r="H299">
        <v>1.001369</v>
      </c>
      <c r="I299">
        <v>1</v>
      </c>
      <c r="J299" s="156">
        <v>1</v>
      </c>
      <c r="K299">
        <v>1</v>
      </c>
      <c r="L299">
        <v>1</v>
      </c>
      <c r="M299">
        <v>1</v>
      </c>
      <c r="N299">
        <v>1.001369</v>
      </c>
    </row>
    <row r="300" spans="1:14" x14ac:dyDescent="0.35">
      <c r="A300" s="156" t="s">
        <v>542</v>
      </c>
      <c r="B300" s="52">
        <v>43066</v>
      </c>
      <c r="C300" s="156" t="s">
        <v>531</v>
      </c>
      <c r="D300" s="156" t="s">
        <v>531</v>
      </c>
      <c r="E300">
        <v>879790</v>
      </c>
      <c r="F300">
        <v>44621.572800000002</v>
      </c>
      <c r="G300">
        <v>50.189700000000002</v>
      </c>
      <c r="H300">
        <v>0.97460400000000003</v>
      </c>
      <c r="I300">
        <v>1</v>
      </c>
      <c r="J300" s="156">
        <v>1</v>
      </c>
      <c r="K300">
        <v>1</v>
      </c>
      <c r="L300">
        <v>1</v>
      </c>
      <c r="M300">
        <v>1</v>
      </c>
      <c r="N300">
        <v>0.97460400000000003</v>
      </c>
    </row>
    <row r="301" spans="1:14" x14ac:dyDescent="0.35">
      <c r="A301" s="156" t="s">
        <v>542</v>
      </c>
      <c r="B301" s="52">
        <v>43067</v>
      </c>
      <c r="C301" s="156" t="s">
        <v>531</v>
      </c>
      <c r="D301" s="156" t="s">
        <v>531</v>
      </c>
      <c r="E301">
        <v>893635</v>
      </c>
      <c r="F301">
        <v>45828.7647</v>
      </c>
      <c r="G301">
        <v>49.761000000000003</v>
      </c>
      <c r="H301">
        <v>1.0050110000000001</v>
      </c>
      <c r="I301">
        <v>1</v>
      </c>
      <c r="J301" s="156">
        <v>1</v>
      </c>
      <c r="K301">
        <v>1</v>
      </c>
      <c r="L301">
        <v>1</v>
      </c>
      <c r="M301">
        <v>1</v>
      </c>
      <c r="N301">
        <v>1.0050110000000001</v>
      </c>
    </row>
    <row r="302" spans="1:14" x14ac:dyDescent="0.35">
      <c r="A302" s="156" t="s">
        <v>542</v>
      </c>
      <c r="B302" s="52">
        <v>43068</v>
      </c>
      <c r="C302" s="156" t="s">
        <v>531</v>
      </c>
      <c r="D302" s="156" t="s">
        <v>531</v>
      </c>
      <c r="E302">
        <v>1144979</v>
      </c>
      <c r="F302">
        <v>55849.695800000001</v>
      </c>
      <c r="G302">
        <v>48.148899999999998</v>
      </c>
      <c r="H302">
        <v>0.96549700000000005</v>
      </c>
      <c r="I302">
        <v>1</v>
      </c>
      <c r="J302" s="156">
        <v>1</v>
      </c>
      <c r="K302">
        <v>1</v>
      </c>
      <c r="L302">
        <v>1</v>
      </c>
      <c r="M302">
        <v>1</v>
      </c>
      <c r="N302">
        <v>0.96549700000000005</v>
      </c>
    </row>
    <row r="303" spans="1:14" x14ac:dyDescent="0.35">
      <c r="A303" s="156" t="s">
        <v>542</v>
      </c>
      <c r="B303" s="52">
        <v>43069</v>
      </c>
      <c r="C303" s="156" t="s">
        <v>531</v>
      </c>
      <c r="D303" s="156" t="s">
        <v>531</v>
      </c>
      <c r="E303">
        <v>1083801</v>
      </c>
      <c r="F303">
        <v>55479.3652</v>
      </c>
      <c r="G303">
        <v>48.572299999999998</v>
      </c>
      <c r="H303">
        <v>1.01508</v>
      </c>
      <c r="I303">
        <v>1</v>
      </c>
      <c r="J303" s="156">
        <v>1</v>
      </c>
      <c r="K303">
        <v>1</v>
      </c>
      <c r="L303">
        <v>1</v>
      </c>
      <c r="M303">
        <v>1</v>
      </c>
      <c r="N303">
        <v>1.01508</v>
      </c>
    </row>
    <row r="304" spans="1:14" x14ac:dyDescent="0.35">
      <c r="A304" s="156" t="s">
        <v>542</v>
      </c>
      <c r="B304" s="52">
        <v>43070</v>
      </c>
      <c r="C304" s="156" t="s">
        <v>531</v>
      </c>
      <c r="D304" s="156" t="s">
        <v>531</v>
      </c>
      <c r="E304">
        <v>794106</v>
      </c>
      <c r="F304">
        <v>38490.072200000002</v>
      </c>
      <c r="G304">
        <v>47.874200000000002</v>
      </c>
      <c r="H304">
        <v>0.97680100000000003</v>
      </c>
      <c r="I304">
        <v>1</v>
      </c>
      <c r="J304" s="156">
        <v>1</v>
      </c>
      <c r="K304">
        <v>1</v>
      </c>
      <c r="L304">
        <v>1</v>
      </c>
      <c r="M304">
        <v>1</v>
      </c>
      <c r="N304">
        <v>0.97680100000000003</v>
      </c>
    </row>
    <row r="305" spans="1:14" x14ac:dyDescent="0.35">
      <c r="A305" s="156" t="s">
        <v>542</v>
      </c>
      <c r="B305" s="52">
        <v>43073</v>
      </c>
      <c r="C305" s="156" t="s">
        <v>531</v>
      </c>
      <c r="D305" s="156" t="s">
        <v>531</v>
      </c>
      <c r="E305">
        <v>1697810</v>
      </c>
      <c r="F305">
        <v>78217.589800000002</v>
      </c>
      <c r="G305">
        <v>45.759700000000002</v>
      </c>
      <c r="H305">
        <v>0.94270799999999999</v>
      </c>
      <c r="I305">
        <v>1</v>
      </c>
      <c r="J305" s="156">
        <v>1</v>
      </c>
      <c r="K305">
        <v>1</v>
      </c>
      <c r="L305">
        <v>1</v>
      </c>
      <c r="M305">
        <v>1</v>
      </c>
      <c r="N305">
        <v>0.94270799999999999</v>
      </c>
    </row>
    <row r="306" spans="1:14" x14ac:dyDescent="0.35">
      <c r="A306" s="156" t="s">
        <v>542</v>
      </c>
      <c r="B306" s="52">
        <v>43074</v>
      </c>
      <c r="C306" s="156" t="s">
        <v>531</v>
      </c>
      <c r="D306" s="156" t="s">
        <v>531</v>
      </c>
      <c r="E306">
        <v>956871</v>
      </c>
      <c r="F306">
        <v>43871.622799999997</v>
      </c>
      <c r="G306">
        <v>45.195</v>
      </c>
      <c r="H306">
        <v>0.99602199999999996</v>
      </c>
      <c r="I306">
        <v>1</v>
      </c>
      <c r="J306" s="156">
        <v>1</v>
      </c>
      <c r="K306">
        <v>1</v>
      </c>
      <c r="L306">
        <v>1</v>
      </c>
      <c r="M306">
        <v>1</v>
      </c>
      <c r="N306">
        <v>0.99602199999999996</v>
      </c>
    </row>
    <row r="307" spans="1:14" x14ac:dyDescent="0.35">
      <c r="A307" s="156" t="s">
        <v>542</v>
      </c>
      <c r="B307" s="52">
        <v>43075</v>
      </c>
      <c r="C307" s="156" t="s">
        <v>531</v>
      </c>
      <c r="D307" s="156" t="s">
        <v>531</v>
      </c>
      <c r="E307">
        <v>1060366</v>
      </c>
      <c r="F307">
        <v>47352.603000000003</v>
      </c>
      <c r="G307">
        <v>44.067</v>
      </c>
      <c r="H307">
        <v>0.98025300000000004</v>
      </c>
      <c r="I307">
        <v>1</v>
      </c>
      <c r="J307" s="156">
        <v>1</v>
      </c>
      <c r="K307">
        <v>1</v>
      </c>
      <c r="L307">
        <v>1</v>
      </c>
      <c r="M307">
        <v>1</v>
      </c>
      <c r="N307">
        <v>0.98025300000000004</v>
      </c>
    </row>
    <row r="308" spans="1:14" x14ac:dyDescent="0.35">
      <c r="A308" s="156" t="s">
        <v>542</v>
      </c>
      <c r="B308" s="52">
        <v>43076</v>
      </c>
      <c r="C308" s="156" t="s">
        <v>531</v>
      </c>
      <c r="D308" s="156" t="s">
        <v>531</v>
      </c>
      <c r="E308">
        <v>1182028</v>
      </c>
      <c r="F308">
        <v>53921.036599999999</v>
      </c>
      <c r="G308">
        <v>44.8658</v>
      </c>
      <c r="H308">
        <v>1.0262560000000001</v>
      </c>
      <c r="I308">
        <v>1</v>
      </c>
      <c r="J308" s="156">
        <v>1</v>
      </c>
      <c r="K308">
        <v>1</v>
      </c>
      <c r="L308">
        <v>1</v>
      </c>
      <c r="M308">
        <v>1</v>
      </c>
      <c r="N308">
        <v>1.0262560000000001</v>
      </c>
    </row>
    <row r="309" spans="1:14" x14ac:dyDescent="0.35">
      <c r="A309" s="156" t="s">
        <v>542</v>
      </c>
      <c r="B309" s="52">
        <v>43077</v>
      </c>
      <c r="C309" s="156" t="s">
        <v>531</v>
      </c>
      <c r="D309" s="156" t="s">
        <v>531</v>
      </c>
      <c r="E309">
        <v>891171</v>
      </c>
      <c r="F309">
        <v>41450.891799999998</v>
      </c>
      <c r="G309">
        <v>45.548299999999998</v>
      </c>
      <c r="H309">
        <v>0.99801499999999999</v>
      </c>
      <c r="I309">
        <v>1</v>
      </c>
      <c r="J309" s="156">
        <v>1</v>
      </c>
      <c r="K309">
        <v>1</v>
      </c>
      <c r="L309">
        <v>1</v>
      </c>
      <c r="M309">
        <v>1</v>
      </c>
      <c r="N309">
        <v>0.99801499999999999</v>
      </c>
    </row>
    <row r="310" spans="1:14" x14ac:dyDescent="0.35">
      <c r="A310" s="156" t="s">
        <v>542</v>
      </c>
      <c r="B310" s="52">
        <v>43080</v>
      </c>
      <c r="C310" s="156" t="s">
        <v>531</v>
      </c>
      <c r="D310" s="156" t="s">
        <v>531</v>
      </c>
      <c r="E310">
        <v>1572795</v>
      </c>
      <c r="F310">
        <v>76985.428</v>
      </c>
      <c r="G310">
        <v>48.319400000000002</v>
      </c>
      <c r="H310">
        <v>1.0674030000000001</v>
      </c>
      <c r="I310">
        <v>1</v>
      </c>
      <c r="J310" s="156">
        <v>1</v>
      </c>
      <c r="K310">
        <v>1</v>
      </c>
      <c r="L310">
        <v>1</v>
      </c>
      <c r="M310">
        <v>1</v>
      </c>
      <c r="N310">
        <v>1.0674030000000001</v>
      </c>
    </row>
    <row r="311" spans="1:14" x14ac:dyDescent="0.35">
      <c r="A311" s="156" t="s">
        <v>542</v>
      </c>
      <c r="B311" s="52">
        <v>43081</v>
      </c>
      <c r="C311" s="156" t="s">
        <v>531</v>
      </c>
      <c r="D311" s="156" t="s">
        <v>531</v>
      </c>
      <c r="E311">
        <v>846259</v>
      </c>
      <c r="F311">
        <v>40924.095399999998</v>
      </c>
      <c r="G311">
        <v>47.6126</v>
      </c>
      <c r="H311">
        <v>0.97018599999999999</v>
      </c>
      <c r="I311">
        <v>1</v>
      </c>
      <c r="J311" s="156">
        <v>1</v>
      </c>
      <c r="K311">
        <v>1</v>
      </c>
      <c r="L311">
        <v>1</v>
      </c>
      <c r="M311">
        <v>1</v>
      </c>
      <c r="N311">
        <v>0.97018599999999999</v>
      </c>
    </row>
    <row r="312" spans="1:14" x14ac:dyDescent="0.35">
      <c r="A312" s="156" t="s">
        <v>542</v>
      </c>
      <c r="B312" s="52">
        <v>43082</v>
      </c>
      <c r="C312" s="156" t="s">
        <v>531</v>
      </c>
      <c r="D312" s="156" t="s">
        <v>531</v>
      </c>
      <c r="E312">
        <v>887025</v>
      </c>
      <c r="F312">
        <v>43797.856099999997</v>
      </c>
      <c r="G312">
        <v>48.330399999999997</v>
      </c>
      <c r="H312">
        <v>1.045668</v>
      </c>
      <c r="I312">
        <v>1</v>
      </c>
      <c r="J312" s="156">
        <v>1</v>
      </c>
      <c r="K312">
        <v>1</v>
      </c>
      <c r="L312">
        <v>1</v>
      </c>
      <c r="M312">
        <v>1</v>
      </c>
      <c r="N312">
        <v>1.045668</v>
      </c>
    </row>
    <row r="313" spans="1:14" x14ac:dyDescent="0.35">
      <c r="A313" s="156" t="s">
        <v>542</v>
      </c>
      <c r="B313" s="52">
        <v>43083</v>
      </c>
      <c r="C313" s="156" t="s">
        <v>531</v>
      </c>
      <c r="D313" s="156" t="s">
        <v>531</v>
      </c>
      <c r="E313">
        <v>887566</v>
      </c>
      <c r="F313">
        <v>44786.476900000001</v>
      </c>
      <c r="G313">
        <v>48.697699999999998</v>
      </c>
      <c r="H313">
        <v>0.99938800000000005</v>
      </c>
      <c r="I313">
        <v>1</v>
      </c>
      <c r="J313" s="156">
        <v>1</v>
      </c>
      <c r="K313">
        <v>1</v>
      </c>
      <c r="L313">
        <v>1</v>
      </c>
      <c r="M313">
        <v>1</v>
      </c>
      <c r="N313">
        <v>0.99938800000000005</v>
      </c>
    </row>
    <row r="314" spans="1:14" x14ac:dyDescent="0.35">
      <c r="A314" s="156" t="s">
        <v>542</v>
      </c>
      <c r="B314" s="52">
        <v>43084</v>
      </c>
      <c r="C314" s="156" t="s">
        <v>531</v>
      </c>
      <c r="D314" s="156" t="s">
        <v>531</v>
      </c>
      <c r="E314">
        <v>894190</v>
      </c>
      <c r="F314">
        <v>47970.896000000001</v>
      </c>
      <c r="G314">
        <v>49.3446</v>
      </c>
      <c r="H314">
        <v>1.0057179999999999</v>
      </c>
      <c r="I314">
        <v>1</v>
      </c>
      <c r="J314" s="156">
        <v>1</v>
      </c>
      <c r="K314">
        <v>1</v>
      </c>
      <c r="L314">
        <v>1</v>
      </c>
      <c r="M314">
        <v>1</v>
      </c>
      <c r="N314">
        <v>1.0057179999999999</v>
      </c>
    </row>
    <row r="315" spans="1:14" x14ac:dyDescent="0.35">
      <c r="A315" s="156" t="s">
        <v>542</v>
      </c>
      <c r="B315" s="52">
        <v>43087</v>
      </c>
      <c r="C315" s="156" t="s">
        <v>531</v>
      </c>
      <c r="D315" s="156" t="s">
        <v>531</v>
      </c>
      <c r="E315">
        <v>803756</v>
      </c>
      <c r="F315">
        <v>40842.095200000003</v>
      </c>
      <c r="G315">
        <v>49.682699999999997</v>
      </c>
      <c r="H315">
        <v>1.0111669999999999</v>
      </c>
      <c r="I315">
        <v>1</v>
      </c>
      <c r="J315" s="156">
        <v>1</v>
      </c>
      <c r="K315">
        <v>1</v>
      </c>
      <c r="L315">
        <v>1</v>
      </c>
      <c r="M315">
        <v>1</v>
      </c>
      <c r="N315">
        <v>1.0111669999999999</v>
      </c>
    </row>
    <row r="316" spans="1:14" x14ac:dyDescent="0.35">
      <c r="A316" s="156" t="s">
        <v>542</v>
      </c>
      <c r="B316" s="52">
        <v>43088</v>
      </c>
      <c r="C316" s="156" t="s">
        <v>531</v>
      </c>
      <c r="D316" s="156" t="s">
        <v>531</v>
      </c>
      <c r="E316">
        <v>547967</v>
      </c>
      <c r="F316">
        <v>27971.076799999999</v>
      </c>
      <c r="G316">
        <v>49.22</v>
      </c>
      <c r="H316">
        <v>0.98273100000000002</v>
      </c>
      <c r="I316">
        <v>1</v>
      </c>
      <c r="J316" s="156">
        <v>1</v>
      </c>
      <c r="K316">
        <v>1</v>
      </c>
      <c r="L316">
        <v>1</v>
      </c>
      <c r="M316">
        <v>1</v>
      </c>
      <c r="N316">
        <v>0.98273100000000002</v>
      </c>
    </row>
    <row r="317" spans="1:14" x14ac:dyDescent="0.35">
      <c r="A317" s="156" t="s">
        <v>542</v>
      </c>
      <c r="B317" s="52">
        <v>43089</v>
      </c>
      <c r="C317" s="156" t="s">
        <v>531</v>
      </c>
      <c r="D317" s="156" t="s">
        <v>531</v>
      </c>
      <c r="E317">
        <v>559451</v>
      </c>
      <c r="F317">
        <v>28342.217100000002</v>
      </c>
      <c r="G317">
        <v>49.884099999999997</v>
      </c>
      <c r="H317">
        <v>1.013282</v>
      </c>
      <c r="I317">
        <v>1</v>
      </c>
      <c r="J317" s="156">
        <v>1</v>
      </c>
      <c r="K317">
        <v>1</v>
      </c>
      <c r="L317">
        <v>1</v>
      </c>
      <c r="M317">
        <v>1</v>
      </c>
      <c r="N317">
        <v>1.013282</v>
      </c>
    </row>
    <row r="318" spans="1:14" x14ac:dyDescent="0.35">
      <c r="A318" s="156" t="s">
        <v>542</v>
      </c>
      <c r="B318" s="52">
        <v>43090</v>
      </c>
      <c r="C318" s="156" t="s">
        <v>531</v>
      </c>
      <c r="D318" s="156" t="s">
        <v>531</v>
      </c>
      <c r="E318">
        <v>1837701</v>
      </c>
      <c r="F318">
        <v>88549.997900000002</v>
      </c>
      <c r="G318">
        <v>47.465299999999999</v>
      </c>
      <c r="H318">
        <v>0.93083300000000002</v>
      </c>
      <c r="I318">
        <v>1</v>
      </c>
      <c r="J318" s="156">
        <v>1</v>
      </c>
      <c r="K318">
        <v>1</v>
      </c>
      <c r="L318">
        <v>1</v>
      </c>
      <c r="M318">
        <v>1</v>
      </c>
      <c r="N318">
        <v>0.93083300000000002</v>
      </c>
    </row>
    <row r="319" spans="1:14" x14ac:dyDescent="0.35">
      <c r="A319" s="156" t="s">
        <v>542</v>
      </c>
      <c r="B319" s="52">
        <v>43091</v>
      </c>
      <c r="C319" s="156" t="s">
        <v>531</v>
      </c>
      <c r="D319" s="156" t="s">
        <v>531</v>
      </c>
      <c r="E319">
        <v>886564</v>
      </c>
      <c r="F319">
        <v>42282.543299999998</v>
      </c>
      <c r="G319">
        <v>46.3596</v>
      </c>
      <c r="H319">
        <v>1.0013000000000001</v>
      </c>
      <c r="I319">
        <v>1</v>
      </c>
      <c r="J319" s="156">
        <v>1</v>
      </c>
      <c r="K319">
        <v>1</v>
      </c>
      <c r="L319">
        <v>1</v>
      </c>
      <c r="M319">
        <v>1</v>
      </c>
      <c r="N319">
        <v>1.0013000000000001</v>
      </c>
    </row>
    <row r="320" spans="1:14" x14ac:dyDescent="0.35">
      <c r="A320" s="156" t="s">
        <v>542</v>
      </c>
      <c r="B320" s="52">
        <v>43095</v>
      </c>
      <c r="C320" s="156" t="s">
        <v>531</v>
      </c>
      <c r="D320" s="156" t="s">
        <v>531</v>
      </c>
      <c r="E320">
        <v>391063</v>
      </c>
      <c r="F320">
        <v>18741.960899999998</v>
      </c>
      <c r="G320">
        <v>45.990200000000002</v>
      </c>
      <c r="H320">
        <v>1.005625</v>
      </c>
      <c r="I320">
        <v>1</v>
      </c>
      <c r="J320" s="156">
        <v>1</v>
      </c>
      <c r="K320">
        <v>1</v>
      </c>
      <c r="L320">
        <v>1</v>
      </c>
      <c r="M320">
        <v>1</v>
      </c>
      <c r="N320">
        <v>1.005625</v>
      </c>
    </row>
    <row r="321" spans="1:14" x14ac:dyDescent="0.35">
      <c r="A321" s="156" t="s">
        <v>542</v>
      </c>
      <c r="B321" s="52">
        <v>43096</v>
      </c>
      <c r="C321" s="156" t="s">
        <v>531</v>
      </c>
      <c r="D321" s="156" t="s">
        <v>531</v>
      </c>
      <c r="E321">
        <v>570192</v>
      </c>
      <c r="F321">
        <v>27325.059099999999</v>
      </c>
      <c r="G321">
        <v>46.973700000000001</v>
      </c>
      <c r="H321">
        <v>1.0114030000000001</v>
      </c>
      <c r="I321">
        <v>1</v>
      </c>
      <c r="J321" s="156">
        <v>1</v>
      </c>
      <c r="K321">
        <v>1</v>
      </c>
      <c r="L321">
        <v>1</v>
      </c>
      <c r="M321">
        <v>1</v>
      </c>
      <c r="N321">
        <v>1.0114030000000001</v>
      </c>
    </row>
    <row r="322" spans="1:14" x14ac:dyDescent="0.35">
      <c r="A322" s="156" t="s">
        <v>542</v>
      </c>
      <c r="B322" s="52">
        <v>43097</v>
      </c>
      <c r="C322" s="156" t="s">
        <v>531</v>
      </c>
      <c r="D322" s="156" t="s">
        <v>531</v>
      </c>
      <c r="E322">
        <v>595167</v>
      </c>
      <c r="F322">
        <v>28276.340100000001</v>
      </c>
      <c r="G322">
        <v>46.542999999999999</v>
      </c>
      <c r="H322">
        <v>0.98744900000000002</v>
      </c>
      <c r="I322">
        <v>1</v>
      </c>
      <c r="J322" s="156">
        <v>1</v>
      </c>
      <c r="K322">
        <v>1</v>
      </c>
      <c r="L322">
        <v>1</v>
      </c>
      <c r="M322">
        <v>1</v>
      </c>
      <c r="N322">
        <v>0.98744900000000002</v>
      </c>
    </row>
    <row r="323" spans="1:14" x14ac:dyDescent="0.35">
      <c r="A323" s="156" t="s">
        <v>542</v>
      </c>
      <c r="B323" s="52">
        <v>43098</v>
      </c>
      <c r="C323" s="156" t="s">
        <v>531</v>
      </c>
      <c r="D323" s="156" t="s">
        <v>531</v>
      </c>
      <c r="E323">
        <v>774299</v>
      </c>
      <c r="F323">
        <v>37867.968800000002</v>
      </c>
      <c r="G323">
        <v>45.913600000000002</v>
      </c>
      <c r="H323">
        <v>0.98513600000000001</v>
      </c>
      <c r="I323">
        <v>1</v>
      </c>
      <c r="J323" s="156">
        <v>1</v>
      </c>
      <c r="K323">
        <v>1</v>
      </c>
      <c r="L323">
        <v>1</v>
      </c>
      <c r="M323">
        <v>1</v>
      </c>
      <c r="N323">
        <v>0.98513600000000001</v>
      </c>
    </row>
    <row r="324" spans="1:14" x14ac:dyDescent="0.35">
      <c r="A324" s="156" t="s">
        <v>542</v>
      </c>
      <c r="B324" s="52">
        <v>43102</v>
      </c>
      <c r="C324" s="156" t="s">
        <v>531</v>
      </c>
      <c r="D324" s="156" t="s">
        <v>531</v>
      </c>
      <c r="E324">
        <v>690155</v>
      </c>
      <c r="F324">
        <v>33218.761599999998</v>
      </c>
      <c r="G324">
        <v>46.372700000000002</v>
      </c>
      <c r="H324">
        <v>1.0148699999999999</v>
      </c>
      <c r="I324">
        <v>1</v>
      </c>
      <c r="J324" s="156">
        <v>1</v>
      </c>
      <c r="K324">
        <v>1</v>
      </c>
      <c r="L324">
        <v>1</v>
      </c>
      <c r="M324">
        <v>1</v>
      </c>
      <c r="N324">
        <v>1.0148699999999999</v>
      </c>
    </row>
    <row r="325" spans="1:14" x14ac:dyDescent="0.35">
      <c r="A325" s="156" t="s">
        <v>542</v>
      </c>
      <c r="B325" s="52">
        <v>43103</v>
      </c>
      <c r="C325" s="156" t="s">
        <v>531</v>
      </c>
      <c r="D325" s="156" t="s">
        <v>531</v>
      </c>
      <c r="E325">
        <v>821804</v>
      </c>
      <c r="F325">
        <v>40305.116999999998</v>
      </c>
      <c r="G325">
        <v>47.613599999999998</v>
      </c>
      <c r="H325">
        <v>1.032321</v>
      </c>
      <c r="I325">
        <v>1</v>
      </c>
      <c r="J325" s="156">
        <v>1</v>
      </c>
      <c r="K325">
        <v>1</v>
      </c>
      <c r="L325">
        <v>1</v>
      </c>
      <c r="M325">
        <v>1</v>
      </c>
      <c r="N325">
        <v>1.032321</v>
      </c>
    </row>
    <row r="326" spans="1:14" x14ac:dyDescent="0.35">
      <c r="A326" s="156" t="s">
        <v>542</v>
      </c>
      <c r="B326" s="52">
        <v>43104</v>
      </c>
      <c r="C326" s="156" t="s">
        <v>531</v>
      </c>
      <c r="D326" s="156" t="s">
        <v>531</v>
      </c>
      <c r="E326">
        <v>564732</v>
      </c>
      <c r="F326">
        <v>27695.211800000001</v>
      </c>
      <c r="G326">
        <v>47.531199999999998</v>
      </c>
      <c r="H326">
        <v>0.99457300000000004</v>
      </c>
      <c r="I326">
        <v>1</v>
      </c>
      <c r="J326" s="156">
        <v>1</v>
      </c>
      <c r="K326">
        <v>1</v>
      </c>
      <c r="L326">
        <v>1</v>
      </c>
      <c r="M326">
        <v>1</v>
      </c>
      <c r="N326">
        <v>0.99457300000000004</v>
      </c>
    </row>
    <row r="327" spans="1:14" x14ac:dyDescent="0.35">
      <c r="A327" s="156" t="s">
        <v>542</v>
      </c>
      <c r="B327" s="52">
        <v>43105</v>
      </c>
      <c r="C327" s="156" t="s">
        <v>531</v>
      </c>
      <c r="D327" s="156" t="s">
        <v>531</v>
      </c>
      <c r="E327">
        <v>584130</v>
      </c>
      <c r="F327">
        <v>28902.188600000001</v>
      </c>
      <c r="G327">
        <v>48.487099999999998</v>
      </c>
      <c r="H327">
        <v>1.0146900000000001</v>
      </c>
      <c r="I327">
        <v>1</v>
      </c>
      <c r="J327" s="156">
        <v>1</v>
      </c>
      <c r="K327">
        <v>1</v>
      </c>
      <c r="L327">
        <v>1</v>
      </c>
      <c r="M327">
        <v>1</v>
      </c>
      <c r="N327">
        <v>1.0146900000000001</v>
      </c>
    </row>
    <row r="328" spans="1:14" x14ac:dyDescent="0.35">
      <c r="A328" s="156" t="s">
        <v>542</v>
      </c>
      <c r="B328" s="52">
        <v>43108</v>
      </c>
      <c r="C328" s="156" t="s">
        <v>531</v>
      </c>
      <c r="D328" s="156" t="s">
        <v>531</v>
      </c>
      <c r="E328">
        <v>573199</v>
      </c>
      <c r="F328">
        <v>29346.169900000001</v>
      </c>
      <c r="G328">
        <v>47.863</v>
      </c>
      <c r="H328">
        <v>0.99007199999999995</v>
      </c>
      <c r="I328">
        <v>1</v>
      </c>
      <c r="J328" s="156">
        <v>1</v>
      </c>
      <c r="K328">
        <v>1</v>
      </c>
      <c r="L328">
        <v>1</v>
      </c>
      <c r="M328">
        <v>1</v>
      </c>
      <c r="N328">
        <v>0.99007199999999995</v>
      </c>
    </row>
    <row r="329" spans="1:14" x14ac:dyDescent="0.35">
      <c r="A329" s="156" t="s">
        <v>542</v>
      </c>
      <c r="B329" s="52">
        <v>43109</v>
      </c>
      <c r="C329" s="156" t="s">
        <v>531</v>
      </c>
      <c r="D329" s="156" t="s">
        <v>531</v>
      </c>
      <c r="E329">
        <v>443454</v>
      </c>
      <c r="F329">
        <v>21722.408599999999</v>
      </c>
      <c r="G329">
        <v>47.799799999999998</v>
      </c>
      <c r="H329">
        <v>0.99060000000000004</v>
      </c>
      <c r="I329">
        <v>1</v>
      </c>
      <c r="J329" s="156">
        <v>1</v>
      </c>
      <c r="K329">
        <v>1</v>
      </c>
      <c r="L329">
        <v>1</v>
      </c>
      <c r="M329">
        <v>1</v>
      </c>
      <c r="N329">
        <v>0.99060000000000004</v>
      </c>
    </row>
    <row r="330" spans="1:14" x14ac:dyDescent="0.35">
      <c r="A330" s="156" t="s">
        <v>542</v>
      </c>
      <c r="B330" s="52">
        <v>43110</v>
      </c>
      <c r="C330" s="156" t="s">
        <v>531</v>
      </c>
      <c r="D330" s="156" t="s">
        <v>531</v>
      </c>
      <c r="E330">
        <v>573595</v>
      </c>
      <c r="F330">
        <v>28052.672900000001</v>
      </c>
      <c r="G330">
        <v>47.854799999999997</v>
      </c>
      <c r="H330">
        <v>1.010122</v>
      </c>
      <c r="I330">
        <v>1</v>
      </c>
      <c r="J330" s="156">
        <v>1</v>
      </c>
      <c r="K330">
        <v>1</v>
      </c>
      <c r="L330">
        <v>1</v>
      </c>
      <c r="M330">
        <v>1</v>
      </c>
      <c r="N330">
        <v>1.010122</v>
      </c>
    </row>
    <row r="331" spans="1:14" x14ac:dyDescent="0.35">
      <c r="A331" s="156" t="s">
        <v>542</v>
      </c>
      <c r="B331" s="52">
        <v>43111</v>
      </c>
      <c r="C331" s="156" t="s">
        <v>531</v>
      </c>
      <c r="D331" s="156" t="s">
        <v>531</v>
      </c>
      <c r="E331">
        <v>877607</v>
      </c>
      <c r="F331">
        <v>44540.792300000001</v>
      </c>
      <c r="G331">
        <v>48.8401</v>
      </c>
      <c r="H331">
        <v>1.0221290000000001</v>
      </c>
      <c r="I331">
        <v>1</v>
      </c>
      <c r="J331" s="156">
        <v>1</v>
      </c>
      <c r="K331">
        <v>1</v>
      </c>
      <c r="L331">
        <v>1</v>
      </c>
      <c r="M331">
        <v>1</v>
      </c>
      <c r="N331">
        <v>1.0221290000000001</v>
      </c>
    </row>
    <row r="332" spans="1:14" x14ac:dyDescent="0.35">
      <c r="A332" s="156" t="s">
        <v>542</v>
      </c>
      <c r="B332" s="52">
        <v>43112</v>
      </c>
      <c r="C332" s="156" t="s">
        <v>531</v>
      </c>
      <c r="D332" s="156" t="s">
        <v>531</v>
      </c>
      <c r="E332">
        <v>848838</v>
      </c>
      <c r="F332">
        <v>42569.721799999999</v>
      </c>
      <c r="G332">
        <v>49.174199999999999</v>
      </c>
      <c r="H332">
        <v>1.0034719999999999</v>
      </c>
      <c r="I332">
        <v>1</v>
      </c>
      <c r="J332" s="156">
        <v>1</v>
      </c>
      <c r="K332">
        <v>1</v>
      </c>
      <c r="L332">
        <v>1</v>
      </c>
      <c r="M332">
        <v>1</v>
      </c>
      <c r="N332">
        <v>1.0034719999999999</v>
      </c>
    </row>
    <row r="333" spans="1:14" x14ac:dyDescent="0.35">
      <c r="A333" s="156" t="s">
        <v>542</v>
      </c>
      <c r="B333" s="52">
        <v>43116</v>
      </c>
      <c r="C333" s="156" t="s">
        <v>531</v>
      </c>
      <c r="D333" s="156" t="s">
        <v>531</v>
      </c>
      <c r="E333">
        <v>906052</v>
      </c>
      <c r="F333">
        <v>45259.903299999998</v>
      </c>
      <c r="G333">
        <v>48.967399999999998</v>
      </c>
      <c r="H333">
        <v>0.98371699999999995</v>
      </c>
      <c r="I333">
        <v>1</v>
      </c>
      <c r="J333" s="156">
        <v>1</v>
      </c>
      <c r="K333">
        <v>1</v>
      </c>
      <c r="L333">
        <v>1</v>
      </c>
      <c r="M333">
        <v>1</v>
      </c>
      <c r="N333">
        <v>0.98371699999999995</v>
      </c>
    </row>
    <row r="334" spans="1:14" x14ac:dyDescent="0.35">
      <c r="A334" s="156" t="s">
        <v>542</v>
      </c>
      <c r="B334" s="52">
        <v>43117</v>
      </c>
      <c r="C334" s="156" t="s">
        <v>531</v>
      </c>
      <c r="D334" s="156" t="s">
        <v>531</v>
      </c>
      <c r="E334">
        <v>517165</v>
      </c>
      <c r="F334">
        <v>26200.0815</v>
      </c>
      <c r="G334">
        <v>49.042900000000003</v>
      </c>
      <c r="H334">
        <v>1.023795</v>
      </c>
      <c r="I334">
        <v>1</v>
      </c>
      <c r="J334" s="156">
        <v>1</v>
      </c>
      <c r="K334">
        <v>1</v>
      </c>
      <c r="L334">
        <v>1</v>
      </c>
      <c r="M334">
        <v>1</v>
      </c>
      <c r="N334">
        <v>1.023795</v>
      </c>
    </row>
    <row r="335" spans="1:14" x14ac:dyDescent="0.35">
      <c r="A335" s="156" t="s">
        <v>542</v>
      </c>
      <c r="B335" s="52">
        <v>43118</v>
      </c>
      <c r="C335" s="156" t="s">
        <v>531</v>
      </c>
      <c r="D335" s="156" t="s">
        <v>531</v>
      </c>
      <c r="E335">
        <v>864936</v>
      </c>
      <c r="F335">
        <v>42811.770299999996</v>
      </c>
      <c r="G335">
        <v>48.802100000000003</v>
      </c>
      <c r="H335">
        <v>0.97736500000000004</v>
      </c>
      <c r="I335">
        <v>1</v>
      </c>
      <c r="J335" s="156">
        <v>1</v>
      </c>
      <c r="K335">
        <v>1</v>
      </c>
      <c r="L335">
        <v>1</v>
      </c>
      <c r="M335">
        <v>1</v>
      </c>
      <c r="N335">
        <v>0.97736500000000004</v>
      </c>
    </row>
    <row r="336" spans="1:14" x14ac:dyDescent="0.35">
      <c r="A336" s="156" t="s">
        <v>542</v>
      </c>
      <c r="B336" s="52">
        <v>43119</v>
      </c>
      <c r="C336" s="156" t="s">
        <v>531</v>
      </c>
      <c r="D336" s="156" t="s">
        <v>531</v>
      </c>
      <c r="E336">
        <v>1490470</v>
      </c>
      <c r="F336">
        <v>72546.607399999994</v>
      </c>
      <c r="G336">
        <v>48.0824</v>
      </c>
      <c r="H336">
        <v>0.97932200000000003</v>
      </c>
      <c r="I336">
        <v>1</v>
      </c>
      <c r="J336" s="156">
        <v>1</v>
      </c>
      <c r="K336">
        <v>1</v>
      </c>
      <c r="L336">
        <v>1</v>
      </c>
      <c r="M336">
        <v>1</v>
      </c>
      <c r="N336">
        <v>0.97932200000000003</v>
      </c>
    </row>
    <row r="337" spans="1:14" x14ac:dyDescent="0.35">
      <c r="A337" s="156" t="s">
        <v>542</v>
      </c>
      <c r="B337" s="52">
        <v>43122</v>
      </c>
      <c r="C337" s="156" t="s">
        <v>531</v>
      </c>
      <c r="D337" s="156" t="s">
        <v>531</v>
      </c>
      <c r="E337">
        <v>714513</v>
      </c>
      <c r="F337">
        <v>35144.3442</v>
      </c>
      <c r="G337">
        <v>48.250100000000003</v>
      </c>
      <c r="H337">
        <v>1.0272380000000001</v>
      </c>
      <c r="I337">
        <v>1</v>
      </c>
      <c r="J337" s="156">
        <v>1</v>
      </c>
      <c r="K337">
        <v>1</v>
      </c>
      <c r="L337">
        <v>1</v>
      </c>
      <c r="M337">
        <v>1</v>
      </c>
      <c r="N337">
        <v>1.0272380000000001</v>
      </c>
    </row>
    <row r="338" spans="1:14" x14ac:dyDescent="0.35">
      <c r="A338" s="156" t="s">
        <v>542</v>
      </c>
      <c r="B338" s="52">
        <v>43123</v>
      </c>
      <c r="C338" s="156" t="s">
        <v>531</v>
      </c>
      <c r="D338" s="156" t="s">
        <v>531</v>
      </c>
      <c r="E338">
        <v>576519</v>
      </c>
      <c r="F338">
        <v>28936.534599999999</v>
      </c>
      <c r="G338">
        <v>49.143000000000001</v>
      </c>
      <c r="H338">
        <v>1.0154160000000001</v>
      </c>
      <c r="I338">
        <v>1</v>
      </c>
      <c r="J338" s="156">
        <v>1</v>
      </c>
      <c r="K338">
        <v>1</v>
      </c>
      <c r="L338">
        <v>1</v>
      </c>
      <c r="M338">
        <v>1</v>
      </c>
      <c r="N338">
        <v>1.0154160000000001</v>
      </c>
    </row>
    <row r="339" spans="1:14" x14ac:dyDescent="0.35">
      <c r="A339" s="156" t="s">
        <v>542</v>
      </c>
      <c r="B339" s="52">
        <v>43124</v>
      </c>
      <c r="C339" s="156" t="s">
        <v>531</v>
      </c>
      <c r="D339" s="156" t="s">
        <v>531</v>
      </c>
      <c r="E339">
        <v>876960</v>
      </c>
      <c r="F339">
        <v>43937.411899999999</v>
      </c>
      <c r="G339">
        <v>48.984499999999997</v>
      </c>
      <c r="H339">
        <v>0.98785400000000001</v>
      </c>
      <c r="I339">
        <v>1</v>
      </c>
      <c r="J339" s="156">
        <v>1</v>
      </c>
      <c r="K339">
        <v>1</v>
      </c>
      <c r="L339">
        <v>1</v>
      </c>
      <c r="M339">
        <v>1</v>
      </c>
      <c r="N339">
        <v>0.98785400000000001</v>
      </c>
    </row>
    <row r="340" spans="1:14" x14ac:dyDescent="0.35">
      <c r="A340" s="156" t="s">
        <v>542</v>
      </c>
      <c r="B340" s="52">
        <v>43125</v>
      </c>
      <c r="C340" s="156" t="s">
        <v>531</v>
      </c>
      <c r="D340" s="156" t="s">
        <v>531</v>
      </c>
      <c r="E340">
        <v>475849</v>
      </c>
      <c r="F340">
        <v>24216.675999999999</v>
      </c>
      <c r="G340">
        <v>49.288400000000003</v>
      </c>
      <c r="H340">
        <v>1.0139339999999999</v>
      </c>
      <c r="I340">
        <v>1</v>
      </c>
      <c r="J340" s="156">
        <v>1</v>
      </c>
      <c r="K340">
        <v>1</v>
      </c>
      <c r="L340">
        <v>1</v>
      </c>
      <c r="M340">
        <v>1</v>
      </c>
      <c r="N340">
        <v>1.0139339999999999</v>
      </c>
    </row>
    <row r="341" spans="1:14" x14ac:dyDescent="0.35">
      <c r="A341" s="156" t="s">
        <v>542</v>
      </c>
      <c r="B341" s="52">
        <v>43126</v>
      </c>
      <c r="C341" s="156" t="s">
        <v>531</v>
      </c>
      <c r="D341" s="156" t="s">
        <v>531</v>
      </c>
      <c r="E341">
        <v>897033</v>
      </c>
      <c r="F341">
        <v>46723.224800000004</v>
      </c>
      <c r="G341">
        <v>51.041499999999999</v>
      </c>
      <c r="H341">
        <v>1.0355700000000001</v>
      </c>
      <c r="I341">
        <v>1</v>
      </c>
      <c r="J341" s="156">
        <v>1</v>
      </c>
      <c r="K341">
        <v>1</v>
      </c>
      <c r="L341">
        <v>1</v>
      </c>
      <c r="M341">
        <v>1</v>
      </c>
      <c r="N341">
        <v>1.0355700000000001</v>
      </c>
    </row>
    <row r="342" spans="1:14" x14ac:dyDescent="0.35">
      <c r="A342" s="156" t="s">
        <v>542</v>
      </c>
      <c r="B342" s="52">
        <v>43129</v>
      </c>
      <c r="C342" s="156" t="s">
        <v>531</v>
      </c>
      <c r="D342" s="156" t="s">
        <v>531</v>
      </c>
      <c r="E342">
        <v>613856</v>
      </c>
      <c r="F342">
        <v>31844.029200000001</v>
      </c>
      <c r="G342">
        <v>50.398499999999999</v>
      </c>
      <c r="H342">
        <v>0.98653400000000002</v>
      </c>
      <c r="I342">
        <v>1</v>
      </c>
      <c r="J342" s="156">
        <v>1</v>
      </c>
      <c r="K342">
        <v>1</v>
      </c>
      <c r="L342">
        <v>1</v>
      </c>
      <c r="M342">
        <v>1</v>
      </c>
      <c r="N342">
        <v>0.98653400000000002</v>
      </c>
    </row>
    <row r="343" spans="1:14" x14ac:dyDescent="0.35">
      <c r="A343" s="156" t="s">
        <v>542</v>
      </c>
      <c r="B343" s="52">
        <v>43130</v>
      </c>
      <c r="C343" s="156" t="s">
        <v>531</v>
      </c>
      <c r="D343" s="156" t="s">
        <v>531</v>
      </c>
      <c r="E343">
        <v>717350</v>
      </c>
      <c r="F343">
        <v>36554.142999999996</v>
      </c>
      <c r="G343">
        <v>49.009900000000002</v>
      </c>
      <c r="H343">
        <v>0.96320499999999998</v>
      </c>
      <c r="I343">
        <v>1</v>
      </c>
      <c r="J343" s="156">
        <v>1</v>
      </c>
      <c r="K343">
        <v>1</v>
      </c>
      <c r="L343">
        <v>1</v>
      </c>
      <c r="M343">
        <v>1</v>
      </c>
      <c r="N343">
        <v>0.96320499999999998</v>
      </c>
    </row>
    <row r="344" spans="1:14" x14ac:dyDescent="0.35">
      <c r="A344" s="156" t="s">
        <v>542</v>
      </c>
      <c r="B344" s="52">
        <v>43131</v>
      </c>
      <c r="C344" s="156" t="s">
        <v>531</v>
      </c>
      <c r="D344" s="156" t="s">
        <v>531</v>
      </c>
      <c r="E344">
        <v>775239</v>
      </c>
      <c r="F344">
        <v>38937.077299999997</v>
      </c>
      <c r="G344">
        <v>48.424799999999998</v>
      </c>
      <c r="H344">
        <v>0.99568699999999999</v>
      </c>
      <c r="I344">
        <v>1</v>
      </c>
      <c r="J344" s="156">
        <v>1</v>
      </c>
      <c r="K344">
        <v>1</v>
      </c>
      <c r="L344">
        <v>1</v>
      </c>
      <c r="M344">
        <v>1</v>
      </c>
      <c r="N344">
        <v>0.99568699999999999</v>
      </c>
    </row>
    <row r="345" spans="1:14" x14ac:dyDescent="0.35">
      <c r="A345" s="156" t="s">
        <v>542</v>
      </c>
      <c r="B345" s="52">
        <v>43132</v>
      </c>
      <c r="C345" s="156" t="s">
        <v>531</v>
      </c>
      <c r="D345" s="156" t="s">
        <v>531</v>
      </c>
      <c r="E345">
        <v>2368000</v>
      </c>
      <c r="F345">
        <v>109743.8092</v>
      </c>
      <c r="G345">
        <v>46.019799999999996</v>
      </c>
      <c r="H345">
        <v>0.94533800000000001</v>
      </c>
      <c r="I345">
        <v>1</v>
      </c>
      <c r="J345" s="156">
        <v>1</v>
      </c>
      <c r="K345">
        <v>1</v>
      </c>
      <c r="L345">
        <v>1</v>
      </c>
      <c r="M345">
        <v>1</v>
      </c>
      <c r="N345">
        <v>0.94533800000000001</v>
      </c>
    </row>
    <row r="346" spans="1:14" x14ac:dyDescent="0.35">
      <c r="A346" s="156" t="s">
        <v>542</v>
      </c>
      <c r="B346" s="52">
        <v>43133</v>
      </c>
      <c r="C346" s="156" t="s">
        <v>531</v>
      </c>
      <c r="D346" s="156" t="s">
        <v>531</v>
      </c>
      <c r="E346">
        <v>1699344</v>
      </c>
      <c r="F346">
        <v>79638.458899999998</v>
      </c>
      <c r="G346">
        <v>46.450299999999999</v>
      </c>
      <c r="H346">
        <v>1.020292</v>
      </c>
      <c r="I346">
        <v>1</v>
      </c>
      <c r="J346" s="156">
        <v>1</v>
      </c>
      <c r="K346">
        <v>1</v>
      </c>
      <c r="L346">
        <v>1</v>
      </c>
      <c r="M346">
        <v>1</v>
      </c>
      <c r="N346">
        <v>1.020292</v>
      </c>
    </row>
    <row r="347" spans="1:14" x14ac:dyDescent="0.35">
      <c r="A347" s="156" t="s">
        <v>542</v>
      </c>
      <c r="B347" s="52">
        <v>43136</v>
      </c>
      <c r="C347" s="156" t="s">
        <v>531</v>
      </c>
      <c r="D347" s="156" t="s">
        <v>531</v>
      </c>
      <c r="E347">
        <v>830944</v>
      </c>
      <c r="F347">
        <v>38677.586199999998</v>
      </c>
      <c r="G347">
        <v>45.988900000000001</v>
      </c>
      <c r="H347">
        <v>0.96450000000000002</v>
      </c>
      <c r="I347">
        <v>1</v>
      </c>
      <c r="J347" s="156">
        <v>1</v>
      </c>
      <c r="K347">
        <v>1</v>
      </c>
      <c r="L347">
        <v>1</v>
      </c>
      <c r="M347">
        <v>1</v>
      </c>
      <c r="N347">
        <v>0.96450000000000002</v>
      </c>
    </row>
    <row r="348" spans="1:14" x14ac:dyDescent="0.35">
      <c r="A348" s="156" t="s">
        <v>542</v>
      </c>
      <c r="B348" s="52">
        <v>43137</v>
      </c>
      <c r="C348" s="156" t="s">
        <v>531</v>
      </c>
      <c r="D348" s="156" t="s">
        <v>531</v>
      </c>
      <c r="E348">
        <v>1159554</v>
      </c>
      <c r="F348">
        <v>52840.129000000001</v>
      </c>
      <c r="G348">
        <v>44.941200000000002</v>
      </c>
      <c r="H348">
        <v>1.0082040000000001</v>
      </c>
      <c r="I348">
        <v>1</v>
      </c>
      <c r="J348" s="156">
        <v>1</v>
      </c>
      <c r="K348">
        <v>1</v>
      </c>
      <c r="L348">
        <v>1</v>
      </c>
      <c r="M348">
        <v>1</v>
      </c>
      <c r="N348">
        <v>1.0082040000000001</v>
      </c>
    </row>
    <row r="349" spans="1:14" x14ac:dyDescent="0.35">
      <c r="A349" s="156" t="s">
        <v>542</v>
      </c>
      <c r="B349" s="52">
        <v>43138</v>
      </c>
      <c r="C349" s="156" t="s">
        <v>531</v>
      </c>
      <c r="D349" s="156" t="s">
        <v>531</v>
      </c>
      <c r="E349">
        <v>1157767</v>
      </c>
      <c r="F349">
        <v>52686.035199999998</v>
      </c>
      <c r="G349">
        <v>44.902099999999997</v>
      </c>
      <c r="H349">
        <v>0.97206899999999996</v>
      </c>
      <c r="I349">
        <v>1</v>
      </c>
      <c r="J349" s="156">
        <v>1</v>
      </c>
      <c r="K349">
        <v>1</v>
      </c>
      <c r="L349">
        <v>1</v>
      </c>
      <c r="M349">
        <v>1</v>
      </c>
      <c r="N349">
        <v>0.97206899999999996</v>
      </c>
    </row>
    <row r="350" spans="1:14" x14ac:dyDescent="0.35">
      <c r="A350" s="156" t="s">
        <v>542</v>
      </c>
      <c r="B350" s="52">
        <v>43139</v>
      </c>
      <c r="C350" s="156" t="s">
        <v>531</v>
      </c>
      <c r="D350" s="156" t="s">
        <v>531</v>
      </c>
      <c r="E350">
        <v>584437</v>
      </c>
      <c r="F350">
        <v>26073.818800000001</v>
      </c>
      <c r="G350">
        <v>43.763800000000003</v>
      </c>
      <c r="H350">
        <v>0.98054300000000005</v>
      </c>
      <c r="I350">
        <v>1</v>
      </c>
      <c r="J350" s="156">
        <v>1</v>
      </c>
      <c r="K350">
        <v>1</v>
      </c>
      <c r="L350">
        <v>1</v>
      </c>
      <c r="M350">
        <v>1</v>
      </c>
      <c r="N350">
        <v>0.98054300000000005</v>
      </c>
    </row>
    <row r="351" spans="1:14" x14ac:dyDescent="0.35">
      <c r="A351" s="156" t="s">
        <v>542</v>
      </c>
      <c r="B351" s="52">
        <v>43140</v>
      </c>
      <c r="C351" s="156" t="s">
        <v>531</v>
      </c>
      <c r="D351" s="156" t="s">
        <v>531</v>
      </c>
      <c r="E351">
        <v>970349</v>
      </c>
      <c r="F351">
        <v>41903.568099999997</v>
      </c>
      <c r="G351">
        <v>42.382300000000001</v>
      </c>
      <c r="H351">
        <v>0.98753999999999997</v>
      </c>
      <c r="I351">
        <v>1</v>
      </c>
      <c r="J351" s="156">
        <v>1</v>
      </c>
      <c r="K351">
        <v>1</v>
      </c>
      <c r="L351">
        <v>1</v>
      </c>
      <c r="M351">
        <v>1</v>
      </c>
      <c r="N351">
        <v>0.98753999999999997</v>
      </c>
    </row>
    <row r="352" spans="1:14" x14ac:dyDescent="0.35">
      <c r="A352" s="156" t="s">
        <v>542</v>
      </c>
      <c r="B352" s="52">
        <v>43143</v>
      </c>
      <c r="C352" s="156" t="s">
        <v>531</v>
      </c>
      <c r="D352" s="156" t="s">
        <v>531</v>
      </c>
      <c r="E352">
        <v>776245</v>
      </c>
      <c r="F352">
        <v>34469.828399999999</v>
      </c>
      <c r="G352">
        <v>43.4696</v>
      </c>
      <c r="H352">
        <v>1.025234</v>
      </c>
      <c r="I352">
        <v>1</v>
      </c>
      <c r="J352" s="156">
        <v>1</v>
      </c>
      <c r="K352">
        <v>1</v>
      </c>
      <c r="L352">
        <v>1</v>
      </c>
      <c r="M352">
        <v>1</v>
      </c>
      <c r="N352">
        <v>1.025234</v>
      </c>
    </row>
    <row r="353" spans="1:14" x14ac:dyDescent="0.35">
      <c r="A353" s="156" t="s">
        <v>542</v>
      </c>
      <c r="B353" s="52">
        <v>43144</v>
      </c>
      <c r="C353" s="156" t="s">
        <v>531</v>
      </c>
      <c r="D353" s="156" t="s">
        <v>531</v>
      </c>
      <c r="E353">
        <v>714422</v>
      </c>
      <c r="F353">
        <v>33673.784899999999</v>
      </c>
      <c r="G353">
        <v>44.828400000000002</v>
      </c>
      <c r="H353">
        <v>1.030538</v>
      </c>
      <c r="I353">
        <v>1</v>
      </c>
      <c r="J353" s="156">
        <v>1</v>
      </c>
      <c r="K353">
        <v>1</v>
      </c>
      <c r="L353">
        <v>1</v>
      </c>
      <c r="M353">
        <v>1</v>
      </c>
      <c r="N353">
        <v>1.030538</v>
      </c>
    </row>
    <row r="354" spans="1:14" x14ac:dyDescent="0.35">
      <c r="A354" s="156" t="s">
        <v>542</v>
      </c>
      <c r="B354" s="52">
        <v>43145</v>
      </c>
      <c r="C354" s="156" t="s">
        <v>531</v>
      </c>
      <c r="D354" s="156" t="s">
        <v>531</v>
      </c>
      <c r="E354">
        <v>1144488</v>
      </c>
      <c r="F354">
        <v>54887.426399999997</v>
      </c>
      <c r="G354">
        <v>47.121200000000002</v>
      </c>
      <c r="H354">
        <v>1.0440069999999999</v>
      </c>
      <c r="I354">
        <v>1</v>
      </c>
      <c r="J354" s="156">
        <v>1</v>
      </c>
      <c r="K354">
        <v>1</v>
      </c>
      <c r="L354">
        <v>1</v>
      </c>
      <c r="M354">
        <v>1</v>
      </c>
      <c r="N354">
        <v>1.0440069999999999</v>
      </c>
    </row>
    <row r="355" spans="1:14" x14ac:dyDescent="0.35">
      <c r="A355" s="156" t="s">
        <v>542</v>
      </c>
      <c r="B355" s="52">
        <v>43146</v>
      </c>
      <c r="C355" s="156" t="s">
        <v>531</v>
      </c>
      <c r="D355" s="156" t="s">
        <v>531</v>
      </c>
      <c r="E355">
        <v>551828</v>
      </c>
      <c r="F355">
        <v>27037.1018</v>
      </c>
      <c r="G355">
        <v>47.938299999999998</v>
      </c>
      <c r="H355">
        <v>1.0233000000000001</v>
      </c>
      <c r="I355">
        <v>1</v>
      </c>
      <c r="J355" s="156">
        <v>1</v>
      </c>
      <c r="K355">
        <v>1</v>
      </c>
      <c r="L355">
        <v>1</v>
      </c>
      <c r="M355">
        <v>1</v>
      </c>
      <c r="N355">
        <v>1.0233000000000001</v>
      </c>
    </row>
    <row r="356" spans="1:14" x14ac:dyDescent="0.35">
      <c r="A356" s="156" t="s">
        <v>542</v>
      </c>
      <c r="B356" s="52">
        <v>43147</v>
      </c>
      <c r="C356" s="156" t="s">
        <v>531</v>
      </c>
      <c r="D356" s="156" t="s">
        <v>531</v>
      </c>
      <c r="E356">
        <v>495011</v>
      </c>
      <c r="F356">
        <v>25156.868299999998</v>
      </c>
      <c r="G356">
        <v>48.337400000000002</v>
      </c>
      <c r="H356">
        <v>1.00207</v>
      </c>
      <c r="I356">
        <v>1</v>
      </c>
      <c r="J356" s="156">
        <v>1</v>
      </c>
      <c r="K356">
        <v>1</v>
      </c>
      <c r="L356">
        <v>1</v>
      </c>
      <c r="M356">
        <v>1</v>
      </c>
      <c r="N356">
        <v>1.00207</v>
      </c>
    </row>
    <row r="357" spans="1:14" x14ac:dyDescent="0.35">
      <c r="A357" s="156" t="s">
        <v>542</v>
      </c>
      <c r="B357" s="52">
        <v>43151</v>
      </c>
      <c r="C357" s="156" t="s">
        <v>531</v>
      </c>
      <c r="D357" s="156" t="s">
        <v>531</v>
      </c>
      <c r="E357">
        <v>963481</v>
      </c>
      <c r="F357">
        <v>48704.046000000002</v>
      </c>
      <c r="G357">
        <v>49.664499999999997</v>
      </c>
      <c r="H357">
        <v>1.0369759999999999</v>
      </c>
      <c r="I357">
        <v>1</v>
      </c>
      <c r="J357" s="156">
        <v>1</v>
      </c>
      <c r="K357">
        <v>1</v>
      </c>
      <c r="L357">
        <v>1</v>
      </c>
      <c r="M357">
        <v>1</v>
      </c>
      <c r="N357">
        <v>1.0369759999999999</v>
      </c>
    </row>
    <row r="358" spans="1:14" x14ac:dyDescent="0.35">
      <c r="A358" s="156" t="s">
        <v>542</v>
      </c>
      <c r="B358" s="52">
        <v>43152</v>
      </c>
      <c r="C358" s="156" t="s">
        <v>531</v>
      </c>
      <c r="D358" s="156" t="s">
        <v>531</v>
      </c>
      <c r="E358">
        <v>997066</v>
      </c>
      <c r="F358">
        <v>51230.448100000001</v>
      </c>
      <c r="G358">
        <v>50.654600000000002</v>
      </c>
      <c r="H358">
        <v>0.99223099999999997</v>
      </c>
      <c r="I358">
        <v>1</v>
      </c>
      <c r="J358" s="156">
        <v>1</v>
      </c>
      <c r="K358">
        <v>1</v>
      </c>
      <c r="L358">
        <v>1</v>
      </c>
      <c r="M358">
        <v>1</v>
      </c>
      <c r="N358">
        <v>0.99223099999999997</v>
      </c>
    </row>
    <row r="359" spans="1:14" x14ac:dyDescent="0.35">
      <c r="A359" s="156" t="s">
        <v>542</v>
      </c>
      <c r="B359" s="52">
        <v>43153</v>
      </c>
      <c r="C359" s="156" t="s">
        <v>531</v>
      </c>
      <c r="D359" s="156" t="s">
        <v>531</v>
      </c>
      <c r="E359">
        <v>1880932</v>
      </c>
      <c r="F359">
        <v>94452.252699999997</v>
      </c>
      <c r="G359">
        <v>49.723999999999997</v>
      </c>
      <c r="H359">
        <v>0.971692</v>
      </c>
      <c r="I359">
        <v>1</v>
      </c>
      <c r="J359" s="156">
        <v>1</v>
      </c>
      <c r="K359">
        <v>1</v>
      </c>
      <c r="L359">
        <v>1</v>
      </c>
      <c r="M359">
        <v>1</v>
      </c>
      <c r="N359">
        <v>0.971692</v>
      </c>
    </row>
    <row r="360" spans="1:14" x14ac:dyDescent="0.35">
      <c r="A360" s="156" t="s">
        <v>542</v>
      </c>
      <c r="B360" s="52">
        <v>43154</v>
      </c>
      <c r="C360" s="156" t="s">
        <v>531</v>
      </c>
      <c r="D360" s="156" t="s">
        <v>531</v>
      </c>
      <c r="E360">
        <v>6229493</v>
      </c>
      <c r="F360">
        <v>368366.27620000002</v>
      </c>
      <c r="G360">
        <v>58.777500000000003</v>
      </c>
      <c r="H360">
        <v>1.2384299999999999</v>
      </c>
      <c r="I360">
        <v>1</v>
      </c>
      <c r="J360" s="156">
        <v>1</v>
      </c>
      <c r="K360">
        <v>1</v>
      </c>
      <c r="L360">
        <v>1</v>
      </c>
      <c r="M360">
        <v>1</v>
      </c>
      <c r="N360">
        <v>1.2384299999999999</v>
      </c>
    </row>
    <row r="361" spans="1:14" x14ac:dyDescent="0.35">
      <c r="A361" s="156" t="s">
        <v>542</v>
      </c>
      <c r="B361" s="52">
        <v>43157</v>
      </c>
      <c r="C361" s="156" t="s">
        <v>531</v>
      </c>
      <c r="D361" s="156" t="s">
        <v>531</v>
      </c>
      <c r="E361">
        <v>2158816</v>
      </c>
      <c r="F361">
        <v>127233.7298</v>
      </c>
      <c r="G361">
        <v>58.459099999999999</v>
      </c>
      <c r="H361">
        <v>0.95712399999999997</v>
      </c>
      <c r="I361">
        <v>1</v>
      </c>
      <c r="J361" s="156">
        <v>1</v>
      </c>
      <c r="K361">
        <v>1</v>
      </c>
      <c r="L361">
        <v>1</v>
      </c>
      <c r="M361">
        <v>1</v>
      </c>
      <c r="N361">
        <v>0.95712399999999997</v>
      </c>
    </row>
    <row r="362" spans="1:14" x14ac:dyDescent="0.35">
      <c r="A362" s="156" t="s">
        <v>542</v>
      </c>
      <c r="B362" s="52">
        <v>43158</v>
      </c>
      <c r="C362" s="156" t="s">
        <v>531</v>
      </c>
      <c r="D362" s="156" t="s">
        <v>531</v>
      </c>
      <c r="E362">
        <v>1197407</v>
      </c>
      <c r="F362">
        <v>71485.808900000004</v>
      </c>
      <c r="G362">
        <v>56.112200000000001</v>
      </c>
      <c r="H362">
        <v>0.96845000000000003</v>
      </c>
      <c r="I362">
        <v>1</v>
      </c>
      <c r="J362" s="156">
        <v>1</v>
      </c>
      <c r="K362">
        <v>1</v>
      </c>
      <c r="L362">
        <v>1</v>
      </c>
      <c r="M362">
        <v>1</v>
      </c>
      <c r="N362">
        <v>0.96845000000000003</v>
      </c>
    </row>
    <row r="363" spans="1:14" x14ac:dyDescent="0.35">
      <c r="A363" s="156" t="s">
        <v>542</v>
      </c>
      <c r="B363" s="52">
        <v>43159</v>
      </c>
      <c r="C363" s="156" t="s">
        <v>531</v>
      </c>
      <c r="D363" s="156" t="s">
        <v>531</v>
      </c>
      <c r="E363">
        <v>1004591</v>
      </c>
      <c r="F363">
        <v>58506.850599999998</v>
      </c>
      <c r="G363">
        <v>56.204900000000002</v>
      </c>
      <c r="H363">
        <v>1.012599</v>
      </c>
      <c r="I363">
        <v>1</v>
      </c>
      <c r="J363" s="156">
        <v>1</v>
      </c>
      <c r="K363">
        <v>1</v>
      </c>
      <c r="L363">
        <v>1</v>
      </c>
      <c r="M363">
        <v>1</v>
      </c>
      <c r="N363">
        <v>1.012599</v>
      </c>
    </row>
    <row r="364" spans="1:14" x14ac:dyDescent="0.35">
      <c r="A364" s="156" t="s">
        <v>542</v>
      </c>
      <c r="B364" s="52">
        <v>43160</v>
      </c>
      <c r="C364" s="156" t="s">
        <v>531</v>
      </c>
      <c r="D364" s="156" t="s">
        <v>531</v>
      </c>
      <c r="E364">
        <v>1220244</v>
      </c>
      <c r="F364">
        <v>67893.405400000003</v>
      </c>
      <c r="G364">
        <v>54.798900000000003</v>
      </c>
      <c r="H364">
        <v>0.96551699999999996</v>
      </c>
      <c r="I364">
        <v>1</v>
      </c>
      <c r="J364" s="156">
        <v>1</v>
      </c>
      <c r="K364">
        <v>1</v>
      </c>
      <c r="L364">
        <v>1</v>
      </c>
      <c r="M364">
        <v>1</v>
      </c>
      <c r="N364">
        <v>0.96551699999999996</v>
      </c>
    </row>
    <row r="365" spans="1:14" x14ac:dyDescent="0.35">
      <c r="A365" s="156" t="s">
        <v>542</v>
      </c>
      <c r="B365" s="52">
        <v>43161</v>
      </c>
      <c r="C365" s="156" t="s">
        <v>531</v>
      </c>
      <c r="D365" s="156" t="s">
        <v>531</v>
      </c>
      <c r="E365">
        <v>1365784</v>
      </c>
      <c r="F365">
        <v>77590.833499999993</v>
      </c>
      <c r="G365">
        <v>56.061500000000002</v>
      </c>
      <c r="H365">
        <v>1.0476799999999999</v>
      </c>
      <c r="I365">
        <v>1</v>
      </c>
      <c r="J365" s="156">
        <v>1</v>
      </c>
      <c r="K365">
        <v>1</v>
      </c>
      <c r="L365">
        <v>1</v>
      </c>
      <c r="M365">
        <v>1</v>
      </c>
      <c r="N365">
        <v>1.0476799999999999</v>
      </c>
    </row>
    <row r="366" spans="1:14" x14ac:dyDescent="0.35">
      <c r="A366" s="156" t="s">
        <v>542</v>
      </c>
      <c r="B366" s="52">
        <v>43164</v>
      </c>
      <c r="C366" s="156" t="s">
        <v>531</v>
      </c>
      <c r="D366" s="156" t="s">
        <v>531</v>
      </c>
      <c r="E366">
        <v>1052602</v>
      </c>
      <c r="F366">
        <v>62368.759700000002</v>
      </c>
      <c r="G366">
        <v>58.002099999999999</v>
      </c>
      <c r="H366">
        <v>1.0233699999999999</v>
      </c>
      <c r="I366">
        <v>1</v>
      </c>
      <c r="J366" s="156">
        <v>1</v>
      </c>
      <c r="K366">
        <v>1</v>
      </c>
      <c r="L366">
        <v>1</v>
      </c>
      <c r="M366">
        <v>1</v>
      </c>
      <c r="N366">
        <v>1.0233699999999999</v>
      </c>
    </row>
    <row r="367" spans="1:14" x14ac:dyDescent="0.35">
      <c r="A367" s="156" t="s">
        <v>542</v>
      </c>
      <c r="B367" s="52">
        <v>43165</v>
      </c>
      <c r="C367" s="156" t="s">
        <v>531</v>
      </c>
      <c r="D367" s="156" t="s">
        <v>531</v>
      </c>
      <c r="E367">
        <v>624653</v>
      </c>
      <c r="F367">
        <v>37424.795100000003</v>
      </c>
      <c r="G367">
        <v>57.962299999999999</v>
      </c>
      <c r="H367">
        <v>0.99570700000000001</v>
      </c>
      <c r="I367">
        <v>1</v>
      </c>
      <c r="J367" s="156">
        <v>1</v>
      </c>
      <c r="K367">
        <v>1</v>
      </c>
      <c r="L367">
        <v>1</v>
      </c>
      <c r="M367">
        <v>1</v>
      </c>
      <c r="N367">
        <v>0.99570700000000001</v>
      </c>
    </row>
    <row r="368" spans="1:14" x14ac:dyDescent="0.35">
      <c r="A368" s="156" t="s">
        <v>542</v>
      </c>
      <c r="B368" s="52">
        <v>43166</v>
      </c>
      <c r="C368" s="156" t="s">
        <v>531</v>
      </c>
      <c r="D368" s="156" t="s">
        <v>531</v>
      </c>
      <c r="E368">
        <v>595093</v>
      </c>
      <c r="F368">
        <v>35965.430999999997</v>
      </c>
      <c r="G368">
        <v>58.533000000000001</v>
      </c>
      <c r="H368">
        <v>1.0120709999999999</v>
      </c>
      <c r="I368">
        <v>1</v>
      </c>
      <c r="J368" s="156">
        <v>1</v>
      </c>
      <c r="K368">
        <v>1</v>
      </c>
      <c r="L368">
        <v>1</v>
      </c>
      <c r="M368">
        <v>1</v>
      </c>
      <c r="N368">
        <v>1.0120709999999999</v>
      </c>
    </row>
    <row r="369" spans="1:14" x14ac:dyDescent="0.35">
      <c r="A369" s="156" t="s">
        <v>542</v>
      </c>
      <c r="B369" s="52">
        <v>43167</v>
      </c>
      <c r="C369" s="156" t="s">
        <v>531</v>
      </c>
      <c r="D369" s="156" t="s">
        <v>531</v>
      </c>
      <c r="E369">
        <v>631580</v>
      </c>
      <c r="F369">
        <v>37692.3338</v>
      </c>
      <c r="G369">
        <v>58.249899999999997</v>
      </c>
      <c r="H369">
        <v>0.98687999999999998</v>
      </c>
      <c r="I369">
        <v>1</v>
      </c>
      <c r="J369" s="156">
        <v>1</v>
      </c>
      <c r="K369">
        <v>1</v>
      </c>
      <c r="L369">
        <v>1</v>
      </c>
      <c r="M369">
        <v>1</v>
      </c>
      <c r="N369">
        <v>0.98687999999999998</v>
      </c>
    </row>
    <row r="370" spans="1:14" x14ac:dyDescent="0.35">
      <c r="A370" s="156" t="s">
        <v>542</v>
      </c>
      <c r="B370" s="52">
        <v>43168</v>
      </c>
      <c r="C370" s="156" t="s">
        <v>531</v>
      </c>
      <c r="D370" s="156" t="s">
        <v>531</v>
      </c>
      <c r="E370">
        <v>558057</v>
      </c>
      <c r="F370">
        <v>35074.032500000001</v>
      </c>
      <c r="G370">
        <v>58.727400000000003</v>
      </c>
      <c r="H370">
        <v>1.016229</v>
      </c>
      <c r="I370">
        <v>1</v>
      </c>
      <c r="J370" s="156">
        <v>1</v>
      </c>
      <c r="K370">
        <v>1</v>
      </c>
      <c r="L370">
        <v>1</v>
      </c>
      <c r="M370">
        <v>1</v>
      </c>
      <c r="N370">
        <v>1.016229</v>
      </c>
    </row>
    <row r="371" spans="1:14" x14ac:dyDescent="0.35">
      <c r="A371" s="156" t="s">
        <v>542</v>
      </c>
      <c r="B371" s="52">
        <v>43171</v>
      </c>
      <c r="C371" s="156" t="s">
        <v>531</v>
      </c>
      <c r="D371" s="156" t="s">
        <v>531</v>
      </c>
      <c r="E371">
        <v>498237</v>
      </c>
      <c r="F371">
        <v>30363.638500000001</v>
      </c>
      <c r="G371">
        <v>59.4009</v>
      </c>
      <c r="H371">
        <v>1.0113829999999999</v>
      </c>
      <c r="I371">
        <v>1</v>
      </c>
      <c r="J371" s="156">
        <v>1</v>
      </c>
      <c r="K371">
        <v>1</v>
      </c>
      <c r="L371">
        <v>1</v>
      </c>
      <c r="M371">
        <v>1</v>
      </c>
      <c r="N371">
        <v>1.0113829999999999</v>
      </c>
    </row>
    <row r="372" spans="1:14" x14ac:dyDescent="0.35">
      <c r="A372" s="156" t="s">
        <v>542</v>
      </c>
      <c r="B372" s="52">
        <v>43172</v>
      </c>
      <c r="C372" s="156" t="s">
        <v>531</v>
      </c>
      <c r="D372" s="156" t="s">
        <v>531</v>
      </c>
      <c r="E372">
        <v>556080</v>
      </c>
      <c r="F372">
        <v>33586.3946</v>
      </c>
      <c r="G372">
        <v>58.369500000000002</v>
      </c>
      <c r="H372">
        <v>0.97345899999999996</v>
      </c>
      <c r="I372">
        <v>1</v>
      </c>
      <c r="J372" s="156">
        <v>1</v>
      </c>
      <c r="K372">
        <v>1</v>
      </c>
      <c r="L372">
        <v>1</v>
      </c>
      <c r="M372">
        <v>1</v>
      </c>
      <c r="N372">
        <v>0.97345899999999996</v>
      </c>
    </row>
    <row r="373" spans="1:14" x14ac:dyDescent="0.35">
      <c r="A373" s="156" t="s">
        <v>542</v>
      </c>
      <c r="B373" s="52">
        <v>43173</v>
      </c>
      <c r="C373" s="156" t="s">
        <v>531</v>
      </c>
      <c r="D373" s="156" t="s">
        <v>531</v>
      </c>
      <c r="E373">
        <v>823221</v>
      </c>
      <c r="F373">
        <v>50790.283000000003</v>
      </c>
      <c r="G373">
        <v>58.7986</v>
      </c>
      <c r="H373">
        <v>1.010699</v>
      </c>
      <c r="I373">
        <v>1</v>
      </c>
      <c r="J373" s="156">
        <v>1</v>
      </c>
      <c r="K373">
        <v>1</v>
      </c>
      <c r="L373">
        <v>1</v>
      </c>
      <c r="M373">
        <v>1</v>
      </c>
      <c r="N373">
        <v>1.010699</v>
      </c>
    </row>
    <row r="374" spans="1:14" x14ac:dyDescent="0.35">
      <c r="A374" s="156" t="s">
        <v>542</v>
      </c>
      <c r="B374" s="52">
        <v>43174</v>
      </c>
      <c r="C374" s="156" t="s">
        <v>531</v>
      </c>
      <c r="D374" s="156" t="s">
        <v>531</v>
      </c>
      <c r="E374">
        <v>557825</v>
      </c>
      <c r="F374">
        <v>34522.911200000002</v>
      </c>
      <c r="G374">
        <v>58.387599999999999</v>
      </c>
      <c r="H374">
        <v>0.99692700000000001</v>
      </c>
      <c r="I374">
        <v>1</v>
      </c>
      <c r="J374" s="156">
        <v>1</v>
      </c>
      <c r="K374">
        <v>1</v>
      </c>
      <c r="L374">
        <v>1</v>
      </c>
      <c r="M374">
        <v>1</v>
      </c>
      <c r="N374">
        <v>0.99692700000000001</v>
      </c>
    </row>
    <row r="375" spans="1:14" x14ac:dyDescent="0.35">
      <c r="A375" s="156" t="s">
        <v>542</v>
      </c>
      <c r="B375" s="52">
        <v>43175</v>
      </c>
      <c r="C375" s="156" t="s">
        <v>531</v>
      </c>
      <c r="D375" s="156" t="s">
        <v>531</v>
      </c>
      <c r="E375">
        <v>769122</v>
      </c>
      <c r="F375">
        <v>50003.479299999999</v>
      </c>
      <c r="G375">
        <v>57.981499999999997</v>
      </c>
      <c r="H375">
        <v>0.99177899999999997</v>
      </c>
      <c r="I375">
        <v>1</v>
      </c>
      <c r="J375" s="156">
        <v>1</v>
      </c>
      <c r="K375">
        <v>1</v>
      </c>
      <c r="L375">
        <v>1</v>
      </c>
      <c r="M375">
        <v>1</v>
      </c>
      <c r="N375">
        <v>0.99177899999999997</v>
      </c>
    </row>
    <row r="376" spans="1:14" x14ac:dyDescent="0.35">
      <c r="A376" s="156" t="s">
        <v>542</v>
      </c>
      <c r="B376" s="52">
        <v>43178</v>
      </c>
      <c r="C376" s="156" t="s">
        <v>531</v>
      </c>
      <c r="D376" s="156" t="s">
        <v>531</v>
      </c>
      <c r="E376">
        <v>962365</v>
      </c>
      <c r="F376">
        <v>56163.689599999998</v>
      </c>
      <c r="G376">
        <v>56.055500000000002</v>
      </c>
      <c r="H376">
        <v>0.96011000000000002</v>
      </c>
      <c r="I376">
        <v>1</v>
      </c>
      <c r="J376" s="156">
        <v>1</v>
      </c>
      <c r="K376">
        <v>1</v>
      </c>
      <c r="L376">
        <v>1</v>
      </c>
      <c r="M376">
        <v>1</v>
      </c>
      <c r="N376">
        <v>0.96011000000000002</v>
      </c>
    </row>
    <row r="377" spans="1:14" x14ac:dyDescent="0.35">
      <c r="A377" s="156" t="s">
        <v>542</v>
      </c>
      <c r="B377" s="52">
        <v>43179</v>
      </c>
      <c r="C377" s="156" t="s">
        <v>531</v>
      </c>
      <c r="D377" s="156" t="s">
        <v>531</v>
      </c>
      <c r="E377">
        <v>738071</v>
      </c>
      <c r="F377">
        <v>46158.887999999999</v>
      </c>
      <c r="G377">
        <v>56.487099999999998</v>
      </c>
      <c r="H377">
        <v>1.02518</v>
      </c>
      <c r="I377">
        <v>1</v>
      </c>
      <c r="J377" s="156">
        <v>1</v>
      </c>
      <c r="K377">
        <v>1</v>
      </c>
      <c r="L377">
        <v>1</v>
      </c>
      <c r="M377">
        <v>1</v>
      </c>
      <c r="N377">
        <v>1.02518</v>
      </c>
    </row>
    <row r="378" spans="1:14" x14ac:dyDescent="0.35">
      <c r="A378" s="156" t="s">
        <v>542</v>
      </c>
      <c r="B378" s="52">
        <v>43180</v>
      </c>
      <c r="C378" s="156" t="s">
        <v>531</v>
      </c>
      <c r="D378" s="156" t="s">
        <v>531</v>
      </c>
      <c r="E378">
        <v>490489</v>
      </c>
      <c r="F378">
        <v>30079.296200000001</v>
      </c>
      <c r="G378">
        <v>56.731699999999996</v>
      </c>
      <c r="H378">
        <v>0.99140300000000003</v>
      </c>
      <c r="I378">
        <v>1</v>
      </c>
      <c r="J378" s="156">
        <v>1</v>
      </c>
      <c r="K378">
        <v>1</v>
      </c>
      <c r="L378">
        <v>1</v>
      </c>
      <c r="M378">
        <v>1</v>
      </c>
      <c r="N378">
        <v>0.99140300000000003</v>
      </c>
    </row>
    <row r="379" spans="1:14" x14ac:dyDescent="0.35">
      <c r="A379" s="156" t="s">
        <v>542</v>
      </c>
      <c r="B379" s="52">
        <v>43181</v>
      </c>
      <c r="C379" s="156" t="s">
        <v>531</v>
      </c>
      <c r="D379" s="156" t="s">
        <v>531</v>
      </c>
      <c r="E379">
        <v>632680</v>
      </c>
      <c r="F379">
        <v>35816.7399</v>
      </c>
      <c r="G379">
        <v>55.175800000000002</v>
      </c>
      <c r="H379">
        <v>0.964785</v>
      </c>
      <c r="I379">
        <v>1</v>
      </c>
      <c r="J379" s="156">
        <v>1</v>
      </c>
      <c r="K379">
        <v>1</v>
      </c>
      <c r="L379">
        <v>1</v>
      </c>
      <c r="M379">
        <v>1</v>
      </c>
      <c r="N379">
        <v>0.964785</v>
      </c>
    </row>
    <row r="380" spans="1:14" x14ac:dyDescent="0.35">
      <c r="A380" s="156" t="s">
        <v>542</v>
      </c>
      <c r="B380" s="52">
        <v>43182</v>
      </c>
      <c r="C380" s="156" t="s">
        <v>531</v>
      </c>
      <c r="D380" s="156" t="s">
        <v>531</v>
      </c>
      <c r="E380">
        <v>656613</v>
      </c>
      <c r="F380">
        <v>39180.937700000002</v>
      </c>
      <c r="G380">
        <v>53.913899999999998</v>
      </c>
      <c r="H380">
        <v>0.97835700000000003</v>
      </c>
      <c r="I380">
        <v>1</v>
      </c>
      <c r="J380" s="156">
        <v>1</v>
      </c>
      <c r="K380">
        <v>1</v>
      </c>
      <c r="L380">
        <v>1</v>
      </c>
      <c r="M380">
        <v>1</v>
      </c>
      <c r="N380">
        <v>0.97835700000000003</v>
      </c>
    </row>
    <row r="381" spans="1:14" x14ac:dyDescent="0.35">
      <c r="A381" s="156" t="s">
        <v>542</v>
      </c>
      <c r="B381" s="52">
        <v>43185</v>
      </c>
      <c r="C381" s="156" t="s">
        <v>531</v>
      </c>
      <c r="D381" s="156" t="s">
        <v>531</v>
      </c>
      <c r="E381">
        <v>591882</v>
      </c>
      <c r="F381">
        <v>33108.315199999997</v>
      </c>
      <c r="G381">
        <v>54.751199999999997</v>
      </c>
      <c r="H381">
        <v>1.0352459999999999</v>
      </c>
      <c r="I381">
        <v>1</v>
      </c>
      <c r="J381" s="156">
        <v>1</v>
      </c>
      <c r="K381">
        <v>1</v>
      </c>
      <c r="L381">
        <v>1</v>
      </c>
      <c r="M381">
        <v>1</v>
      </c>
      <c r="N381">
        <v>1.0352459999999999</v>
      </c>
    </row>
    <row r="382" spans="1:14" x14ac:dyDescent="0.35">
      <c r="A382" s="156" t="s">
        <v>542</v>
      </c>
      <c r="B382" s="52">
        <v>43186</v>
      </c>
      <c r="C382" s="156" t="s">
        <v>531</v>
      </c>
      <c r="D382" s="156" t="s">
        <v>531</v>
      </c>
      <c r="E382">
        <v>1010999</v>
      </c>
      <c r="F382">
        <v>54833.898099999999</v>
      </c>
      <c r="G382">
        <v>53.512</v>
      </c>
      <c r="H382">
        <v>0.94603400000000004</v>
      </c>
      <c r="I382">
        <v>1</v>
      </c>
      <c r="J382" s="156">
        <v>1</v>
      </c>
      <c r="K382">
        <v>1</v>
      </c>
      <c r="L382">
        <v>1</v>
      </c>
      <c r="M382">
        <v>1</v>
      </c>
      <c r="N382">
        <v>0.94603400000000004</v>
      </c>
    </row>
    <row r="383" spans="1:14" x14ac:dyDescent="0.35">
      <c r="A383" s="156" t="s">
        <v>542</v>
      </c>
      <c r="B383" s="52">
        <v>43187</v>
      </c>
      <c r="C383" s="156" t="s">
        <v>531</v>
      </c>
      <c r="D383" s="156" t="s">
        <v>531</v>
      </c>
      <c r="E383">
        <v>1118888</v>
      </c>
      <c r="F383">
        <v>58158.425600000002</v>
      </c>
      <c r="G383">
        <v>51.322800000000001</v>
      </c>
      <c r="H383">
        <v>0.97549799999999998</v>
      </c>
      <c r="I383">
        <v>1</v>
      </c>
      <c r="J383" s="156">
        <v>1</v>
      </c>
      <c r="K383">
        <v>1</v>
      </c>
      <c r="L383">
        <v>1</v>
      </c>
      <c r="M383">
        <v>1</v>
      </c>
      <c r="N383">
        <v>0.97549799999999998</v>
      </c>
    </row>
    <row r="384" spans="1:14" x14ac:dyDescent="0.35">
      <c r="A384" s="156" t="s">
        <v>542</v>
      </c>
      <c r="B384" s="52">
        <v>43188</v>
      </c>
      <c r="C384" s="156" t="s">
        <v>531</v>
      </c>
      <c r="D384" s="156" t="s">
        <v>531</v>
      </c>
      <c r="E384">
        <v>2356107</v>
      </c>
      <c r="F384">
        <v>117559.2113</v>
      </c>
      <c r="G384">
        <v>48.8613</v>
      </c>
      <c r="H384">
        <v>0.97370500000000004</v>
      </c>
      <c r="I384">
        <v>1</v>
      </c>
      <c r="J384" s="156">
        <v>1</v>
      </c>
      <c r="K384">
        <v>1</v>
      </c>
      <c r="L384">
        <v>1</v>
      </c>
      <c r="M384">
        <v>1</v>
      </c>
      <c r="N384">
        <v>0.97370500000000004</v>
      </c>
    </row>
    <row r="385" spans="1:14" x14ac:dyDescent="0.35">
      <c r="A385" s="156" t="s">
        <v>542</v>
      </c>
      <c r="B385" s="52">
        <v>43192</v>
      </c>
      <c r="C385" s="156" t="s">
        <v>531</v>
      </c>
      <c r="D385" s="156" t="s">
        <v>531</v>
      </c>
      <c r="E385">
        <v>860760</v>
      </c>
      <c r="F385">
        <v>42291.131500000003</v>
      </c>
      <c r="G385">
        <v>48.162399999999998</v>
      </c>
      <c r="H385">
        <v>0.967553</v>
      </c>
      <c r="I385">
        <v>1</v>
      </c>
      <c r="J385" s="156">
        <v>1</v>
      </c>
      <c r="K385">
        <v>1</v>
      </c>
      <c r="L385">
        <v>1</v>
      </c>
      <c r="M385">
        <v>1</v>
      </c>
      <c r="N385">
        <v>0.967553</v>
      </c>
    </row>
    <row r="386" spans="1:14" x14ac:dyDescent="0.35">
      <c r="A386" s="156" t="s">
        <v>542</v>
      </c>
      <c r="B386" s="52">
        <v>43193</v>
      </c>
      <c r="C386" s="156" t="s">
        <v>531</v>
      </c>
      <c r="D386" s="156" t="s">
        <v>531</v>
      </c>
      <c r="E386">
        <v>759746</v>
      </c>
      <c r="F386">
        <v>37382.058400000002</v>
      </c>
      <c r="G386">
        <v>47.758800000000001</v>
      </c>
      <c r="H386">
        <v>0.98854399999999998</v>
      </c>
      <c r="I386">
        <v>1</v>
      </c>
      <c r="J386" s="156">
        <v>1</v>
      </c>
      <c r="K386">
        <v>1</v>
      </c>
      <c r="L386">
        <v>1</v>
      </c>
      <c r="M386">
        <v>1</v>
      </c>
      <c r="N386">
        <v>0.98854399999999998</v>
      </c>
    </row>
    <row r="387" spans="1:14" x14ac:dyDescent="0.35">
      <c r="A387" s="156" t="s">
        <v>542</v>
      </c>
      <c r="B387" s="52">
        <v>43194</v>
      </c>
      <c r="C387" s="156" t="s">
        <v>531</v>
      </c>
      <c r="D387" s="156" t="s">
        <v>531</v>
      </c>
      <c r="E387">
        <v>771761</v>
      </c>
      <c r="F387">
        <v>37394.385900000001</v>
      </c>
      <c r="G387">
        <v>46.969900000000003</v>
      </c>
      <c r="H387">
        <v>1.009271</v>
      </c>
      <c r="I387">
        <v>1</v>
      </c>
      <c r="J387" s="156">
        <v>1</v>
      </c>
      <c r="K387">
        <v>1</v>
      </c>
      <c r="L387">
        <v>1</v>
      </c>
      <c r="M387">
        <v>1</v>
      </c>
      <c r="N387">
        <v>1.009271</v>
      </c>
    </row>
    <row r="388" spans="1:14" x14ac:dyDescent="0.35">
      <c r="A388" s="156" t="s">
        <v>542</v>
      </c>
      <c r="B388" s="52">
        <v>43195</v>
      </c>
      <c r="C388" s="156" t="s">
        <v>531</v>
      </c>
      <c r="D388" s="156" t="s">
        <v>531</v>
      </c>
      <c r="E388">
        <v>1406366</v>
      </c>
      <c r="F388">
        <v>71808.825299999997</v>
      </c>
      <c r="G388">
        <v>49.588000000000001</v>
      </c>
      <c r="H388">
        <v>1.022756</v>
      </c>
      <c r="I388">
        <v>1</v>
      </c>
      <c r="J388" s="156">
        <v>1</v>
      </c>
      <c r="K388">
        <v>1</v>
      </c>
      <c r="L388">
        <v>1</v>
      </c>
      <c r="M388">
        <v>1</v>
      </c>
      <c r="N388">
        <v>1.022756</v>
      </c>
    </row>
    <row r="389" spans="1:14" x14ac:dyDescent="0.35">
      <c r="A389" s="156" t="s">
        <v>542</v>
      </c>
      <c r="B389" s="52">
        <v>43196</v>
      </c>
      <c r="C389" s="156" t="s">
        <v>531</v>
      </c>
      <c r="D389" s="156" t="s">
        <v>531</v>
      </c>
      <c r="E389">
        <v>512971</v>
      </c>
      <c r="F389">
        <v>25673.1839</v>
      </c>
      <c r="G389">
        <v>48.226399999999998</v>
      </c>
      <c r="H389">
        <v>0.97326000000000001</v>
      </c>
      <c r="I389">
        <v>1</v>
      </c>
      <c r="J389" s="156">
        <v>1</v>
      </c>
      <c r="K389">
        <v>1</v>
      </c>
      <c r="L389">
        <v>1</v>
      </c>
      <c r="M389">
        <v>1</v>
      </c>
      <c r="N389">
        <v>0.97326000000000001</v>
      </c>
    </row>
    <row r="390" spans="1:14" x14ac:dyDescent="0.35">
      <c r="A390" s="156" t="s">
        <v>542</v>
      </c>
      <c r="B390" s="52">
        <v>43199</v>
      </c>
      <c r="C390" s="156" t="s">
        <v>531</v>
      </c>
      <c r="D390" s="156" t="s">
        <v>531</v>
      </c>
      <c r="E390">
        <v>581654</v>
      </c>
      <c r="F390">
        <v>28969.0399</v>
      </c>
      <c r="G390">
        <v>48.417000000000002</v>
      </c>
      <c r="H390">
        <v>1.0054529999999999</v>
      </c>
      <c r="I390">
        <v>1</v>
      </c>
      <c r="J390" s="156">
        <v>1</v>
      </c>
      <c r="K390">
        <v>1</v>
      </c>
      <c r="L390">
        <v>1</v>
      </c>
      <c r="M390">
        <v>1</v>
      </c>
      <c r="N390">
        <v>1.0054529999999999</v>
      </c>
    </row>
    <row r="391" spans="1:14" x14ac:dyDescent="0.35">
      <c r="A391" s="156" t="s">
        <v>542</v>
      </c>
      <c r="B391" s="52">
        <v>43200</v>
      </c>
      <c r="C391" s="156" t="s">
        <v>531</v>
      </c>
      <c r="D391" s="156" t="s">
        <v>531</v>
      </c>
      <c r="E391">
        <v>542288</v>
      </c>
      <c r="F391">
        <v>27556.030900000002</v>
      </c>
      <c r="G391">
        <v>49.313299999999998</v>
      </c>
      <c r="H391">
        <v>1.037547</v>
      </c>
      <c r="I391">
        <v>1</v>
      </c>
      <c r="J391" s="156">
        <v>1</v>
      </c>
      <c r="K391">
        <v>1</v>
      </c>
      <c r="L391">
        <v>1</v>
      </c>
      <c r="M391">
        <v>1</v>
      </c>
      <c r="N391">
        <v>1.037547</v>
      </c>
    </row>
    <row r="392" spans="1:14" x14ac:dyDescent="0.35">
      <c r="A392" s="156" t="s">
        <v>542</v>
      </c>
      <c r="B392" s="52">
        <v>43201</v>
      </c>
      <c r="C392" s="156" t="s">
        <v>531</v>
      </c>
      <c r="D392" s="156" t="s">
        <v>531</v>
      </c>
      <c r="E392">
        <v>666893</v>
      </c>
      <c r="F392">
        <v>35086.892</v>
      </c>
      <c r="G392">
        <v>50.704599999999999</v>
      </c>
      <c r="H392">
        <v>1.0225169999999999</v>
      </c>
      <c r="I392">
        <v>1</v>
      </c>
      <c r="J392" s="156">
        <v>1</v>
      </c>
      <c r="K392">
        <v>1</v>
      </c>
      <c r="L392">
        <v>1</v>
      </c>
      <c r="M392">
        <v>1</v>
      </c>
      <c r="N392">
        <v>1.0225169999999999</v>
      </c>
    </row>
    <row r="393" spans="1:14" x14ac:dyDescent="0.35">
      <c r="A393" s="156" t="s">
        <v>542</v>
      </c>
      <c r="B393" s="52">
        <v>43202</v>
      </c>
      <c r="C393" s="156" t="s">
        <v>531</v>
      </c>
      <c r="D393" s="156" t="s">
        <v>531</v>
      </c>
      <c r="E393">
        <v>535364</v>
      </c>
      <c r="F393">
        <v>28359.618900000001</v>
      </c>
      <c r="G393">
        <v>51.839599999999997</v>
      </c>
      <c r="H393">
        <v>1.024184</v>
      </c>
      <c r="I393">
        <v>1</v>
      </c>
      <c r="J393" s="156">
        <v>1</v>
      </c>
      <c r="K393">
        <v>1</v>
      </c>
      <c r="L393">
        <v>1</v>
      </c>
      <c r="M393">
        <v>1</v>
      </c>
      <c r="N393">
        <v>1.024184</v>
      </c>
    </row>
    <row r="394" spans="1:14" x14ac:dyDescent="0.35">
      <c r="A394" s="156" t="s">
        <v>542</v>
      </c>
      <c r="B394" s="52">
        <v>43203</v>
      </c>
      <c r="C394" s="156" t="s">
        <v>531</v>
      </c>
      <c r="D394" s="156" t="s">
        <v>531</v>
      </c>
      <c r="E394">
        <v>852806</v>
      </c>
      <c r="F394">
        <v>45314.646999999997</v>
      </c>
      <c r="G394">
        <v>52.428800000000003</v>
      </c>
      <c r="H394">
        <v>1.0038400000000001</v>
      </c>
      <c r="I394">
        <v>1</v>
      </c>
      <c r="J394" s="156">
        <v>1</v>
      </c>
      <c r="K394">
        <v>1</v>
      </c>
      <c r="L394">
        <v>1</v>
      </c>
      <c r="M394">
        <v>1</v>
      </c>
      <c r="N394">
        <v>1.0038400000000001</v>
      </c>
    </row>
    <row r="395" spans="1:14" x14ac:dyDescent="0.35">
      <c r="A395" s="156" t="s">
        <v>542</v>
      </c>
      <c r="B395" s="52">
        <v>43206</v>
      </c>
      <c r="C395" s="156" t="s">
        <v>531</v>
      </c>
      <c r="D395" s="156" t="s">
        <v>531</v>
      </c>
      <c r="E395">
        <v>627495</v>
      </c>
      <c r="F395">
        <v>34789.055999999997</v>
      </c>
      <c r="G395">
        <v>52.475700000000003</v>
      </c>
      <c r="H395">
        <v>1.0051639999999999</v>
      </c>
      <c r="I395">
        <v>1</v>
      </c>
      <c r="J395" s="156">
        <v>1</v>
      </c>
      <c r="K395">
        <v>1</v>
      </c>
      <c r="L395">
        <v>1</v>
      </c>
      <c r="M395">
        <v>1</v>
      </c>
      <c r="N395">
        <v>1.0051639999999999</v>
      </c>
    </row>
    <row r="396" spans="1:14" x14ac:dyDescent="0.35">
      <c r="A396" s="156" t="s">
        <v>542</v>
      </c>
      <c r="B396" s="52">
        <v>43207</v>
      </c>
      <c r="C396" s="156" t="s">
        <v>531</v>
      </c>
      <c r="D396" s="156" t="s">
        <v>531</v>
      </c>
      <c r="E396">
        <v>693092</v>
      </c>
      <c r="F396">
        <v>38680.813099999999</v>
      </c>
      <c r="G396">
        <v>54.423000000000002</v>
      </c>
      <c r="H396">
        <v>1.031393</v>
      </c>
      <c r="I396">
        <v>1</v>
      </c>
      <c r="J396" s="156">
        <v>1</v>
      </c>
      <c r="K396">
        <v>1</v>
      </c>
      <c r="L396">
        <v>1</v>
      </c>
      <c r="M396">
        <v>1</v>
      </c>
      <c r="N396">
        <v>1.031393</v>
      </c>
    </row>
    <row r="397" spans="1:14" x14ac:dyDescent="0.35">
      <c r="A397" s="156" t="s">
        <v>542</v>
      </c>
      <c r="B397" s="52">
        <v>43208</v>
      </c>
      <c r="C397" s="156" t="s">
        <v>531</v>
      </c>
      <c r="D397" s="156" t="s">
        <v>531</v>
      </c>
      <c r="E397">
        <v>435746</v>
      </c>
      <c r="F397">
        <v>24444.524399999998</v>
      </c>
      <c r="G397">
        <v>54.0259</v>
      </c>
      <c r="H397">
        <v>0.99704899999999996</v>
      </c>
      <c r="I397">
        <v>1</v>
      </c>
      <c r="J397" s="156">
        <v>1</v>
      </c>
      <c r="K397">
        <v>1</v>
      </c>
      <c r="L397">
        <v>1</v>
      </c>
      <c r="M397">
        <v>1</v>
      </c>
      <c r="N397">
        <v>0.99704899999999996</v>
      </c>
    </row>
    <row r="398" spans="1:14" x14ac:dyDescent="0.35">
      <c r="A398" s="156" t="s">
        <v>542</v>
      </c>
      <c r="B398" s="52">
        <v>43209</v>
      </c>
      <c r="C398" s="156" t="s">
        <v>531</v>
      </c>
      <c r="D398" s="156" t="s">
        <v>531</v>
      </c>
      <c r="E398">
        <v>356100</v>
      </c>
      <c r="F398">
        <v>19773.8393</v>
      </c>
      <c r="G398">
        <v>53.813000000000002</v>
      </c>
      <c r="H398">
        <v>0.99870499999999995</v>
      </c>
      <c r="I398">
        <v>1</v>
      </c>
      <c r="J398" s="156">
        <v>1</v>
      </c>
      <c r="K398">
        <v>1</v>
      </c>
      <c r="L398">
        <v>1</v>
      </c>
      <c r="M398">
        <v>1</v>
      </c>
      <c r="N398">
        <v>0.99870499999999995</v>
      </c>
    </row>
    <row r="399" spans="1:14" x14ac:dyDescent="0.35">
      <c r="A399" s="156" t="s">
        <v>542</v>
      </c>
      <c r="B399" s="52">
        <v>43210</v>
      </c>
      <c r="C399" s="156" t="s">
        <v>531</v>
      </c>
      <c r="D399" s="156" t="s">
        <v>531</v>
      </c>
      <c r="E399">
        <v>348520</v>
      </c>
      <c r="F399">
        <v>19718.494600000002</v>
      </c>
      <c r="G399">
        <v>53.987099999999998</v>
      </c>
      <c r="H399">
        <v>1.0027790000000001</v>
      </c>
      <c r="I399">
        <v>1</v>
      </c>
      <c r="J399" s="156">
        <v>1</v>
      </c>
      <c r="K399">
        <v>1</v>
      </c>
      <c r="L399">
        <v>1</v>
      </c>
      <c r="M399">
        <v>1</v>
      </c>
      <c r="N399">
        <v>1.0027790000000001</v>
      </c>
    </row>
    <row r="400" spans="1:14" x14ac:dyDescent="0.35">
      <c r="A400" s="156" t="s">
        <v>542</v>
      </c>
      <c r="B400" s="52">
        <v>43213</v>
      </c>
      <c r="C400" s="156" t="s">
        <v>531</v>
      </c>
      <c r="D400" s="156" t="s">
        <v>531</v>
      </c>
      <c r="E400">
        <v>296746</v>
      </c>
      <c r="F400">
        <v>16516.715199999999</v>
      </c>
      <c r="G400">
        <v>53.906700000000001</v>
      </c>
      <c r="H400">
        <v>0.99242600000000003</v>
      </c>
      <c r="I400">
        <v>1</v>
      </c>
      <c r="J400" s="156">
        <v>1</v>
      </c>
      <c r="K400">
        <v>1</v>
      </c>
      <c r="L400">
        <v>1</v>
      </c>
      <c r="M400">
        <v>1</v>
      </c>
      <c r="N400">
        <v>0.99242600000000003</v>
      </c>
    </row>
    <row r="401" spans="1:14" x14ac:dyDescent="0.35">
      <c r="A401" s="156" t="s">
        <v>542</v>
      </c>
      <c r="B401" s="52">
        <v>43214</v>
      </c>
      <c r="C401" s="156" t="s">
        <v>531</v>
      </c>
      <c r="D401" s="156" t="s">
        <v>531</v>
      </c>
      <c r="E401">
        <v>495449</v>
      </c>
      <c r="F401">
        <v>27175.044399999999</v>
      </c>
      <c r="G401">
        <v>52.783799999999999</v>
      </c>
      <c r="H401">
        <v>0.97728999999999999</v>
      </c>
      <c r="I401">
        <v>1</v>
      </c>
      <c r="J401" s="156">
        <v>1</v>
      </c>
      <c r="K401">
        <v>1</v>
      </c>
      <c r="L401">
        <v>1</v>
      </c>
      <c r="M401">
        <v>1</v>
      </c>
      <c r="N401">
        <v>0.97728999999999999</v>
      </c>
    </row>
    <row r="402" spans="1:14" x14ac:dyDescent="0.35">
      <c r="A402" s="156" t="s">
        <v>542</v>
      </c>
      <c r="B402" s="52">
        <v>43215</v>
      </c>
      <c r="C402" s="156" t="s">
        <v>531</v>
      </c>
      <c r="D402" s="156" t="s">
        <v>531</v>
      </c>
      <c r="E402">
        <v>674964</v>
      </c>
      <c r="F402">
        <v>35714.430699999997</v>
      </c>
      <c r="G402">
        <v>51.3917</v>
      </c>
      <c r="H402">
        <v>0.97161900000000001</v>
      </c>
      <c r="I402">
        <v>1</v>
      </c>
      <c r="J402" s="156">
        <v>1</v>
      </c>
      <c r="K402">
        <v>1</v>
      </c>
      <c r="L402">
        <v>1</v>
      </c>
      <c r="M402">
        <v>1</v>
      </c>
      <c r="N402">
        <v>0.97161900000000001</v>
      </c>
    </row>
    <row r="403" spans="1:14" x14ac:dyDescent="0.35">
      <c r="A403" s="156" t="s">
        <v>542</v>
      </c>
      <c r="B403" s="52">
        <v>43216</v>
      </c>
      <c r="C403" s="156" t="s">
        <v>531</v>
      </c>
      <c r="D403" s="156" t="s">
        <v>531</v>
      </c>
      <c r="E403">
        <v>474407</v>
      </c>
      <c r="F403">
        <v>25309.0265</v>
      </c>
      <c r="G403">
        <v>52.2288</v>
      </c>
      <c r="H403">
        <v>1.0215639999999999</v>
      </c>
      <c r="I403">
        <v>1</v>
      </c>
      <c r="J403" s="156">
        <v>1</v>
      </c>
      <c r="K403">
        <v>1</v>
      </c>
      <c r="L403">
        <v>1</v>
      </c>
      <c r="M403">
        <v>1</v>
      </c>
      <c r="N403">
        <v>1.0215639999999999</v>
      </c>
    </row>
    <row r="404" spans="1:14" x14ac:dyDescent="0.35">
      <c r="A404" s="156" t="s">
        <v>542</v>
      </c>
      <c r="B404" s="52">
        <v>43217</v>
      </c>
      <c r="C404" s="156" t="s">
        <v>531</v>
      </c>
      <c r="D404" s="156" t="s">
        <v>531</v>
      </c>
      <c r="E404">
        <v>352306</v>
      </c>
      <c r="F404">
        <v>18942.241900000001</v>
      </c>
      <c r="G404">
        <v>52.031500000000001</v>
      </c>
      <c r="H404">
        <v>0.9929</v>
      </c>
      <c r="I404">
        <v>1</v>
      </c>
      <c r="J404" s="156">
        <v>1</v>
      </c>
      <c r="K404">
        <v>1</v>
      </c>
      <c r="L404">
        <v>1</v>
      </c>
      <c r="M404">
        <v>1</v>
      </c>
      <c r="N404">
        <v>0.9929</v>
      </c>
    </row>
    <row r="405" spans="1:14" x14ac:dyDescent="0.35">
      <c r="A405" s="156" t="s">
        <v>542</v>
      </c>
      <c r="B405" s="52">
        <v>43220</v>
      </c>
      <c r="C405" s="156" t="s">
        <v>531</v>
      </c>
      <c r="D405" s="156" t="s">
        <v>531</v>
      </c>
      <c r="E405">
        <v>577348</v>
      </c>
      <c r="F405">
        <v>32344.024000000001</v>
      </c>
      <c r="G405">
        <v>51.419899999999998</v>
      </c>
      <c r="H405">
        <v>0.98898299999999995</v>
      </c>
      <c r="I405">
        <v>1</v>
      </c>
      <c r="J405" s="156">
        <v>1</v>
      </c>
      <c r="K405">
        <v>1</v>
      </c>
      <c r="L405">
        <v>1</v>
      </c>
      <c r="M405">
        <v>1</v>
      </c>
      <c r="N405">
        <v>0.98898299999999995</v>
      </c>
    </row>
    <row r="406" spans="1:14" x14ac:dyDescent="0.35">
      <c r="A406" s="156" t="s">
        <v>542</v>
      </c>
      <c r="B406" s="52">
        <v>43221</v>
      </c>
      <c r="C406" s="156" t="s">
        <v>531</v>
      </c>
      <c r="D406" s="156" t="s">
        <v>531</v>
      </c>
      <c r="E406">
        <v>978259</v>
      </c>
      <c r="F406">
        <v>49176.288099999998</v>
      </c>
      <c r="G406">
        <v>49.778599999999997</v>
      </c>
      <c r="H406">
        <v>0.966387</v>
      </c>
      <c r="I406">
        <v>1</v>
      </c>
      <c r="J406" s="156">
        <v>1</v>
      </c>
      <c r="K406">
        <v>1</v>
      </c>
      <c r="L406">
        <v>1</v>
      </c>
      <c r="M406">
        <v>1</v>
      </c>
      <c r="N406">
        <v>0.966387</v>
      </c>
    </row>
    <row r="407" spans="1:14" x14ac:dyDescent="0.35">
      <c r="A407" s="156" t="s">
        <v>542</v>
      </c>
      <c r="B407" s="52">
        <v>43222</v>
      </c>
      <c r="C407" s="156" t="s">
        <v>531</v>
      </c>
      <c r="D407" s="156" t="s">
        <v>531</v>
      </c>
      <c r="E407">
        <v>874548</v>
      </c>
      <c r="F407">
        <v>44523.0101</v>
      </c>
      <c r="G407">
        <v>49.945700000000002</v>
      </c>
      <c r="H407">
        <v>0.997776</v>
      </c>
      <c r="I407">
        <v>1</v>
      </c>
      <c r="J407" s="156">
        <v>1</v>
      </c>
      <c r="K407">
        <v>1</v>
      </c>
      <c r="L407">
        <v>1</v>
      </c>
      <c r="M407">
        <v>1</v>
      </c>
      <c r="N407">
        <v>0.997776</v>
      </c>
    </row>
    <row r="408" spans="1:14" x14ac:dyDescent="0.35">
      <c r="A408" s="156" t="s">
        <v>542</v>
      </c>
      <c r="B408" s="52">
        <v>43223</v>
      </c>
      <c r="C408" s="156" t="s">
        <v>531</v>
      </c>
      <c r="D408" s="156" t="s">
        <v>531</v>
      </c>
      <c r="E408">
        <v>692596</v>
      </c>
      <c r="F408">
        <v>34571.482900000003</v>
      </c>
      <c r="G408">
        <v>48.589599999999997</v>
      </c>
      <c r="H408">
        <v>1.002027</v>
      </c>
      <c r="I408">
        <v>1</v>
      </c>
      <c r="J408" s="156">
        <v>1</v>
      </c>
      <c r="K408">
        <v>1</v>
      </c>
      <c r="L408">
        <v>1</v>
      </c>
      <c r="M408">
        <v>1</v>
      </c>
      <c r="N408">
        <v>1.002027</v>
      </c>
    </row>
    <row r="409" spans="1:14" x14ac:dyDescent="0.35">
      <c r="A409" s="156" t="s">
        <v>542</v>
      </c>
      <c r="B409" s="52">
        <v>43224</v>
      </c>
      <c r="C409" s="156" t="s">
        <v>531</v>
      </c>
      <c r="D409" s="156" t="s">
        <v>531</v>
      </c>
      <c r="E409">
        <v>685916</v>
      </c>
      <c r="F409">
        <v>35479.333200000001</v>
      </c>
      <c r="G409">
        <v>49.382300000000001</v>
      </c>
      <c r="H409">
        <v>0.99979799999999996</v>
      </c>
      <c r="I409">
        <v>1</v>
      </c>
      <c r="J409" s="156">
        <v>1</v>
      </c>
      <c r="K409">
        <v>1</v>
      </c>
      <c r="L409">
        <v>1</v>
      </c>
      <c r="M409">
        <v>1</v>
      </c>
      <c r="N409">
        <v>0.99979799999999996</v>
      </c>
    </row>
    <row r="410" spans="1:14" x14ac:dyDescent="0.35">
      <c r="A410" s="156" t="s">
        <v>542</v>
      </c>
      <c r="B410" s="52">
        <v>43227</v>
      </c>
      <c r="C410" s="156" t="s">
        <v>531</v>
      </c>
      <c r="D410" s="156" t="s">
        <v>531</v>
      </c>
      <c r="E410">
        <v>734603</v>
      </c>
      <c r="F410">
        <v>38156.958700000003</v>
      </c>
      <c r="G410">
        <v>50.9482</v>
      </c>
      <c r="H410">
        <v>1.0295369999999999</v>
      </c>
      <c r="I410">
        <v>1</v>
      </c>
      <c r="J410" s="156">
        <v>1</v>
      </c>
      <c r="K410">
        <v>1</v>
      </c>
      <c r="L410">
        <v>1</v>
      </c>
      <c r="M410">
        <v>1</v>
      </c>
      <c r="N410">
        <v>1.0295369999999999</v>
      </c>
    </row>
    <row r="411" spans="1:14" x14ac:dyDescent="0.35">
      <c r="A411" s="156" t="s">
        <v>542</v>
      </c>
      <c r="B411" s="52">
        <v>43228</v>
      </c>
      <c r="C411" s="156" t="s">
        <v>531</v>
      </c>
      <c r="D411" s="156" t="s">
        <v>531</v>
      </c>
      <c r="E411">
        <v>576197</v>
      </c>
      <c r="F411">
        <v>30369.5023</v>
      </c>
      <c r="G411">
        <v>50.933700000000002</v>
      </c>
      <c r="H411">
        <v>1.000982</v>
      </c>
      <c r="I411">
        <v>1</v>
      </c>
      <c r="J411" s="156">
        <v>1</v>
      </c>
      <c r="K411">
        <v>1</v>
      </c>
      <c r="L411">
        <v>1</v>
      </c>
      <c r="M411">
        <v>1</v>
      </c>
      <c r="N411">
        <v>1.000982</v>
      </c>
    </row>
    <row r="412" spans="1:14" x14ac:dyDescent="0.35">
      <c r="A412" s="156" t="s">
        <v>542</v>
      </c>
      <c r="B412" s="52">
        <v>43229</v>
      </c>
      <c r="C412" s="156" t="s">
        <v>531</v>
      </c>
      <c r="D412" s="156" t="s">
        <v>531</v>
      </c>
      <c r="E412">
        <v>949362</v>
      </c>
      <c r="F412">
        <v>50096.344799999999</v>
      </c>
      <c r="G412">
        <v>50.869300000000003</v>
      </c>
      <c r="H412">
        <v>1.0113859999999999</v>
      </c>
      <c r="I412">
        <v>1</v>
      </c>
      <c r="J412" s="156">
        <v>1</v>
      </c>
      <c r="K412">
        <v>1</v>
      </c>
      <c r="L412">
        <v>1</v>
      </c>
      <c r="M412">
        <v>1</v>
      </c>
      <c r="N412">
        <v>1.0113859999999999</v>
      </c>
    </row>
    <row r="413" spans="1:14" x14ac:dyDescent="0.35">
      <c r="A413" s="156" t="s">
        <v>542</v>
      </c>
      <c r="B413" s="52">
        <v>43230</v>
      </c>
      <c r="C413" s="156" t="s">
        <v>531</v>
      </c>
      <c r="D413" s="156" t="s">
        <v>531</v>
      </c>
      <c r="E413">
        <v>2804615</v>
      </c>
      <c r="F413">
        <v>157115.14110000001</v>
      </c>
      <c r="G413">
        <v>55.491300000000003</v>
      </c>
      <c r="H413">
        <v>1.0234859999999999</v>
      </c>
      <c r="I413">
        <v>1</v>
      </c>
      <c r="J413" s="156">
        <v>1</v>
      </c>
      <c r="K413">
        <v>1</v>
      </c>
      <c r="L413">
        <v>1</v>
      </c>
      <c r="M413">
        <v>1</v>
      </c>
      <c r="N413">
        <v>1.0234859999999999</v>
      </c>
    </row>
    <row r="414" spans="1:14" x14ac:dyDescent="0.35">
      <c r="A414" s="156" t="s">
        <v>542</v>
      </c>
      <c r="B414" s="52">
        <v>43231</v>
      </c>
      <c r="C414" s="156" t="s">
        <v>531</v>
      </c>
      <c r="D414" s="156" t="s">
        <v>531</v>
      </c>
      <c r="E414">
        <v>12762403</v>
      </c>
      <c r="F414">
        <v>929110.451</v>
      </c>
      <c r="G414">
        <v>72.373800000000003</v>
      </c>
      <c r="H414">
        <v>1.4339090000000001</v>
      </c>
      <c r="I414">
        <v>1</v>
      </c>
      <c r="J414" s="156">
        <v>1</v>
      </c>
      <c r="K414">
        <v>1</v>
      </c>
      <c r="L414">
        <v>1</v>
      </c>
      <c r="M414">
        <v>1</v>
      </c>
      <c r="N414">
        <v>1.4339090000000001</v>
      </c>
    </row>
    <row r="415" spans="1:14" x14ac:dyDescent="0.35">
      <c r="A415" s="156" t="s">
        <v>542</v>
      </c>
      <c r="B415" s="52">
        <v>43234</v>
      </c>
      <c r="C415" s="156" t="s">
        <v>531</v>
      </c>
      <c r="D415" s="156" t="s">
        <v>531</v>
      </c>
      <c r="E415">
        <v>4120932</v>
      </c>
      <c r="F415">
        <v>312657.39880000002</v>
      </c>
      <c r="G415">
        <v>75.315399999999997</v>
      </c>
      <c r="H415">
        <v>0.99087400000000003</v>
      </c>
      <c r="I415">
        <v>1</v>
      </c>
      <c r="J415" s="156">
        <v>1</v>
      </c>
      <c r="K415">
        <v>1</v>
      </c>
      <c r="L415">
        <v>1</v>
      </c>
      <c r="M415">
        <v>1</v>
      </c>
      <c r="N415">
        <v>0.99087400000000003</v>
      </c>
    </row>
    <row r="416" spans="1:14" x14ac:dyDescent="0.35">
      <c r="A416" s="156" t="s">
        <v>542</v>
      </c>
      <c r="B416" s="52">
        <v>43235</v>
      </c>
      <c r="C416" s="156" t="s">
        <v>531</v>
      </c>
      <c r="D416" s="156" t="s">
        <v>531</v>
      </c>
      <c r="E416">
        <v>4581199</v>
      </c>
      <c r="F416">
        <v>366450.14449999999</v>
      </c>
      <c r="G416">
        <v>79.3202</v>
      </c>
      <c r="H416">
        <v>1.0707420000000001</v>
      </c>
      <c r="I416">
        <v>1</v>
      </c>
      <c r="J416" s="156">
        <v>1</v>
      </c>
      <c r="K416">
        <v>1</v>
      </c>
      <c r="L416">
        <v>1</v>
      </c>
      <c r="M416">
        <v>1</v>
      </c>
      <c r="N416">
        <v>1.0707420000000001</v>
      </c>
    </row>
    <row r="417" spans="1:14" x14ac:dyDescent="0.35">
      <c r="A417" s="156" t="s">
        <v>542</v>
      </c>
      <c r="B417" s="52">
        <v>43236</v>
      </c>
      <c r="C417" s="156" t="s">
        <v>531</v>
      </c>
      <c r="D417" s="156" t="s">
        <v>531</v>
      </c>
      <c r="E417">
        <v>2829442</v>
      </c>
      <c r="F417">
        <v>234164.05480000001</v>
      </c>
      <c r="G417">
        <v>81.902299999999997</v>
      </c>
      <c r="H417">
        <v>1.006607</v>
      </c>
      <c r="I417">
        <v>1</v>
      </c>
      <c r="J417" s="156">
        <v>1</v>
      </c>
      <c r="K417">
        <v>1</v>
      </c>
      <c r="L417">
        <v>1</v>
      </c>
      <c r="M417">
        <v>1</v>
      </c>
      <c r="N417">
        <v>1.006607</v>
      </c>
    </row>
    <row r="418" spans="1:14" x14ac:dyDescent="0.35">
      <c r="A418" s="156" t="s">
        <v>542</v>
      </c>
      <c r="B418" s="52">
        <v>43237</v>
      </c>
      <c r="C418" s="156" t="s">
        <v>531</v>
      </c>
      <c r="D418" s="156" t="s">
        <v>531</v>
      </c>
      <c r="E418">
        <v>1757610</v>
      </c>
      <c r="F418">
        <v>145484.9835</v>
      </c>
      <c r="G418">
        <v>81.449799999999996</v>
      </c>
      <c r="H418">
        <v>0.99616099999999996</v>
      </c>
      <c r="I418">
        <v>1</v>
      </c>
      <c r="J418" s="156">
        <v>1</v>
      </c>
      <c r="K418">
        <v>1</v>
      </c>
      <c r="L418">
        <v>1</v>
      </c>
      <c r="M418">
        <v>1</v>
      </c>
      <c r="N418">
        <v>0.99616099999999996</v>
      </c>
    </row>
    <row r="419" spans="1:14" x14ac:dyDescent="0.35">
      <c r="A419" s="156" t="s">
        <v>542</v>
      </c>
      <c r="B419" s="52">
        <v>43238</v>
      </c>
      <c r="C419" s="156" t="s">
        <v>531</v>
      </c>
      <c r="D419" s="156" t="s">
        <v>531</v>
      </c>
      <c r="E419">
        <v>2878350</v>
      </c>
      <c r="F419">
        <v>260594.0012</v>
      </c>
      <c r="G419">
        <v>84.299800000000005</v>
      </c>
      <c r="H419">
        <v>1.0645199999999999</v>
      </c>
      <c r="I419">
        <v>1</v>
      </c>
      <c r="J419" s="156">
        <v>1</v>
      </c>
      <c r="K419">
        <v>1</v>
      </c>
      <c r="L419">
        <v>1</v>
      </c>
      <c r="M419">
        <v>1</v>
      </c>
      <c r="N419">
        <v>1.0645199999999999</v>
      </c>
    </row>
    <row r="420" spans="1:14" x14ac:dyDescent="0.35">
      <c r="A420" s="156" t="s">
        <v>542</v>
      </c>
      <c r="B420" s="52">
        <v>43241</v>
      </c>
      <c r="C420" s="156" t="s">
        <v>531</v>
      </c>
      <c r="D420" s="156" t="s">
        <v>531</v>
      </c>
      <c r="E420">
        <v>2208580</v>
      </c>
      <c r="F420">
        <v>187477.01430000001</v>
      </c>
      <c r="G420">
        <v>84.197400000000002</v>
      </c>
      <c r="H420">
        <v>0.96881899999999999</v>
      </c>
      <c r="I420">
        <v>1</v>
      </c>
      <c r="J420" s="156">
        <v>1</v>
      </c>
      <c r="K420">
        <v>1</v>
      </c>
      <c r="L420">
        <v>1</v>
      </c>
      <c r="M420">
        <v>1</v>
      </c>
      <c r="N420">
        <v>0.96881899999999999</v>
      </c>
    </row>
    <row r="421" spans="1:14" x14ac:dyDescent="0.35">
      <c r="A421" s="156" t="s">
        <v>542</v>
      </c>
      <c r="B421" s="52">
        <v>43242</v>
      </c>
      <c r="C421" s="156" t="s">
        <v>531</v>
      </c>
      <c r="D421" s="156" t="s">
        <v>531</v>
      </c>
      <c r="E421">
        <v>1508904</v>
      </c>
      <c r="F421">
        <v>127023.5361</v>
      </c>
      <c r="G421">
        <v>83.205299999999994</v>
      </c>
      <c r="H421">
        <v>0.991201</v>
      </c>
      <c r="I421">
        <v>1</v>
      </c>
      <c r="J421" s="156">
        <v>1</v>
      </c>
      <c r="K421">
        <v>1</v>
      </c>
      <c r="L421">
        <v>1</v>
      </c>
      <c r="M421">
        <v>1</v>
      </c>
      <c r="N421">
        <v>0.991201</v>
      </c>
    </row>
    <row r="422" spans="1:14" x14ac:dyDescent="0.35">
      <c r="A422" s="156" t="s">
        <v>542</v>
      </c>
      <c r="B422" s="52">
        <v>43243</v>
      </c>
      <c r="C422" s="156" t="s">
        <v>531</v>
      </c>
      <c r="D422" s="156" t="s">
        <v>531</v>
      </c>
      <c r="E422">
        <v>770812</v>
      </c>
      <c r="F422">
        <v>64948.047700000003</v>
      </c>
      <c r="G422">
        <v>83.016499999999994</v>
      </c>
      <c r="H422">
        <v>1.008877</v>
      </c>
      <c r="I422">
        <v>1</v>
      </c>
      <c r="J422" s="156">
        <v>1</v>
      </c>
      <c r="K422">
        <v>1</v>
      </c>
      <c r="L422">
        <v>1</v>
      </c>
      <c r="M422">
        <v>1</v>
      </c>
      <c r="N422">
        <v>1.008877</v>
      </c>
    </row>
    <row r="423" spans="1:14" x14ac:dyDescent="0.35">
      <c r="A423" s="156" t="s">
        <v>542</v>
      </c>
      <c r="B423" s="52">
        <v>43244</v>
      </c>
      <c r="C423" s="156" t="s">
        <v>531</v>
      </c>
      <c r="D423" s="156" t="s">
        <v>531</v>
      </c>
      <c r="E423">
        <v>583152</v>
      </c>
      <c r="F423">
        <v>48931.534500000002</v>
      </c>
      <c r="G423">
        <v>82.948899999999995</v>
      </c>
      <c r="H423">
        <v>1.000362</v>
      </c>
      <c r="I423">
        <v>1</v>
      </c>
      <c r="J423" s="156">
        <v>1</v>
      </c>
      <c r="K423">
        <v>1</v>
      </c>
      <c r="L423">
        <v>1</v>
      </c>
      <c r="M423">
        <v>1</v>
      </c>
      <c r="N423">
        <v>1.000362</v>
      </c>
    </row>
    <row r="424" spans="1:14" x14ac:dyDescent="0.35">
      <c r="A424" s="156" t="s">
        <v>542</v>
      </c>
      <c r="B424" s="52">
        <v>43245</v>
      </c>
      <c r="C424" s="156" t="s">
        <v>531</v>
      </c>
      <c r="D424" s="156" t="s">
        <v>531</v>
      </c>
      <c r="E424">
        <v>723420</v>
      </c>
      <c r="F424">
        <v>61474.277699999999</v>
      </c>
      <c r="G424">
        <v>83.147400000000005</v>
      </c>
      <c r="H424">
        <v>0.99481900000000001</v>
      </c>
      <c r="I424">
        <v>1</v>
      </c>
      <c r="J424" s="156">
        <v>1</v>
      </c>
      <c r="K424">
        <v>1</v>
      </c>
      <c r="L424">
        <v>1</v>
      </c>
      <c r="M424">
        <v>1</v>
      </c>
      <c r="N424">
        <v>0.99481900000000001</v>
      </c>
    </row>
    <row r="425" spans="1:14" x14ac:dyDescent="0.35">
      <c r="A425" s="156" t="s">
        <v>542</v>
      </c>
      <c r="B425" s="52">
        <v>43249</v>
      </c>
      <c r="C425" s="156" t="s">
        <v>531</v>
      </c>
      <c r="D425" s="156" t="s">
        <v>531</v>
      </c>
      <c r="E425">
        <v>802058</v>
      </c>
      <c r="F425">
        <v>67287.118499999997</v>
      </c>
      <c r="G425">
        <v>82.472800000000007</v>
      </c>
      <c r="H425">
        <v>1.002059</v>
      </c>
      <c r="I425">
        <v>1</v>
      </c>
      <c r="J425" s="156">
        <v>1</v>
      </c>
      <c r="K425">
        <v>1</v>
      </c>
      <c r="L425">
        <v>1</v>
      </c>
      <c r="M425">
        <v>1</v>
      </c>
      <c r="N425">
        <v>1.002059</v>
      </c>
    </row>
    <row r="426" spans="1:14" x14ac:dyDescent="0.35">
      <c r="A426" s="156" t="s">
        <v>542</v>
      </c>
      <c r="B426" s="52">
        <v>43250</v>
      </c>
      <c r="C426" s="156" t="s">
        <v>531</v>
      </c>
      <c r="D426" s="156" t="s">
        <v>531</v>
      </c>
      <c r="E426">
        <v>964962</v>
      </c>
      <c r="F426">
        <v>82602.623500000002</v>
      </c>
      <c r="G426">
        <v>84.2179</v>
      </c>
      <c r="H426">
        <v>1.0218780000000001</v>
      </c>
      <c r="I426">
        <v>1</v>
      </c>
      <c r="J426" s="156">
        <v>1</v>
      </c>
      <c r="K426">
        <v>1</v>
      </c>
      <c r="L426">
        <v>1</v>
      </c>
      <c r="M426">
        <v>1</v>
      </c>
      <c r="N426">
        <v>1.0218780000000001</v>
      </c>
    </row>
    <row r="427" spans="1:14" x14ac:dyDescent="0.35">
      <c r="A427" s="156" t="s">
        <v>542</v>
      </c>
      <c r="B427" s="52">
        <v>43251</v>
      </c>
      <c r="C427" s="156" t="s">
        <v>531</v>
      </c>
      <c r="D427" s="156" t="s">
        <v>531</v>
      </c>
      <c r="E427">
        <v>688364</v>
      </c>
      <c r="F427">
        <v>61373.703099999999</v>
      </c>
      <c r="G427">
        <v>85.009799999999998</v>
      </c>
      <c r="H427">
        <v>1.0117100000000001</v>
      </c>
      <c r="I427">
        <v>1</v>
      </c>
      <c r="J427" s="156">
        <v>1</v>
      </c>
      <c r="K427">
        <v>1</v>
      </c>
      <c r="L427">
        <v>1</v>
      </c>
      <c r="M427">
        <v>1</v>
      </c>
      <c r="N427">
        <v>1.0117100000000001</v>
      </c>
    </row>
    <row r="428" spans="1:14" x14ac:dyDescent="0.35">
      <c r="A428" s="156" t="s">
        <v>542</v>
      </c>
      <c r="B428" s="52">
        <v>43252</v>
      </c>
      <c r="C428" s="156" t="s">
        <v>531</v>
      </c>
      <c r="D428" s="156" t="s">
        <v>531</v>
      </c>
      <c r="E428">
        <v>3126322</v>
      </c>
      <c r="F428">
        <v>276033.56170000002</v>
      </c>
      <c r="G428">
        <v>87.640900000000002</v>
      </c>
      <c r="H428">
        <v>1.0129779999999999</v>
      </c>
      <c r="I428">
        <v>1</v>
      </c>
      <c r="J428" s="156">
        <v>1</v>
      </c>
      <c r="K428">
        <v>1</v>
      </c>
      <c r="L428">
        <v>1</v>
      </c>
      <c r="M428">
        <v>1</v>
      </c>
      <c r="N428">
        <v>1.0129779999999999</v>
      </c>
    </row>
    <row r="429" spans="1:14" x14ac:dyDescent="0.35">
      <c r="A429" s="156" t="s">
        <v>542</v>
      </c>
      <c r="B429" s="52">
        <v>43255</v>
      </c>
      <c r="C429" s="156" t="s">
        <v>531</v>
      </c>
      <c r="D429" s="156" t="s">
        <v>531</v>
      </c>
      <c r="E429">
        <v>2385855</v>
      </c>
      <c r="F429">
        <v>200422.2383</v>
      </c>
      <c r="G429">
        <v>82.438900000000004</v>
      </c>
      <c r="H429">
        <v>0.96029500000000001</v>
      </c>
      <c r="I429">
        <v>1</v>
      </c>
      <c r="J429" s="156">
        <v>1</v>
      </c>
      <c r="K429">
        <v>1</v>
      </c>
      <c r="L429">
        <v>1</v>
      </c>
      <c r="M429">
        <v>1</v>
      </c>
      <c r="N429">
        <v>0.96029500000000001</v>
      </c>
    </row>
    <row r="430" spans="1:14" x14ac:dyDescent="0.35">
      <c r="A430" s="156" t="s">
        <v>542</v>
      </c>
      <c r="B430" s="52">
        <v>43256</v>
      </c>
      <c r="C430" s="156" t="s">
        <v>531</v>
      </c>
      <c r="D430" s="156" t="s">
        <v>531</v>
      </c>
      <c r="E430">
        <v>1543642</v>
      </c>
      <c r="F430">
        <v>136001.61780000001</v>
      </c>
      <c r="G430">
        <v>86.877899999999997</v>
      </c>
      <c r="H430">
        <v>1.056851</v>
      </c>
      <c r="I430">
        <v>1</v>
      </c>
      <c r="J430" s="156">
        <v>1</v>
      </c>
      <c r="K430">
        <v>1</v>
      </c>
      <c r="L430">
        <v>1</v>
      </c>
      <c r="M430">
        <v>1</v>
      </c>
      <c r="N430">
        <v>1.056851</v>
      </c>
    </row>
    <row r="431" spans="1:14" x14ac:dyDescent="0.35">
      <c r="A431" s="156" t="s">
        <v>542</v>
      </c>
      <c r="B431" s="52">
        <v>43257</v>
      </c>
      <c r="C431" s="156" t="s">
        <v>531</v>
      </c>
      <c r="D431" s="156" t="s">
        <v>531</v>
      </c>
      <c r="E431">
        <v>842215</v>
      </c>
      <c r="F431">
        <v>75622.730100000001</v>
      </c>
      <c r="G431">
        <v>87.255600000000001</v>
      </c>
      <c r="H431">
        <v>0.98112100000000002</v>
      </c>
      <c r="I431">
        <v>1</v>
      </c>
      <c r="J431" s="156">
        <v>1</v>
      </c>
      <c r="K431">
        <v>1</v>
      </c>
      <c r="L431">
        <v>1</v>
      </c>
      <c r="M431">
        <v>1</v>
      </c>
      <c r="N431">
        <v>0.98112100000000002</v>
      </c>
    </row>
    <row r="432" spans="1:14" x14ac:dyDescent="0.35">
      <c r="A432" s="156" t="s">
        <v>542</v>
      </c>
      <c r="B432" s="52">
        <v>43258</v>
      </c>
      <c r="C432" s="156" t="s">
        <v>531</v>
      </c>
      <c r="D432" s="156" t="s">
        <v>531</v>
      </c>
      <c r="E432">
        <v>725377</v>
      </c>
      <c r="F432">
        <v>63772.765899999999</v>
      </c>
      <c r="G432">
        <v>85.741799999999998</v>
      </c>
      <c r="H432">
        <v>1.0032460000000001</v>
      </c>
      <c r="I432">
        <v>1</v>
      </c>
      <c r="J432" s="156">
        <v>1</v>
      </c>
      <c r="K432">
        <v>1</v>
      </c>
      <c r="L432">
        <v>1</v>
      </c>
      <c r="M432">
        <v>1</v>
      </c>
      <c r="N432">
        <v>1.0032460000000001</v>
      </c>
    </row>
    <row r="433" spans="1:14" x14ac:dyDescent="0.35">
      <c r="A433" s="156" t="s">
        <v>542</v>
      </c>
      <c r="B433" s="52">
        <v>43259</v>
      </c>
      <c r="C433" s="156" t="s">
        <v>531</v>
      </c>
      <c r="D433" s="156" t="s">
        <v>531</v>
      </c>
      <c r="E433">
        <v>755929</v>
      </c>
      <c r="F433">
        <v>69705.6495</v>
      </c>
      <c r="G433">
        <v>88.252099999999999</v>
      </c>
      <c r="H433">
        <v>1.023917</v>
      </c>
      <c r="I433">
        <v>1</v>
      </c>
      <c r="J433" s="156">
        <v>1</v>
      </c>
      <c r="K433">
        <v>1</v>
      </c>
      <c r="L433">
        <v>1</v>
      </c>
      <c r="M433">
        <v>1</v>
      </c>
      <c r="N433">
        <v>1.023917</v>
      </c>
    </row>
    <row r="434" spans="1:14" x14ac:dyDescent="0.35">
      <c r="A434" s="156" t="s">
        <v>542</v>
      </c>
      <c r="B434" s="52">
        <v>43262</v>
      </c>
      <c r="C434" s="156" t="s">
        <v>531</v>
      </c>
      <c r="D434" s="156" t="s">
        <v>531</v>
      </c>
      <c r="E434">
        <v>716886</v>
      </c>
      <c r="F434">
        <v>66528.137000000002</v>
      </c>
      <c r="G434">
        <v>88.650099999999995</v>
      </c>
      <c r="H434">
        <v>1.002257</v>
      </c>
      <c r="I434">
        <v>1</v>
      </c>
      <c r="J434" s="156">
        <v>1</v>
      </c>
      <c r="K434">
        <v>1</v>
      </c>
      <c r="L434">
        <v>1</v>
      </c>
      <c r="M434">
        <v>1</v>
      </c>
      <c r="N434">
        <v>1.002257</v>
      </c>
    </row>
    <row r="435" spans="1:14" x14ac:dyDescent="0.35">
      <c r="A435" s="156" t="s">
        <v>542</v>
      </c>
      <c r="B435" s="52">
        <v>43263</v>
      </c>
      <c r="C435" s="156" t="s">
        <v>531</v>
      </c>
      <c r="D435" s="156" t="s">
        <v>531</v>
      </c>
      <c r="E435">
        <v>1155660</v>
      </c>
      <c r="F435">
        <v>107438.3726</v>
      </c>
      <c r="G435">
        <v>90.811599999999999</v>
      </c>
      <c r="H435">
        <v>1.021954</v>
      </c>
      <c r="I435">
        <v>1</v>
      </c>
      <c r="J435" s="156">
        <v>1</v>
      </c>
      <c r="K435">
        <v>1</v>
      </c>
      <c r="L435">
        <v>1</v>
      </c>
      <c r="M435">
        <v>1</v>
      </c>
      <c r="N435">
        <v>1.021954</v>
      </c>
    </row>
    <row r="436" spans="1:14" x14ac:dyDescent="0.35">
      <c r="A436" s="156" t="s">
        <v>542</v>
      </c>
      <c r="B436" s="52">
        <v>43264</v>
      </c>
      <c r="C436" s="156" t="s">
        <v>531</v>
      </c>
      <c r="D436" s="156" t="s">
        <v>531</v>
      </c>
      <c r="E436">
        <v>900520</v>
      </c>
      <c r="F436">
        <v>88184.169399999999</v>
      </c>
      <c r="G436">
        <v>90.736500000000007</v>
      </c>
      <c r="H436">
        <v>0.992178</v>
      </c>
      <c r="I436">
        <v>1</v>
      </c>
      <c r="J436" s="156">
        <v>1</v>
      </c>
      <c r="K436">
        <v>1</v>
      </c>
      <c r="L436">
        <v>1</v>
      </c>
      <c r="M436">
        <v>1</v>
      </c>
      <c r="N436">
        <v>0.992178</v>
      </c>
    </row>
    <row r="437" spans="1:14" x14ac:dyDescent="0.35">
      <c r="A437" s="156" t="s">
        <v>542</v>
      </c>
      <c r="B437" s="52">
        <v>43265</v>
      </c>
      <c r="C437" s="156" t="s">
        <v>531</v>
      </c>
      <c r="D437" s="156" t="s">
        <v>531</v>
      </c>
      <c r="E437">
        <v>1258347</v>
      </c>
      <c r="F437">
        <v>121807.8017</v>
      </c>
      <c r="G437">
        <v>91.025000000000006</v>
      </c>
      <c r="H437">
        <v>1.0052190000000001</v>
      </c>
      <c r="I437">
        <v>1</v>
      </c>
      <c r="J437" s="156">
        <v>1</v>
      </c>
      <c r="K437">
        <v>1</v>
      </c>
      <c r="L437">
        <v>1</v>
      </c>
      <c r="M437">
        <v>1</v>
      </c>
      <c r="N437">
        <v>1.0052190000000001</v>
      </c>
    </row>
    <row r="438" spans="1:14" x14ac:dyDescent="0.35">
      <c r="A438" s="156" t="s">
        <v>542</v>
      </c>
      <c r="B438" s="52">
        <v>43266</v>
      </c>
      <c r="C438" s="156" t="s">
        <v>531</v>
      </c>
      <c r="D438" s="156" t="s">
        <v>531</v>
      </c>
      <c r="E438">
        <v>910332</v>
      </c>
      <c r="F438">
        <v>90033.855299999996</v>
      </c>
      <c r="G438">
        <v>89.635499999999993</v>
      </c>
      <c r="H438">
        <v>0.99547099999999999</v>
      </c>
      <c r="I438">
        <v>1</v>
      </c>
      <c r="J438" s="156">
        <v>1</v>
      </c>
      <c r="K438">
        <v>1</v>
      </c>
      <c r="L438">
        <v>1</v>
      </c>
      <c r="M438">
        <v>1</v>
      </c>
      <c r="N438">
        <v>0.99547099999999999</v>
      </c>
    </row>
    <row r="439" spans="1:14" x14ac:dyDescent="0.35">
      <c r="A439" s="156" t="s">
        <v>542</v>
      </c>
      <c r="B439" s="52">
        <v>43269</v>
      </c>
      <c r="C439" s="156" t="s">
        <v>531</v>
      </c>
      <c r="D439" s="156" t="s">
        <v>531</v>
      </c>
      <c r="E439">
        <v>1022173</v>
      </c>
      <c r="F439">
        <v>100839.3556</v>
      </c>
      <c r="G439">
        <v>91.814400000000006</v>
      </c>
      <c r="H439">
        <v>1.0310699999999999</v>
      </c>
      <c r="I439">
        <v>1</v>
      </c>
      <c r="J439" s="156">
        <v>1</v>
      </c>
      <c r="K439">
        <v>1</v>
      </c>
      <c r="L439">
        <v>1</v>
      </c>
      <c r="M439">
        <v>1</v>
      </c>
      <c r="N439">
        <v>1.0310699999999999</v>
      </c>
    </row>
    <row r="440" spans="1:14" x14ac:dyDescent="0.35">
      <c r="A440" s="156" t="s">
        <v>542</v>
      </c>
      <c r="B440" s="52">
        <v>43270</v>
      </c>
      <c r="C440" s="156" t="s">
        <v>531</v>
      </c>
      <c r="D440" s="156" t="s">
        <v>531</v>
      </c>
      <c r="E440">
        <v>1134417</v>
      </c>
      <c r="F440">
        <v>109983.0919</v>
      </c>
      <c r="G440">
        <v>89.877899999999997</v>
      </c>
      <c r="H440">
        <v>0.98460999999999999</v>
      </c>
      <c r="I440">
        <v>1</v>
      </c>
      <c r="J440" s="156">
        <v>1</v>
      </c>
      <c r="K440">
        <v>1</v>
      </c>
      <c r="L440">
        <v>1</v>
      </c>
      <c r="M440">
        <v>1</v>
      </c>
      <c r="N440">
        <v>0.98460999999999999</v>
      </c>
    </row>
    <row r="441" spans="1:14" x14ac:dyDescent="0.35">
      <c r="A441" s="156" t="s">
        <v>542</v>
      </c>
      <c r="B441" s="52">
        <v>43271</v>
      </c>
      <c r="C441" s="156" t="s">
        <v>531</v>
      </c>
      <c r="D441" s="156" t="s">
        <v>531</v>
      </c>
      <c r="E441">
        <v>641731</v>
      </c>
      <c r="F441">
        <v>61447.966399999998</v>
      </c>
      <c r="G441">
        <v>93.242800000000003</v>
      </c>
      <c r="H441">
        <v>1.0204390000000001</v>
      </c>
      <c r="I441">
        <v>1</v>
      </c>
      <c r="J441" s="156">
        <v>1</v>
      </c>
      <c r="K441">
        <v>1</v>
      </c>
      <c r="L441">
        <v>1</v>
      </c>
      <c r="M441">
        <v>1</v>
      </c>
      <c r="N441">
        <v>1.0204390000000001</v>
      </c>
    </row>
    <row r="442" spans="1:14" x14ac:dyDescent="0.35">
      <c r="A442" s="156" t="s">
        <v>542</v>
      </c>
      <c r="B442" s="52">
        <v>43272</v>
      </c>
      <c r="C442" s="156" t="s">
        <v>531</v>
      </c>
      <c r="D442" s="156" t="s">
        <v>531</v>
      </c>
      <c r="E442">
        <v>765278</v>
      </c>
      <c r="F442">
        <v>73825.960500000001</v>
      </c>
      <c r="G442">
        <v>91.941199999999995</v>
      </c>
      <c r="H442">
        <v>0.98050599999999999</v>
      </c>
      <c r="I442">
        <v>1</v>
      </c>
      <c r="J442" s="156">
        <v>1</v>
      </c>
      <c r="K442">
        <v>1</v>
      </c>
      <c r="L442">
        <v>1</v>
      </c>
      <c r="M442">
        <v>1</v>
      </c>
      <c r="N442">
        <v>0.98050599999999999</v>
      </c>
    </row>
    <row r="443" spans="1:14" x14ac:dyDescent="0.35">
      <c r="A443" s="156" t="s">
        <v>542</v>
      </c>
      <c r="B443" s="52">
        <v>43273</v>
      </c>
      <c r="C443" s="156" t="s">
        <v>531</v>
      </c>
      <c r="D443" s="156" t="s">
        <v>531</v>
      </c>
      <c r="E443">
        <v>1617077</v>
      </c>
      <c r="F443">
        <v>210795.16680000001</v>
      </c>
      <c r="G443">
        <v>91.769599999999997</v>
      </c>
      <c r="H443">
        <v>1.005681</v>
      </c>
      <c r="I443">
        <v>1</v>
      </c>
      <c r="J443" s="156">
        <v>1</v>
      </c>
      <c r="K443">
        <v>1</v>
      </c>
      <c r="L443">
        <v>1</v>
      </c>
      <c r="M443">
        <v>1</v>
      </c>
      <c r="N443">
        <v>1.005681</v>
      </c>
    </row>
    <row r="444" spans="1:14" x14ac:dyDescent="0.35">
      <c r="A444" s="156" t="s">
        <v>542</v>
      </c>
      <c r="B444" s="52">
        <v>43276</v>
      </c>
      <c r="C444" s="156" t="s">
        <v>531</v>
      </c>
      <c r="D444" s="156" t="s">
        <v>531</v>
      </c>
      <c r="E444">
        <v>1470296</v>
      </c>
      <c r="F444">
        <v>131336.69699999999</v>
      </c>
      <c r="G444">
        <v>88.408500000000004</v>
      </c>
      <c r="H444">
        <v>0.97045400000000004</v>
      </c>
      <c r="I444">
        <v>1</v>
      </c>
      <c r="J444" s="156">
        <v>1</v>
      </c>
      <c r="K444">
        <v>1</v>
      </c>
      <c r="L444">
        <v>1</v>
      </c>
      <c r="M444">
        <v>1</v>
      </c>
      <c r="N444">
        <v>0.97045400000000004</v>
      </c>
    </row>
    <row r="445" spans="1:14" x14ac:dyDescent="0.35">
      <c r="A445" s="156" t="s">
        <v>542</v>
      </c>
      <c r="B445" s="52">
        <v>43277</v>
      </c>
      <c r="C445" s="156" t="s">
        <v>531</v>
      </c>
      <c r="D445" s="156" t="s">
        <v>531</v>
      </c>
      <c r="E445">
        <v>747330</v>
      </c>
      <c r="F445">
        <v>69417.251099999994</v>
      </c>
      <c r="G445">
        <v>90.388599999999997</v>
      </c>
      <c r="H445">
        <v>1.0258560000000001</v>
      </c>
      <c r="I445">
        <v>1</v>
      </c>
      <c r="J445" s="156">
        <v>1</v>
      </c>
      <c r="K445">
        <v>1</v>
      </c>
      <c r="L445">
        <v>1</v>
      </c>
      <c r="M445">
        <v>1</v>
      </c>
      <c r="N445">
        <v>1.0258560000000001</v>
      </c>
    </row>
    <row r="446" spans="1:14" x14ac:dyDescent="0.35">
      <c r="A446" s="156" t="s">
        <v>542</v>
      </c>
      <c r="B446" s="52">
        <v>43278</v>
      </c>
      <c r="C446" s="156" t="s">
        <v>531</v>
      </c>
      <c r="D446" s="156" t="s">
        <v>531</v>
      </c>
      <c r="E446">
        <v>659016</v>
      </c>
      <c r="F446">
        <v>61140.999199999998</v>
      </c>
      <c r="G446">
        <v>91.249899999999997</v>
      </c>
      <c r="H446">
        <v>0.97741400000000001</v>
      </c>
      <c r="I446">
        <v>1</v>
      </c>
      <c r="J446" s="156">
        <v>1</v>
      </c>
      <c r="K446">
        <v>1</v>
      </c>
      <c r="L446">
        <v>1</v>
      </c>
      <c r="M446">
        <v>1</v>
      </c>
      <c r="N446">
        <v>0.97741400000000001</v>
      </c>
    </row>
    <row r="447" spans="1:14" x14ac:dyDescent="0.35">
      <c r="A447" s="156" t="s">
        <v>542</v>
      </c>
      <c r="B447" s="52">
        <v>43279</v>
      </c>
      <c r="C447" s="156" t="s">
        <v>531</v>
      </c>
      <c r="D447" s="156" t="s">
        <v>531</v>
      </c>
      <c r="E447">
        <v>620757</v>
      </c>
      <c r="F447">
        <v>57737.198700000001</v>
      </c>
      <c r="G447">
        <v>91.147199999999998</v>
      </c>
      <c r="H447">
        <v>1.0293589999999999</v>
      </c>
      <c r="I447">
        <v>1</v>
      </c>
      <c r="J447" s="156">
        <v>1</v>
      </c>
      <c r="K447">
        <v>1</v>
      </c>
      <c r="L447">
        <v>1</v>
      </c>
      <c r="M447">
        <v>1</v>
      </c>
      <c r="N447">
        <v>1.0293589999999999</v>
      </c>
    </row>
    <row r="448" spans="1:14" x14ac:dyDescent="0.35">
      <c r="A448" s="156" t="s">
        <v>542</v>
      </c>
      <c r="B448" s="52">
        <v>43280</v>
      </c>
      <c r="C448" s="156" t="s">
        <v>531</v>
      </c>
      <c r="D448" s="156" t="s">
        <v>531</v>
      </c>
      <c r="E448">
        <v>714915</v>
      </c>
      <c r="F448">
        <v>69632.959799999997</v>
      </c>
      <c r="G448">
        <v>93.678700000000006</v>
      </c>
      <c r="H448">
        <v>1.0172429999999999</v>
      </c>
      <c r="I448">
        <v>1</v>
      </c>
      <c r="J448" s="156">
        <v>1</v>
      </c>
      <c r="K448">
        <v>1</v>
      </c>
      <c r="L448">
        <v>1</v>
      </c>
      <c r="M448">
        <v>1</v>
      </c>
      <c r="N448">
        <v>1.0172429999999999</v>
      </c>
    </row>
    <row r="449" spans="1:14" x14ac:dyDescent="0.35">
      <c r="A449" s="156" t="s">
        <v>542</v>
      </c>
      <c r="B449" s="52">
        <v>43283</v>
      </c>
      <c r="C449" s="156" t="s">
        <v>531</v>
      </c>
      <c r="D449" s="156" t="s">
        <v>531</v>
      </c>
      <c r="E449">
        <v>730289</v>
      </c>
      <c r="F449">
        <v>72846.977700000003</v>
      </c>
      <c r="G449">
        <v>93.466200000000001</v>
      </c>
      <c r="H449">
        <v>1.004264</v>
      </c>
      <c r="I449">
        <v>1</v>
      </c>
      <c r="J449" s="156">
        <v>1</v>
      </c>
      <c r="K449">
        <v>1</v>
      </c>
      <c r="L449">
        <v>1</v>
      </c>
      <c r="M449">
        <v>1</v>
      </c>
      <c r="N449">
        <v>1.004264</v>
      </c>
    </row>
    <row r="450" spans="1:14" x14ac:dyDescent="0.35">
      <c r="A450" s="156" t="s">
        <v>542</v>
      </c>
      <c r="B450" s="52">
        <v>43284</v>
      </c>
      <c r="C450" s="156" t="s">
        <v>531</v>
      </c>
      <c r="D450" s="156" t="s">
        <v>531</v>
      </c>
      <c r="E450">
        <v>458038</v>
      </c>
      <c r="F450">
        <v>43750.633800000003</v>
      </c>
      <c r="G450">
        <v>92.445800000000006</v>
      </c>
      <c r="H450">
        <v>0.96602999999999994</v>
      </c>
      <c r="I450">
        <v>1</v>
      </c>
      <c r="J450" s="156">
        <v>1</v>
      </c>
      <c r="K450">
        <v>1</v>
      </c>
      <c r="L450">
        <v>1</v>
      </c>
      <c r="M450">
        <v>1</v>
      </c>
      <c r="N450">
        <v>0.96602999999999994</v>
      </c>
    </row>
    <row r="451" spans="1:14" x14ac:dyDescent="0.35">
      <c r="A451" s="156" t="s">
        <v>542</v>
      </c>
      <c r="B451" s="52">
        <v>43286</v>
      </c>
      <c r="C451" s="156" t="s">
        <v>531</v>
      </c>
      <c r="D451" s="156" t="s">
        <v>531</v>
      </c>
      <c r="E451">
        <v>633320</v>
      </c>
      <c r="F451">
        <v>59820.832399999999</v>
      </c>
      <c r="G451">
        <v>92.389799999999994</v>
      </c>
      <c r="H451">
        <v>1.0194510000000001</v>
      </c>
      <c r="I451">
        <v>1</v>
      </c>
      <c r="J451" s="156">
        <v>1</v>
      </c>
      <c r="K451">
        <v>1</v>
      </c>
      <c r="L451">
        <v>1</v>
      </c>
      <c r="M451">
        <v>1</v>
      </c>
      <c r="N451">
        <v>1.0194510000000001</v>
      </c>
    </row>
    <row r="452" spans="1:14" x14ac:dyDescent="0.35">
      <c r="A452" s="156" t="s">
        <v>542</v>
      </c>
      <c r="B452" s="52">
        <v>43287</v>
      </c>
      <c r="C452" s="156" t="s">
        <v>531</v>
      </c>
      <c r="D452" s="156" t="s">
        <v>531</v>
      </c>
      <c r="E452">
        <v>605061</v>
      </c>
      <c r="F452">
        <v>58853.419500000004</v>
      </c>
      <c r="G452">
        <v>93.6952</v>
      </c>
      <c r="H452">
        <v>1.0132589999999999</v>
      </c>
      <c r="I452">
        <v>1</v>
      </c>
      <c r="J452" s="156">
        <v>1</v>
      </c>
      <c r="K452">
        <v>1</v>
      </c>
      <c r="L452">
        <v>1</v>
      </c>
      <c r="M452">
        <v>1</v>
      </c>
      <c r="N452">
        <v>1.0132589999999999</v>
      </c>
    </row>
    <row r="453" spans="1:14" x14ac:dyDescent="0.35">
      <c r="A453" s="156" t="s">
        <v>542</v>
      </c>
      <c r="B453" s="52">
        <v>43290</v>
      </c>
      <c r="C453" s="156" t="s">
        <v>531</v>
      </c>
      <c r="D453" s="156" t="s">
        <v>531</v>
      </c>
      <c r="E453">
        <v>547733</v>
      </c>
      <c r="F453">
        <v>53556.793799999999</v>
      </c>
      <c r="G453">
        <v>93.980800000000002</v>
      </c>
      <c r="H453">
        <v>1.0058510000000001</v>
      </c>
      <c r="I453">
        <v>1</v>
      </c>
      <c r="J453" s="156">
        <v>1</v>
      </c>
      <c r="K453">
        <v>1</v>
      </c>
      <c r="L453">
        <v>1</v>
      </c>
      <c r="M453">
        <v>1</v>
      </c>
      <c r="N453">
        <v>1.0058510000000001</v>
      </c>
    </row>
    <row r="454" spans="1:14" x14ac:dyDescent="0.35">
      <c r="A454" s="156" t="s">
        <v>542</v>
      </c>
      <c r="B454" s="52">
        <v>43291</v>
      </c>
      <c r="C454" s="156" t="s">
        <v>531</v>
      </c>
      <c r="D454" s="156" t="s">
        <v>531</v>
      </c>
      <c r="E454">
        <v>525090</v>
      </c>
      <c r="F454">
        <v>50350.278599999998</v>
      </c>
      <c r="G454">
        <v>93.532399999999996</v>
      </c>
      <c r="H454">
        <v>0.98032799999999998</v>
      </c>
      <c r="I454">
        <v>1</v>
      </c>
      <c r="J454" s="156">
        <v>1</v>
      </c>
      <c r="K454">
        <v>1</v>
      </c>
      <c r="L454">
        <v>1</v>
      </c>
      <c r="M454">
        <v>1</v>
      </c>
      <c r="N454">
        <v>0.98032799999999998</v>
      </c>
    </row>
    <row r="455" spans="1:14" x14ac:dyDescent="0.35">
      <c r="A455" s="156" t="s">
        <v>542</v>
      </c>
      <c r="B455" s="52">
        <v>43292</v>
      </c>
      <c r="C455" s="156" t="s">
        <v>531</v>
      </c>
      <c r="D455" s="156" t="s">
        <v>531</v>
      </c>
      <c r="E455">
        <v>541266</v>
      </c>
      <c r="F455">
        <v>51511.858800000002</v>
      </c>
      <c r="G455">
        <v>91.786299999999997</v>
      </c>
      <c r="H455">
        <v>0.988672</v>
      </c>
      <c r="I455">
        <v>1</v>
      </c>
      <c r="J455" s="156">
        <v>1</v>
      </c>
      <c r="K455">
        <v>1</v>
      </c>
      <c r="L455">
        <v>1</v>
      </c>
      <c r="M455">
        <v>1</v>
      </c>
      <c r="N455">
        <v>0.988672</v>
      </c>
    </row>
    <row r="456" spans="1:14" x14ac:dyDescent="0.35">
      <c r="A456" s="156" t="s">
        <v>542</v>
      </c>
      <c r="B456" s="52">
        <v>43293</v>
      </c>
      <c r="C456" s="156" t="s">
        <v>531</v>
      </c>
      <c r="D456" s="156" t="s">
        <v>531</v>
      </c>
      <c r="E456">
        <v>509720</v>
      </c>
      <c r="F456">
        <v>49729.8266</v>
      </c>
      <c r="G456">
        <v>94.139700000000005</v>
      </c>
      <c r="H456">
        <v>1.03481</v>
      </c>
      <c r="I456">
        <v>1</v>
      </c>
      <c r="J456" s="156">
        <v>1</v>
      </c>
      <c r="K456">
        <v>1</v>
      </c>
      <c r="L456">
        <v>1</v>
      </c>
      <c r="M456">
        <v>1</v>
      </c>
      <c r="N456">
        <v>1.03481</v>
      </c>
    </row>
    <row r="457" spans="1:14" x14ac:dyDescent="0.35">
      <c r="A457" s="156" t="s">
        <v>542</v>
      </c>
      <c r="B457" s="52">
        <v>43294</v>
      </c>
      <c r="C457" s="156" t="s">
        <v>531</v>
      </c>
      <c r="D457" s="156" t="s">
        <v>531</v>
      </c>
      <c r="E457">
        <v>288839</v>
      </c>
      <c r="F457">
        <v>28939.2163</v>
      </c>
      <c r="G457">
        <v>94.030500000000004</v>
      </c>
      <c r="H457">
        <v>0.99272400000000005</v>
      </c>
      <c r="I457">
        <v>1</v>
      </c>
      <c r="J457" s="156">
        <v>1</v>
      </c>
      <c r="K457">
        <v>1</v>
      </c>
      <c r="L457">
        <v>1</v>
      </c>
      <c r="M457">
        <v>1</v>
      </c>
      <c r="N457">
        <v>0.99272400000000005</v>
      </c>
    </row>
    <row r="458" spans="1:14" x14ac:dyDescent="0.35">
      <c r="A458" s="156" t="s">
        <v>542</v>
      </c>
      <c r="B458" s="52">
        <v>43297</v>
      </c>
      <c r="C458" s="156" t="s">
        <v>531</v>
      </c>
      <c r="D458" s="156" t="s">
        <v>531</v>
      </c>
      <c r="E458">
        <v>543090</v>
      </c>
      <c r="F458">
        <v>51760.497100000001</v>
      </c>
      <c r="G458">
        <v>93.213999999999999</v>
      </c>
      <c r="H458">
        <v>0.99139599999999994</v>
      </c>
      <c r="I458">
        <v>1</v>
      </c>
      <c r="J458" s="156">
        <v>1</v>
      </c>
      <c r="K458">
        <v>1</v>
      </c>
      <c r="L458">
        <v>1</v>
      </c>
      <c r="M458">
        <v>1</v>
      </c>
      <c r="N458">
        <v>0.99139599999999994</v>
      </c>
    </row>
    <row r="459" spans="1:14" x14ac:dyDescent="0.35">
      <c r="A459" s="156" t="s">
        <v>542</v>
      </c>
      <c r="B459" s="52">
        <v>43298</v>
      </c>
      <c r="C459" s="156" t="s">
        <v>531</v>
      </c>
      <c r="D459" s="156" t="s">
        <v>531</v>
      </c>
      <c r="E459">
        <v>724878</v>
      </c>
      <c r="F459">
        <v>66361.055699999997</v>
      </c>
      <c r="G459">
        <v>93.925399999999996</v>
      </c>
      <c r="H459">
        <v>1.0168219999999999</v>
      </c>
      <c r="I459">
        <v>1</v>
      </c>
      <c r="J459" s="156">
        <v>1</v>
      </c>
      <c r="K459">
        <v>1</v>
      </c>
      <c r="L459">
        <v>1</v>
      </c>
      <c r="M459">
        <v>1</v>
      </c>
      <c r="N459">
        <v>1.0168219999999999</v>
      </c>
    </row>
    <row r="460" spans="1:14" x14ac:dyDescent="0.35">
      <c r="A460" s="156" t="s">
        <v>542</v>
      </c>
      <c r="B460" s="52">
        <v>43299</v>
      </c>
      <c r="C460" s="156" t="s">
        <v>531</v>
      </c>
      <c r="D460" s="156" t="s">
        <v>531</v>
      </c>
      <c r="E460">
        <v>386025</v>
      </c>
      <c r="F460">
        <v>36606.698900000003</v>
      </c>
      <c r="G460">
        <v>94.822699999999998</v>
      </c>
      <c r="H460">
        <v>1.00295</v>
      </c>
      <c r="I460">
        <v>1</v>
      </c>
      <c r="J460" s="156">
        <v>1</v>
      </c>
      <c r="K460">
        <v>1</v>
      </c>
      <c r="L460">
        <v>1</v>
      </c>
      <c r="M460">
        <v>1</v>
      </c>
      <c r="N460">
        <v>1.00295</v>
      </c>
    </row>
    <row r="461" spans="1:14" x14ac:dyDescent="0.35">
      <c r="A461" s="156" t="s">
        <v>542</v>
      </c>
      <c r="B461" s="52">
        <v>43300</v>
      </c>
      <c r="C461" s="156" t="s">
        <v>531</v>
      </c>
      <c r="D461" s="156" t="s">
        <v>531</v>
      </c>
      <c r="E461">
        <v>327838</v>
      </c>
      <c r="F461">
        <v>30994.299299999999</v>
      </c>
      <c r="G461">
        <v>94.537300000000002</v>
      </c>
      <c r="H461">
        <v>0.99495699999999998</v>
      </c>
      <c r="I461">
        <v>1</v>
      </c>
      <c r="J461" s="156">
        <v>1</v>
      </c>
      <c r="K461">
        <v>1</v>
      </c>
      <c r="L461">
        <v>1</v>
      </c>
      <c r="M461">
        <v>1</v>
      </c>
      <c r="N461">
        <v>0.99495699999999998</v>
      </c>
    </row>
    <row r="462" spans="1:14" x14ac:dyDescent="0.35">
      <c r="A462" s="156" t="s">
        <v>542</v>
      </c>
      <c r="B462" s="52">
        <v>43301</v>
      </c>
      <c r="C462" s="156" t="s">
        <v>531</v>
      </c>
      <c r="D462" s="156" t="s">
        <v>531</v>
      </c>
      <c r="E462">
        <v>947693</v>
      </c>
      <c r="F462">
        <v>91810.262300000002</v>
      </c>
      <c r="G462">
        <v>96.864900000000006</v>
      </c>
      <c r="H462">
        <v>1.027455</v>
      </c>
      <c r="I462">
        <v>1</v>
      </c>
      <c r="J462" s="156">
        <v>1</v>
      </c>
      <c r="K462">
        <v>1</v>
      </c>
      <c r="L462">
        <v>1</v>
      </c>
      <c r="M462">
        <v>1</v>
      </c>
      <c r="N462">
        <v>1.027455</v>
      </c>
    </row>
    <row r="463" spans="1:14" x14ac:dyDescent="0.35">
      <c r="A463" s="156" t="s">
        <v>542</v>
      </c>
      <c r="B463" s="52">
        <v>43304</v>
      </c>
      <c r="C463" s="156" t="s">
        <v>531</v>
      </c>
      <c r="D463" s="156" t="s">
        <v>531</v>
      </c>
      <c r="E463">
        <v>759381</v>
      </c>
      <c r="F463">
        <v>72083.113899999997</v>
      </c>
      <c r="G463">
        <v>94.919799999999995</v>
      </c>
      <c r="H463">
        <v>0.97512799999999999</v>
      </c>
      <c r="I463">
        <v>1</v>
      </c>
      <c r="J463" s="156">
        <v>1</v>
      </c>
      <c r="K463">
        <v>1</v>
      </c>
      <c r="L463">
        <v>1</v>
      </c>
      <c r="M463">
        <v>1</v>
      </c>
      <c r="N463">
        <v>0.97512799999999999</v>
      </c>
    </row>
    <row r="464" spans="1:14" x14ac:dyDescent="0.35">
      <c r="A464" s="156" t="s">
        <v>542</v>
      </c>
      <c r="B464" s="52">
        <v>43305</v>
      </c>
      <c r="C464" s="156" t="s">
        <v>531</v>
      </c>
      <c r="D464" s="156" t="s">
        <v>531</v>
      </c>
      <c r="E464">
        <v>1175402</v>
      </c>
      <c r="F464">
        <v>107233.8842</v>
      </c>
      <c r="G464">
        <v>91.191500000000005</v>
      </c>
      <c r="H464">
        <v>0.95120199999999999</v>
      </c>
      <c r="I464">
        <v>1</v>
      </c>
      <c r="J464" s="156">
        <v>1</v>
      </c>
      <c r="K464">
        <v>1</v>
      </c>
      <c r="L464">
        <v>1</v>
      </c>
      <c r="M464">
        <v>1</v>
      </c>
      <c r="N464">
        <v>0.95120199999999999</v>
      </c>
    </row>
    <row r="465" spans="1:14" x14ac:dyDescent="0.35">
      <c r="A465" s="156" t="s">
        <v>542</v>
      </c>
      <c r="B465" s="52">
        <v>43306</v>
      </c>
      <c r="C465" s="156" t="s">
        <v>531</v>
      </c>
      <c r="D465" s="156" t="s">
        <v>531</v>
      </c>
      <c r="E465">
        <v>598672</v>
      </c>
      <c r="F465">
        <v>55760.178099999997</v>
      </c>
      <c r="G465">
        <v>93.120800000000003</v>
      </c>
      <c r="H465">
        <v>1.032022</v>
      </c>
      <c r="I465">
        <v>1</v>
      </c>
      <c r="J465" s="156">
        <v>1</v>
      </c>
      <c r="K465">
        <v>1</v>
      </c>
      <c r="L465">
        <v>1</v>
      </c>
      <c r="M465">
        <v>1</v>
      </c>
      <c r="N465">
        <v>1.032022</v>
      </c>
    </row>
    <row r="466" spans="1:14" x14ac:dyDescent="0.35">
      <c r="A466" s="156" t="s">
        <v>542</v>
      </c>
      <c r="B466" s="52">
        <v>43307</v>
      </c>
      <c r="C466" s="156" t="s">
        <v>531</v>
      </c>
      <c r="D466" s="156" t="s">
        <v>531</v>
      </c>
      <c r="E466">
        <v>445796</v>
      </c>
      <c r="F466">
        <v>41319.551500000001</v>
      </c>
      <c r="G466">
        <v>92.651600000000002</v>
      </c>
      <c r="H466">
        <v>0.99624199999999996</v>
      </c>
      <c r="I466">
        <v>1</v>
      </c>
      <c r="J466" s="156">
        <v>1</v>
      </c>
      <c r="K466">
        <v>1</v>
      </c>
      <c r="L466">
        <v>1</v>
      </c>
      <c r="M466">
        <v>1</v>
      </c>
      <c r="N466">
        <v>0.99624199999999996</v>
      </c>
    </row>
    <row r="467" spans="1:14" x14ac:dyDescent="0.35">
      <c r="A467" s="156" t="s">
        <v>542</v>
      </c>
      <c r="B467" s="52">
        <v>43308</v>
      </c>
      <c r="C467" s="156" t="s">
        <v>531</v>
      </c>
      <c r="D467" s="156" t="s">
        <v>531</v>
      </c>
      <c r="E467">
        <v>995688</v>
      </c>
      <c r="F467">
        <v>89041.276500000007</v>
      </c>
      <c r="G467">
        <v>89.319000000000003</v>
      </c>
      <c r="H467">
        <v>0.96454399999999996</v>
      </c>
      <c r="I467">
        <v>1</v>
      </c>
      <c r="J467" s="156">
        <v>1</v>
      </c>
      <c r="K467">
        <v>1</v>
      </c>
      <c r="L467">
        <v>1</v>
      </c>
      <c r="M467">
        <v>1</v>
      </c>
      <c r="N467">
        <v>0.96454399999999996</v>
      </c>
    </row>
    <row r="468" spans="1:14" x14ac:dyDescent="0.35">
      <c r="A468" s="156" t="s">
        <v>542</v>
      </c>
      <c r="B468" s="52">
        <v>43311</v>
      </c>
      <c r="C468" s="156" t="s">
        <v>531</v>
      </c>
      <c r="D468" s="156" t="s">
        <v>531</v>
      </c>
      <c r="E468">
        <v>919560</v>
      </c>
      <c r="F468">
        <v>79031.485199999996</v>
      </c>
      <c r="G468">
        <v>85.9756</v>
      </c>
      <c r="H468">
        <v>0.96044700000000005</v>
      </c>
      <c r="I468">
        <v>1</v>
      </c>
      <c r="J468" s="156">
        <v>1</v>
      </c>
      <c r="K468">
        <v>1</v>
      </c>
      <c r="L468">
        <v>1</v>
      </c>
      <c r="M468">
        <v>1</v>
      </c>
      <c r="N468">
        <v>0.96044700000000005</v>
      </c>
    </row>
    <row r="469" spans="1:14" x14ac:dyDescent="0.35">
      <c r="A469" s="156" t="s">
        <v>542</v>
      </c>
      <c r="B469" s="52">
        <v>43312</v>
      </c>
      <c r="C469" s="156" t="s">
        <v>531</v>
      </c>
      <c r="D469" s="156" t="s">
        <v>531</v>
      </c>
      <c r="E469">
        <v>919150</v>
      </c>
      <c r="F469">
        <v>78344.319799999997</v>
      </c>
      <c r="G469">
        <v>85.2179</v>
      </c>
      <c r="H469">
        <v>0.98092100000000004</v>
      </c>
      <c r="I469">
        <v>1</v>
      </c>
      <c r="J469" s="156">
        <v>1</v>
      </c>
      <c r="K469">
        <v>1</v>
      </c>
      <c r="L469">
        <v>1</v>
      </c>
      <c r="M469">
        <v>1</v>
      </c>
      <c r="N469">
        <v>0.98092100000000004</v>
      </c>
    </row>
    <row r="470" spans="1:14" x14ac:dyDescent="0.35">
      <c r="A470" s="156" t="s">
        <v>542</v>
      </c>
      <c r="B470" s="52">
        <v>43313</v>
      </c>
      <c r="C470" s="156" t="s">
        <v>531</v>
      </c>
      <c r="D470" s="156" t="s">
        <v>531</v>
      </c>
      <c r="E470">
        <v>874775</v>
      </c>
      <c r="F470">
        <v>75833.333599999998</v>
      </c>
      <c r="G470">
        <v>86.678899999999999</v>
      </c>
      <c r="H470">
        <v>1.0298860000000001</v>
      </c>
      <c r="I470">
        <v>1</v>
      </c>
      <c r="J470" s="156">
        <v>1</v>
      </c>
      <c r="K470">
        <v>1</v>
      </c>
      <c r="L470">
        <v>1</v>
      </c>
      <c r="M470">
        <v>1</v>
      </c>
      <c r="N470">
        <v>1.0298860000000001</v>
      </c>
    </row>
    <row r="471" spans="1:14" x14ac:dyDescent="0.35">
      <c r="A471" s="156" t="s">
        <v>542</v>
      </c>
      <c r="B471" s="52">
        <v>43314</v>
      </c>
      <c r="C471" s="156" t="s">
        <v>531</v>
      </c>
      <c r="D471" s="156" t="s">
        <v>531</v>
      </c>
      <c r="E471">
        <v>509851</v>
      </c>
      <c r="F471">
        <v>44882.575799999999</v>
      </c>
      <c r="G471">
        <v>88.023600000000002</v>
      </c>
      <c r="H471">
        <v>1.0189999999999999</v>
      </c>
      <c r="I471">
        <v>1</v>
      </c>
      <c r="J471" s="156">
        <v>1</v>
      </c>
      <c r="K471">
        <v>1</v>
      </c>
      <c r="L471">
        <v>1</v>
      </c>
      <c r="M471">
        <v>1</v>
      </c>
      <c r="N471">
        <v>1.0189999999999999</v>
      </c>
    </row>
    <row r="472" spans="1:14" x14ac:dyDescent="0.35">
      <c r="A472" s="156" t="s">
        <v>542</v>
      </c>
      <c r="B472" s="52">
        <v>43315</v>
      </c>
      <c r="C472" s="156" t="s">
        <v>531</v>
      </c>
      <c r="D472" s="156" t="s">
        <v>531</v>
      </c>
      <c r="E472">
        <v>595646</v>
      </c>
      <c r="F472">
        <v>51772.132700000002</v>
      </c>
      <c r="G472">
        <v>86.918499999999995</v>
      </c>
      <c r="H472">
        <v>0.98169300000000004</v>
      </c>
      <c r="I472">
        <v>1</v>
      </c>
      <c r="J472" s="156">
        <v>1</v>
      </c>
      <c r="K472">
        <v>1</v>
      </c>
      <c r="L472">
        <v>1</v>
      </c>
      <c r="M472">
        <v>1</v>
      </c>
      <c r="N472">
        <v>0.98169300000000004</v>
      </c>
    </row>
    <row r="473" spans="1:14" x14ac:dyDescent="0.35">
      <c r="A473" s="156" t="s">
        <v>542</v>
      </c>
      <c r="B473" s="52">
        <v>43318</v>
      </c>
      <c r="C473" s="156" t="s">
        <v>531</v>
      </c>
      <c r="D473" s="156" t="s">
        <v>531</v>
      </c>
      <c r="E473">
        <v>418078</v>
      </c>
      <c r="F473">
        <v>36768.412600000003</v>
      </c>
      <c r="G473">
        <v>87.947800000000001</v>
      </c>
      <c r="H473">
        <v>1.0261309999999999</v>
      </c>
      <c r="I473">
        <v>1</v>
      </c>
      <c r="J473" s="156">
        <v>1</v>
      </c>
      <c r="K473">
        <v>1</v>
      </c>
      <c r="L473">
        <v>1</v>
      </c>
      <c r="M473">
        <v>1</v>
      </c>
      <c r="N473">
        <v>1.0261309999999999</v>
      </c>
    </row>
    <row r="474" spans="1:14" x14ac:dyDescent="0.35">
      <c r="A474" s="156" t="s">
        <v>542</v>
      </c>
      <c r="B474" s="52">
        <v>43319</v>
      </c>
      <c r="C474" s="156" t="s">
        <v>531</v>
      </c>
      <c r="D474" s="156" t="s">
        <v>531</v>
      </c>
      <c r="E474">
        <v>596713</v>
      </c>
      <c r="F474">
        <v>53778.989399999999</v>
      </c>
      <c r="G474">
        <v>90.1233</v>
      </c>
      <c r="H474">
        <v>1.0111060000000001</v>
      </c>
      <c r="I474">
        <v>1</v>
      </c>
      <c r="J474" s="156">
        <v>1</v>
      </c>
      <c r="K474">
        <v>1</v>
      </c>
      <c r="L474">
        <v>1</v>
      </c>
      <c r="M474">
        <v>1</v>
      </c>
      <c r="N474">
        <v>1.0111060000000001</v>
      </c>
    </row>
    <row r="475" spans="1:14" x14ac:dyDescent="0.35">
      <c r="A475" s="156" t="s">
        <v>542</v>
      </c>
      <c r="B475" s="52">
        <v>43320</v>
      </c>
      <c r="C475" s="156" t="s">
        <v>531</v>
      </c>
      <c r="D475" s="156" t="s">
        <v>531</v>
      </c>
      <c r="E475">
        <v>729335</v>
      </c>
      <c r="F475">
        <v>66447.357099999994</v>
      </c>
      <c r="G475">
        <v>91.0852</v>
      </c>
      <c r="H475">
        <v>1.0137579999999999</v>
      </c>
      <c r="I475">
        <v>1</v>
      </c>
      <c r="J475" s="156">
        <v>1</v>
      </c>
      <c r="K475">
        <v>1</v>
      </c>
      <c r="L475">
        <v>1</v>
      </c>
      <c r="M475">
        <v>1</v>
      </c>
      <c r="N475">
        <v>1.0137579999999999</v>
      </c>
    </row>
    <row r="476" spans="1:14" x14ac:dyDescent="0.35">
      <c r="A476" s="156" t="s">
        <v>542</v>
      </c>
      <c r="B476" s="52">
        <v>43321</v>
      </c>
      <c r="C476" s="156" t="s">
        <v>531</v>
      </c>
      <c r="D476" s="156" t="s">
        <v>531</v>
      </c>
      <c r="E476">
        <v>1960731</v>
      </c>
      <c r="F476">
        <v>189113.30040000001</v>
      </c>
      <c r="G476">
        <v>96.475800000000007</v>
      </c>
      <c r="H476">
        <v>1.0210129999999999</v>
      </c>
      <c r="I476">
        <v>1</v>
      </c>
      <c r="J476" s="156">
        <v>1</v>
      </c>
      <c r="K476">
        <v>1</v>
      </c>
      <c r="L476">
        <v>1</v>
      </c>
      <c r="M476">
        <v>1</v>
      </c>
      <c r="N476">
        <v>1.0210129999999999</v>
      </c>
    </row>
    <row r="477" spans="1:14" x14ac:dyDescent="0.35">
      <c r="A477" s="156" t="s">
        <v>542</v>
      </c>
      <c r="B477" s="52">
        <v>43322</v>
      </c>
      <c r="C477" s="156" t="s">
        <v>531</v>
      </c>
      <c r="D477" s="156" t="s">
        <v>531</v>
      </c>
      <c r="E477">
        <v>10362818</v>
      </c>
      <c r="F477">
        <v>1298041.0097000001</v>
      </c>
      <c r="G477">
        <v>125.2518</v>
      </c>
      <c r="H477">
        <v>1.3713150000000001</v>
      </c>
      <c r="I477">
        <v>1</v>
      </c>
      <c r="J477" s="156">
        <v>1</v>
      </c>
      <c r="K477">
        <v>1</v>
      </c>
      <c r="L477">
        <v>1</v>
      </c>
      <c r="M477">
        <v>1</v>
      </c>
      <c r="N477">
        <v>1.3713150000000001</v>
      </c>
    </row>
    <row r="478" spans="1:14" x14ac:dyDescent="0.35">
      <c r="A478" s="156" t="s">
        <v>542</v>
      </c>
      <c r="B478" s="52">
        <v>43325</v>
      </c>
      <c r="C478" s="156" t="s">
        <v>531</v>
      </c>
      <c r="D478" s="156" t="s">
        <v>531</v>
      </c>
      <c r="E478">
        <v>2679974</v>
      </c>
      <c r="F478">
        <v>337008.66869999998</v>
      </c>
      <c r="G478">
        <v>125.7744</v>
      </c>
      <c r="H478">
        <v>0.98248999999999997</v>
      </c>
      <c r="I478">
        <v>1</v>
      </c>
      <c r="J478" s="156">
        <v>1</v>
      </c>
      <c r="K478">
        <v>1</v>
      </c>
      <c r="L478">
        <v>1</v>
      </c>
      <c r="M478">
        <v>1</v>
      </c>
      <c r="N478">
        <v>0.98248999999999997</v>
      </c>
    </row>
    <row r="479" spans="1:14" x14ac:dyDescent="0.35">
      <c r="A479" s="156" t="s">
        <v>542</v>
      </c>
      <c r="B479" s="52">
        <v>43326</v>
      </c>
      <c r="C479" s="156" t="s">
        <v>531</v>
      </c>
      <c r="D479" s="156" t="s">
        <v>531</v>
      </c>
      <c r="E479">
        <v>2324018</v>
      </c>
      <c r="F479">
        <v>304293.03139999998</v>
      </c>
      <c r="G479">
        <v>130.88630000000001</v>
      </c>
      <c r="H479">
        <v>1.0581590000000001</v>
      </c>
      <c r="I479">
        <v>1</v>
      </c>
      <c r="J479" s="156">
        <v>1</v>
      </c>
      <c r="K479">
        <v>1</v>
      </c>
      <c r="L479">
        <v>1</v>
      </c>
      <c r="M479">
        <v>1</v>
      </c>
      <c r="N479">
        <v>1.0581590000000001</v>
      </c>
    </row>
    <row r="480" spans="1:14" x14ac:dyDescent="0.35">
      <c r="A480" s="156" t="s">
        <v>542</v>
      </c>
      <c r="B480" s="52">
        <v>43327</v>
      </c>
      <c r="C480" s="156" t="s">
        <v>531</v>
      </c>
      <c r="D480" s="156" t="s">
        <v>531</v>
      </c>
      <c r="E480">
        <v>1790145</v>
      </c>
      <c r="F480">
        <v>228673.8849</v>
      </c>
      <c r="G480">
        <v>127.765</v>
      </c>
      <c r="H480">
        <v>0.95255599999999996</v>
      </c>
      <c r="I480">
        <v>1</v>
      </c>
      <c r="J480" s="156">
        <v>1</v>
      </c>
      <c r="K480">
        <v>1</v>
      </c>
      <c r="L480">
        <v>1</v>
      </c>
      <c r="M480">
        <v>1</v>
      </c>
      <c r="N480">
        <v>0.95255599999999996</v>
      </c>
    </row>
    <row r="481" spans="1:14" x14ac:dyDescent="0.35">
      <c r="A481" s="156" t="s">
        <v>542</v>
      </c>
      <c r="B481" s="52">
        <v>43328</v>
      </c>
      <c r="C481" s="156" t="s">
        <v>531</v>
      </c>
      <c r="D481" s="156" t="s">
        <v>531</v>
      </c>
      <c r="E481">
        <v>960340</v>
      </c>
      <c r="F481">
        <v>122670.436</v>
      </c>
      <c r="G481">
        <v>127.74339999999999</v>
      </c>
      <c r="H481">
        <v>1.0043409999999999</v>
      </c>
      <c r="I481">
        <v>1</v>
      </c>
      <c r="J481" s="156">
        <v>1</v>
      </c>
      <c r="K481">
        <v>1</v>
      </c>
      <c r="L481">
        <v>1</v>
      </c>
      <c r="M481">
        <v>1</v>
      </c>
      <c r="N481">
        <v>1.0043409999999999</v>
      </c>
    </row>
    <row r="482" spans="1:14" x14ac:dyDescent="0.35">
      <c r="A482" s="156" t="s">
        <v>542</v>
      </c>
      <c r="B482" s="52">
        <v>43329</v>
      </c>
      <c r="C482" s="156" t="s">
        <v>531</v>
      </c>
      <c r="D482" s="156" t="s">
        <v>531</v>
      </c>
      <c r="E482">
        <v>798231</v>
      </c>
      <c r="F482">
        <v>100560.4752</v>
      </c>
      <c r="G482">
        <v>125.96680000000001</v>
      </c>
      <c r="H482">
        <v>0.98719000000000001</v>
      </c>
      <c r="I482">
        <v>1</v>
      </c>
      <c r="J482" s="156">
        <v>1</v>
      </c>
      <c r="K482">
        <v>1</v>
      </c>
      <c r="L482">
        <v>1</v>
      </c>
      <c r="M482">
        <v>1</v>
      </c>
      <c r="N482">
        <v>0.98719000000000001</v>
      </c>
    </row>
    <row r="483" spans="1:14" x14ac:dyDescent="0.35">
      <c r="A483" s="156" t="s">
        <v>542</v>
      </c>
      <c r="B483" s="52">
        <v>43332</v>
      </c>
      <c r="C483" s="156" t="s">
        <v>531</v>
      </c>
      <c r="D483" s="156" t="s">
        <v>531</v>
      </c>
      <c r="E483">
        <v>646353</v>
      </c>
      <c r="F483">
        <v>81300.857300000003</v>
      </c>
      <c r="G483">
        <v>125.78489999999999</v>
      </c>
      <c r="H483">
        <v>0.99800999999999995</v>
      </c>
      <c r="I483">
        <v>1</v>
      </c>
      <c r="J483" s="156">
        <v>1</v>
      </c>
      <c r="K483">
        <v>1</v>
      </c>
      <c r="L483">
        <v>1</v>
      </c>
      <c r="M483">
        <v>1</v>
      </c>
      <c r="N483">
        <v>0.99800999999999995</v>
      </c>
    </row>
    <row r="484" spans="1:14" x14ac:dyDescent="0.35">
      <c r="A484" s="156" t="s">
        <v>542</v>
      </c>
      <c r="B484" s="52">
        <v>43333</v>
      </c>
      <c r="C484" s="156" t="s">
        <v>531</v>
      </c>
      <c r="D484" s="156" t="s">
        <v>531</v>
      </c>
      <c r="E484">
        <v>1016164</v>
      </c>
      <c r="F484">
        <v>130330.2601</v>
      </c>
      <c r="G484">
        <v>128.24520000000001</v>
      </c>
      <c r="H484">
        <v>1.0292760000000001</v>
      </c>
      <c r="I484">
        <v>1</v>
      </c>
      <c r="J484" s="156">
        <v>1</v>
      </c>
      <c r="K484">
        <v>1</v>
      </c>
      <c r="L484">
        <v>1</v>
      </c>
      <c r="M484">
        <v>1</v>
      </c>
      <c r="N484">
        <v>1.0292760000000001</v>
      </c>
    </row>
    <row r="485" spans="1:14" x14ac:dyDescent="0.35">
      <c r="A485" s="156" t="s">
        <v>542</v>
      </c>
      <c r="B485" s="52">
        <v>43334</v>
      </c>
      <c r="C485" s="156" t="s">
        <v>531</v>
      </c>
      <c r="D485" s="156" t="s">
        <v>531</v>
      </c>
      <c r="E485">
        <v>753628</v>
      </c>
      <c r="F485">
        <v>97202.692500000005</v>
      </c>
      <c r="G485">
        <v>128.97989999999999</v>
      </c>
      <c r="H485">
        <v>1.0050380000000001</v>
      </c>
      <c r="I485">
        <v>1</v>
      </c>
      <c r="J485" s="156">
        <v>1</v>
      </c>
      <c r="K485">
        <v>1</v>
      </c>
      <c r="L485">
        <v>1</v>
      </c>
      <c r="M485">
        <v>1</v>
      </c>
      <c r="N485">
        <v>1.0050380000000001</v>
      </c>
    </row>
    <row r="486" spans="1:14" x14ac:dyDescent="0.35">
      <c r="A486" s="156" t="s">
        <v>542</v>
      </c>
      <c r="B486" s="52">
        <v>43335</v>
      </c>
      <c r="C486" s="156" t="s">
        <v>531</v>
      </c>
      <c r="D486" s="156" t="s">
        <v>531</v>
      </c>
      <c r="E486">
        <v>1475745</v>
      </c>
      <c r="F486">
        <v>198397.1047</v>
      </c>
      <c r="G486">
        <v>134.43690000000001</v>
      </c>
      <c r="H486">
        <v>1.054133</v>
      </c>
      <c r="I486">
        <v>1</v>
      </c>
      <c r="J486" s="156">
        <v>1</v>
      </c>
      <c r="K486">
        <v>1</v>
      </c>
      <c r="L486">
        <v>1</v>
      </c>
      <c r="M486">
        <v>1</v>
      </c>
      <c r="N486">
        <v>1.054133</v>
      </c>
    </row>
    <row r="487" spans="1:14" x14ac:dyDescent="0.35">
      <c r="A487" s="156" t="s">
        <v>542</v>
      </c>
      <c r="B487" s="52">
        <v>43336</v>
      </c>
      <c r="C487" s="156" t="s">
        <v>531</v>
      </c>
      <c r="D487" s="156" t="s">
        <v>531</v>
      </c>
      <c r="E487">
        <v>1162164</v>
      </c>
      <c r="F487">
        <v>160945.32130000001</v>
      </c>
      <c r="G487">
        <v>138.48349999999999</v>
      </c>
      <c r="H487">
        <v>1.01207</v>
      </c>
      <c r="I487">
        <v>1</v>
      </c>
      <c r="J487" s="156">
        <v>1</v>
      </c>
      <c r="K487">
        <v>1</v>
      </c>
      <c r="L487">
        <v>1</v>
      </c>
      <c r="M487">
        <v>1</v>
      </c>
      <c r="N487">
        <v>1.01207</v>
      </c>
    </row>
    <row r="488" spans="1:14" x14ac:dyDescent="0.35">
      <c r="A488" s="156" t="s">
        <v>542</v>
      </c>
      <c r="B488" s="52">
        <v>43339</v>
      </c>
      <c r="C488" s="156" t="s">
        <v>531</v>
      </c>
      <c r="D488" s="156" t="s">
        <v>531</v>
      </c>
      <c r="E488">
        <v>755389</v>
      </c>
      <c r="F488">
        <v>106028.4924</v>
      </c>
      <c r="G488">
        <v>140.35939999999999</v>
      </c>
      <c r="H488">
        <v>1.0099020000000001</v>
      </c>
      <c r="I488">
        <v>1</v>
      </c>
      <c r="J488" s="156">
        <v>1</v>
      </c>
      <c r="K488">
        <v>1</v>
      </c>
      <c r="L488">
        <v>1</v>
      </c>
      <c r="M488">
        <v>1</v>
      </c>
      <c r="N488">
        <v>1.0099020000000001</v>
      </c>
    </row>
    <row r="489" spans="1:14" x14ac:dyDescent="0.35">
      <c r="A489" s="156" t="s">
        <v>542</v>
      </c>
      <c r="B489" s="52">
        <v>43340</v>
      </c>
      <c r="C489" s="156" t="s">
        <v>531</v>
      </c>
      <c r="D489" s="156" t="s">
        <v>531</v>
      </c>
      <c r="E489">
        <v>543887</v>
      </c>
      <c r="F489">
        <v>75801.709000000003</v>
      </c>
      <c r="G489">
        <v>139.3828</v>
      </c>
      <c r="H489">
        <v>1.002648</v>
      </c>
      <c r="I489">
        <v>1</v>
      </c>
      <c r="J489" s="156">
        <v>1</v>
      </c>
      <c r="K489">
        <v>1</v>
      </c>
      <c r="L489">
        <v>1</v>
      </c>
      <c r="M489">
        <v>1</v>
      </c>
      <c r="N489">
        <v>1.002648</v>
      </c>
    </row>
    <row r="490" spans="1:14" x14ac:dyDescent="0.35">
      <c r="A490" s="156" t="s">
        <v>542</v>
      </c>
      <c r="B490" s="52">
        <v>43341</v>
      </c>
      <c r="C490" s="156" t="s">
        <v>531</v>
      </c>
      <c r="D490" s="156" t="s">
        <v>531</v>
      </c>
      <c r="E490">
        <v>550841</v>
      </c>
      <c r="F490">
        <v>77934.040900000007</v>
      </c>
      <c r="G490">
        <v>141.4786</v>
      </c>
      <c r="H490">
        <v>1.011207</v>
      </c>
      <c r="I490">
        <v>1</v>
      </c>
      <c r="J490" s="156">
        <v>1</v>
      </c>
      <c r="K490">
        <v>1</v>
      </c>
      <c r="L490">
        <v>1</v>
      </c>
      <c r="M490">
        <v>1</v>
      </c>
      <c r="N490">
        <v>1.011207</v>
      </c>
    </row>
    <row r="491" spans="1:14" x14ac:dyDescent="0.35">
      <c r="A491" s="156" t="s">
        <v>542</v>
      </c>
      <c r="B491" s="52">
        <v>43342</v>
      </c>
      <c r="C491" s="156" t="s">
        <v>531</v>
      </c>
      <c r="D491" s="156" t="s">
        <v>531</v>
      </c>
      <c r="E491">
        <v>523356</v>
      </c>
      <c r="F491">
        <v>73854.940700000006</v>
      </c>
      <c r="G491">
        <v>141.11150000000001</v>
      </c>
      <c r="H491">
        <v>0.993788</v>
      </c>
      <c r="I491">
        <v>1</v>
      </c>
      <c r="J491" s="156">
        <v>1</v>
      </c>
      <c r="K491">
        <v>1</v>
      </c>
      <c r="L491">
        <v>1</v>
      </c>
      <c r="M491">
        <v>1</v>
      </c>
      <c r="N491">
        <v>0.993788</v>
      </c>
    </row>
    <row r="492" spans="1:14" x14ac:dyDescent="0.35">
      <c r="A492" s="156" t="s">
        <v>542</v>
      </c>
      <c r="B492" s="52">
        <v>43343</v>
      </c>
      <c r="C492" s="156" t="s">
        <v>531</v>
      </c>
      <c r="D492" s="156" t="s">
        <v>531</v>
      </c>
      <c r="E492">
        <v>506117</v>
      </c>
      <c r="F492">
        <v>71610.230500000005</v>
      </c>
      <c r="G492">
        <v>141.47219999999999</v>
      </c>
      <c r="H492">
        <v>1.007814</v>
      </c>
      <c r="I492">
        <v>1</v>
      </c>
      <c r="J492" s="156">
        <v>1</v>
      </c>
      <c r="K492">
        <v>1</v>
      </c>
      <c r="L492">
        <v>1</v>
      </c>
      <c r="M492">
        <v>1</v>
      </c>
      <c r="N492">
        <v>1.007814</v>
      </c>
    </row>
    <row r="493" spans="1:14" x14ac:dyDescent="0.35">
      <c r="A493" s="156" t="s">
        <v>542</v>
      </c>
      <c r="B493" s="52">
        <v>43347</v>
      </c>
      <c r="C493" s="156" t="s">
        <v>531</v>
      </c>
      <c r="D493" s="156" t="s">
        <v>531</v>
      </c>
      <c r="E493">
        <v>1070437</v>
      </c>
      <c r="F493">
        <v>155207.57699999999</v>
      </c>
      <c r="G493">
        <v>144.9846</v>
      </c>
      <c r="H493">
        <v>1.0339020000000001</v>
      </c>
      <c r="I493">
        <v>1</v>
      </c>
      <c r="J493" s="156">
        <v>1</v>
      </c>
      <c r="K493">
        <v>1</v>
      </c>
      <c r="L493">
        <v>1</v>
      </c>
      <c r="M493">
        <v>1</v>
      </c>
      <c r="N493">
        <v>1.0339020000000001</v>
      </c>
    </row>
    <row r="494" spans="1:14" x14ac:dyDescent="0.35">
      <c r="A494" s="156" t="s">
        <v>542</v>
      </c>
      <c r="B494" s="52">
        <v>43348</v>
      </c>
      <c r="C494" s="156" t="s">
        <v>531</v>
      </c>
      <c r="D494" s="156" t="s">
        <v>531</v>
      </c>
      <c r="E494">
        <v>1497833</v>
      </c>
      <c r="F494">
        <v>209883.56659999999</v>
      </c>
      <c r="G494">
        <v>140.18889999999999</v>
      </c>
      <c r="H494">
        <v>0.96727799999999997</v>
      </c>
      <c r="I494">
        <v>1</v>
      </c>
      <c r="J494" s="156">
        <v>1</v>
      </c>
      <c r="K494">
        <v>1</v>
      </c>
      <c r="L494">
        <v>1</v>
      </c>
      <c r="M494">
        <v>1</v>
      </c>
      <c r="N494">
        <v>0.96727799999999997</v>
      </c>
    </row>
    <row r="495" spans="1:14" x14ac:dyDescent="0.35">
      <c r="A495" s="156" t="s">
        <v>542</v>
      </c>
      <c r="B495" s="52">
        <v>43349</v>
      </c>
      <c r="C495" s="156" t="s">
        <v>531</v>
      </c>
      <c r="D495" s="156" t="s">
        <v>531</v>
      </c>
      <c r="E495">
        <v>914037</v>
      </c>
      <c r="F495">
        <v>127002.5529</v>
      </c>
      <c r="G495">
        <v>138.97300000000001</v>
      </c>
      <c r="H495">
        <v>0.98139399999999999</v>
      </c>
      <c r="I495">
        <v>1</v>
      </c>
      <c r="J495" s="156">
        <v>1</v>
      </c>
      <c r="K495">
        <v>1</v>
      </c>
      <c r="L495">
        <v>1</v>
      </c>
      <c r="M495">
        <v>1</v>
      </c>
      <c r="N495">
        <v>0.98139399999999999</v>
      </c>
    </row>
    <row r="496" spans="1:14" x14ac:dyDescent="0.35">
      <c r="A496" s="156" t="s">
        <v>542</v>
      </c>
      <c r="B496" s="52">
        <v>43350</v>
      </c>
      <c r="C496" s="156" t="s">
        <v>531</v>
      </c>
      <c r="D496" s="156" t="s">
        <v>531</v>
      </c>
      <c r="E496">
        <v>801931</v>
      </c>
      <c r="F496">
        <v>115002.4209</v>
      </c>
      <c r="G496">
        <v>143.39850000000001</v>
      </c>
      <c r="H496">
        <v>1.019533</v>
      </c>
      <c r="I496">
        <v>1</v>
      </c>
      <c r="J496" s="156">
        <v>1</v>
      </c>
      <c r="K496">
        <v>1</v>
      </c>
      <c r="L496">
        <v>1</v>
      </c>
      <c r="M496">
        <v>1</v>
      </c>
      <c r="N496">
        <v>1.019533</v>
      </c>
    </row>
    <row r="497" spans="1:14" x14ac:dyDescent="0.35">
      <c r="A497" s="156" t="s">
        <v>542</v>
      </c>
      <c r="B497" s="52">
        <v>43353</v>
      </c>
      <c r="C497" s="156" t="s">
        <v>531</v>
      </c>
      <c r="D497" s="156" t="s">
        <v>531</v>
      </c>
      <c r="E497">
        <v>716485</v>
      </c>
      <c r="F497">
        <v>101714.9941</v>
      </c>
      <c r="G497">
        <v>141.9426</v>
      </c>
      <c r="H497">
        <v>1.0033110000000001</v>
      </c>
      <c r="I497">
        <v>1</v>
      </c>
      <c r="J497" s="156">
        <v>1</v>
      </c>
      <c r="K497">
        <v>1</v>
      </c>
      <c r="L497">
        <v>1</v>
      </c>
      <c r="M497">
        <v>1</v>
      </c>
      <c r="N497">
        <v>1.0033110000000001</v>
      </c>
    </row>
    <row r="498" spans="1:14" x14ac:dyDescent="0.35">
      <c r="A498" s="156" t="s">
        <v>542</v>
      </c>
      <c r="B498" s="52">
        <v>43354</v>
      </c>
      <c r="C498" s="156" t="s">
        <v>531</v>
      </c>
      <c r="D498" s="156" t="s">
        <v>531</v>
      </c>
      <c r="E498">
        <v>871744</v>
      </c>
      <c r="F498">
        <v>128112.0135</v>
      </c>
      <c r="G498">
        <v>146.935</v>
      </c>
      <c r="H498">
        <v>1.0370680000000001</v>
      </c>
      <c r="I498">
        <v>1</v>
      </c>
      <c r="J498" s="156">
        <v>1</v>
      </c>
      <c r="K498">
        <v>1</v>
      </c>
      <c r="L498">
        <v>1</v>
      </c>
      <c r="M498">
        <v>1</v>
      </c>
      <c r="N498">
        <v>1.0370680000000001</v>
      </c>
    </row>
    <row r="499" spans="1:14" x14ac:dyDescent="0.35">
      <c r="A499" s="156" t="s">
        <v>542</v>
      </c>
      <c r="B499" s="52">
        <v>43355</v>
      </c>
      <c r="C499" s="156" t="s">
        <v>531</v>
      </c>
      <c r="D499" s="156" t="s">
        <v>531</v>
      </c>
      <c r="E499">
        <v>904838</v>
      </c>
      <c r="F499">
        <v>131029.8122</v>
      </c>
      <c r="G499">
        <v>144.79519999999999</v>
      </c>
      <c r="H499">
        <v>0.98727299999999996</v>
      </c>
      <c r="I499">
        <v>1</v>
      </c>
      <c r="J499" s="156">
        <v>1</v>
      </c>
      <c r="K499">
        <v>1</v>
      </c>
      <c r="L499">
        <v>1</v>
      </c>
      <c r="M499">
        <v>1</v>
      </c>
      <c r="N499">
        <v>0.98727299999999996</v>
      </c>
    </row>
    <row r="500" spans="1:14" x14ac:dyDescent="0.35">
      <c r="A500" s="156" t="s">
        <v>542</v>
      </c>
      <c r="B500" s="52">
        <v>43356</v>
      </c>
      <c r="C500" s="156" t="s">
        <v>531</v>
      </c>
      <c r="D500" s="156" t="s">
        <v>531</v>
      </c>
      <c r="E500">
        <v>799606</v>
      </c>
      <c r="F500">
        <v>117990.7408</v>
      </c>
      <c r="G500">
        <v>147.60720000000001</v>
      </c>
      <c r="H500">
        <v>0.99849100000000002</v>
      </c>
      <c r="I500">
        <v>1</v>
      </c>
      <c r="J500" s="156">
        <v>1</v>
      </c>
      <c r="K500">
        <v>1</v>
      </c>
      <c r="L500">
        <v>1</v>
      </c>
      <c r="M500">
        <v>1</v>
      </c>
      <c r="N500">
        <v>0.99849100000000002</v>
      </c>
    </row>
    <row r="501" spans="1:14" x14ac:dyDescent="0.35">
      <c r="A501" s="156" t="s">
        <v>542</v>
      </c>
      <c r="B501" s="52">
        <v>43357</v>
      </c>
      <c r="C501" s="156" t="s">
        <v>531</v>
      </c>
      <c r="D501" s="156" t="s">
        <v>531</v>
      </c>
      <c r="E501">
        <v>569864</v>
      </c>
      <c r="F501">
        <v>83325.741599999994</v>
      </c>
      <c r="G501">
        <v>146.2089</v>
      </c>
      <c r="H501">
        <v>1.003228</v>
      </c>
      <c r="I501">
        <v>1</v>
      </c>
      <c r="J501" s="156">
        <v>1</v>
      </c>
      <c r="K501">
        <v>1</v>
      </c>
      <c r="L501">
        <v>1</v>
      </c>
      <c r="M501">
        <v>1</v>
      </c>
      <c r="N501">
        <v>1.003228</v>
      </c>
    </row>
    <row r="502" spans="1:14" x14ac:dyDescent="0.35">
      <c r="A502" s="156" t="s">
        <v>542</v>
      </c>
      <c r="B502" s="52">
        <v>43360</v>
      </c>
      <c r="C502" s="156" t="s">
        <v>531</v>
      </c>
      <c r="D502" s="156" t="s">
        <v>531</v>
      </c>
      <c r="E502">
        <v>618360</v>
      </c>
      <c r="F502">
        <v>88841.413700000005</v>
      </c>
      <c r="G502">
        <v>143.7079</v>
      </c>
      <c r="H502">
        <v>0.97645300000000002</v>
      </c>
      <c r="I502">
        <v>1</v>
      </c>
      <c r="J502" s="156">
        <v>1</v>
      </c>
      <c r="K502">
        <v>1</v>
      </c>
      <c r="L502">
        <v>1</v>
      </c>
      <c r="M502">
        <v>1</v>
      </c>
      <c r="N502">
        <v>0.97645300000000002</v>
      </c>
    </row>
    <row r="503" spans="1:14" x14ac:dyDescent="0.35">
      <c r="A503" s="156" t="s">
        <v>542</v>
      </c>
      <c r="B503" s="52">
        <v>43361</v>
      </c>
      <c r="C503" s="156" t="s">
        <v>531</v>
      </c>
      <c r="D503" s="156" t="s">
        <v>531</v>
      </c>
      <c r="E503">
        <v>604782</v>
      </c>
      <c r="F503">
        <v>87479.432799999995</v>
      </c>
      <c r="G503">
        <v>144.64429999999999</v>
      </c>
      <c r="H503">
        <v>1.014581</v>
      </c>
      <c r="I503">
        <v>1</v>
      </c>
      <c r="J503" s="156">
        <v>1</v>
      </c>
      <c r="K503">
        <v>1</v>
      </c>
      <c r="L503">
        <v>1</v>
      </c>
      <c r="M503">
        <v>1</v>
      </c>
      <c r="N503">
        <v>1.014581</v>
      </c>
    </row>
    <row r="504" spans="1:14" x14ac:dyDescent="0.35">
      <c r="A504" s="156" t="s">
        <v>542</v>
      </c>
      <c r="B504" s="52">
        <v>43362</v>
      </c>
      <c r="C504" s="156" t="s">
        <v>531</v>
      </c>
      <c r="D504" s="156" t="s">
        <v>531</v>
      </c>
      <c r="E504">
        <v>604451</v>
      </c>
      <c r="F504">
        <v>86956.908200000005</v>
      </c>
      <c r="G504">
        <v>143.87139999999999</v>
      </c>
      <c r="H504">
        <v>1.000829</v>
      </c>
      <c r="I504">
        <v>1</v>
      </c>
      <c r="J504" s="156">
        <v>1</v>
      </c>
      <c r="K504">
        <v>1</v>
      </c>
      <c r="L504">
        <v>1</v>
      </c>
      <c r="M504">
        <v>1</v>
      </c>
      <c r="N504">
        <v>1.000829</v>
      </c>
    </row>
    <row r="505" spans="1:14" x14ac:dyDescent="0.35">
      <c r="A505" s="156" t="s">
        <v>542</v>
      </c>
      <c r="B505" s="52">
        <v>43363</v>
      </c>
      <c r="C505" s="156" t="s">
        <v>531</v>
      </c>
      <c r="D505" s="156" t="s">
        <v>531</v>
      </c>
      <c r="E505">
        <v>797988</v>
      </c>
      <c r="F505">
        <v>114169.25750000001</v>
      </c>
      <c r="G505">
        <v>143.10509999999999</v>
      </c>
      <c r="H505">
        <v>0.98881600000000003</v>
      </c>
      <c r="I505">
        <v>1</v>
      </c>
      <c r="J505" s="156">
        <v>1</v>
      </c>
      <c r="K505">
        <v>1</v>
      </c>
      <c r="L505">
        <v>1</v>
      </c>
      <c r="M505">
        <v>1</v>
      </c>
      <c r="N505">
        <v>0.98881600000000003</v>
      </c>
    </row>
    <row r="506" spans="1:14" x14ac:dyDescent="0.35">
      <c r="A506" s="156" t="s">
        <v>542</v>
      </c>
      <c r="B506" s="52">
        <v>43364</v>
      </c>
      <c r="C506" s="156" t="s">
        <v>531</v>
      </c>
      <c r="D506" s="156" t="s">
        <v>531</v>
      </c>
      <c r="E506">
        <v>1222590</v>
      </c>
      <c r="F506">
        <v>173681.59880000001</v>
      </c>
      <c r="G506">
        <v>142.0736</v>
      </c>
      <c r="H506">
        <v>0.99043499999999995</v>
      </c>
      <c r="I506">
        <v>1</v>
      </c>
      <c r="J506" s="156">
        <v>1</v>
      </c>
      <c r="K506">
        <v>1</v>
      </c>
      <c r="L506">
        <v>1</v>
      </c>
      <c r="M506">
        <v>1</v>
      </c>
      <c r="N506">
        <v>0.99043499999999995</v>
      </c>
    </row>
    <row r="507" spans="1:14" x14ac:dyDescent="0.35">
      <c r="A507" s="156" t="s">
        <v>542</v>
      </c>
      <c r="B507" s="52">
        <v>43367</v>
      </c>
      <c r="C507" s="156" t="s">
        <v>531</v>
      </c>
      <c r="D507" s="156" t="s">
        <v>531</v>
      </c>
      <c r="E507">
        <v>928343</v>
      </c>
      <c r="F507">
        <v>129582.3708</v>
      </c>
      <c r="G507">
        <v>139.6036</v>
      </c>
      <c r="H507">
        <v>0.982236</v>
      </c>
      <c r="I507">
        <v>1</v>
      </c>
      <c r="J507" s="156">
        <v>1</v>
      </c>
      <c r="K507">
        <v>1</v>
      </c>
      <c r="L507">
        <v>1</v>
      </c>
      <c r="M507">
        <v>1</v>
      </c>
      <c r="N507">
        <v>0.982236</v>
      </c>
    </row>
    <row r="508" spans="1:14" x14ac:dyDescent="0.35">
      <c r="A508" s="156" t="s">
        <v>542</v>
      </c>
      <c r="B508" s="52">
        <v>43368</v>
      </c>
      <c r="C508" s="156" t="s">
        <v>531</v>
      </c>
      <c r="D508" s="156" t="s">
        <v>531</v>
      </c>
      <c r="E508">
        <v>2236523</v>
      </c>
      <c r="F508">
        <v>337379.79550000001</v>
      </c>
      <c r="G508">
        <v>150.82849999999999</v>
      </c>
      <c r="H508">
        <v>1.11009</v>
      </c>
      <c r="I508">
        <v>1</v>
      </c>
      <c r="J508" s="156">
        <v>1</v>
      </c>
      <c r="K508">
        <v>1</v>
      </c>
      <c r="L508">
        <v>1</v>
      </c>
      <c r="M508">
        <v>1</v>
      </c>
      <c r="N508">
        <v>1.11009</v>
      </c>
    </row>
    <row r="509" spans="1:14" x14ac:dyDescent="0.35">
      <c r="A509" s="156" t="s">
        <v>542</v>
      </c>
      <c r="B509" s="52">
        <v>43369</v>
      </c>
      <c r="C509" s="156" t="s">
        <v>531</v>
      </c>
      <c r="D509" s="156" t="s">
        <v>531</v>
      </c>
      <c r="E509">
        <v>1478908</v>
      </c>
      <c r="F509">
        <v>229405.49830000001</v>
      </c>
      <c r="G509">
        <v>155.1266</v>
      </c>
      <c r="H509">
        <v>1.006918</v>
      </c>
      <c r="I509">
        <v>1</v>
      </c>
      <c r="J509" s="156">
        <v>1</v>
      </c>
      <c r="K509">
        <v>1</v>
      </c>
      <c r="L509">
        <v>1</v>
      </c>
      <c r="M509">
        <v>1</v>
      </c>
      <c r="N509">
        <v>1.006918</v>
      </c>
    </row>
    <row r="510" spans="1:14" x14ac:dyDescent="0.35">
      <c r="A510" s="156" t="s">
        <v>542</v>
      </c>
      <c r="B510" s="52">
        <v>43370</v>
      </c>
      <c r="C510" s="156" t="s">
        <v>531</v>
      </c>
      <c r="D510" s="156" t="s">
        <v>531</v>
      </c>
      <c r="E510">
        <v>1182736</v>
      </c>
      <c r="F510">
        <v>184843.22080000001</v>
      </c>
      <c r="G510">
        <v>156.32429999999999</v>
      </c>
      <c r="H510">
        <v>0.99467099999999997</v>
      </c>
      <c r="I510">
        <v>1</v>
      </c>
      <c r="J510" s="156">
        <v>1</v>
      </c>
      <c r="K510">
        <v>1</v>
      </c>
      <c r="L510">
        <v>1</v>
      </c>
      <c r="M510">
        <v>1</v>
      </c>
      <c r="N510">
        <v>0.99467099999999997</v>
      </c>
    </row>
    <row r="511" spans="1:14" x14ac:dyDescent="0.35">
      <c r="A511" s="156" t="s">
        <v>542</v>
      </c>
      <c r="B511" s="52">
        <v>43371</v>
      </c>
      <c r="C511" s="156" t="s">
        <v>531</v>
      </c>
      <c r="D511" s="156" t="s">
        <v>531</v>
      </c>
      <c r="E511">
        <v>951493</v>
      </c>
      <c r="F511">
        <v>144427.6177</v>
      </c>
      <c r="G511">
        <v>151.797</v>
      </c>
      <c r="H511">
        <v>0.97411599999999998</v>
      </c>
      <c r="I511">
        <v>1</v>
      </c>
      <c r="J511" s="156">
        <v>1</v>
      </c>
      <c r="K511">
        <v>1</v>
      </c>
      <c r="L511">
        <v>1</v>
      </c>
      <c r="M511">
        <v>1</v>
      </c>
      <c r="N511">
        <v>0.97411599999999998</v>
      </c>
    </row>
    <row r="512" spans="1:14" x14ac:dyDescent="0.35">
      <c r="A512" s="156" t="s">
        <v>542</v>
      </c>
      <c r="B512" s="52">
        <v>43374</v>
      </c>
      <c r="C512" s="156" t="s">
        <v>531</v>
      </c>
      <c r="D512" s="156" t="s">
        <v>531</v>
      </c>
      <c r="E512">
        <v>1675865</v>
      </c>
      <c r="F512">
        <v>243123.0999</v>
      </c>
      <c r="G512">
        <v>145.12629999999999</v>
      </c>
      <c r="H512">
        <v>0.95103000000000004</v>
      </c>
      <c r="I512">
        <v>1</v>
      </c>
      <c r="J512" s="156">
        <v>1</v>
      </c>
      <c r="K512">
        <v>1</v>
      </c>
      <c r="L512">
        <v>1</v>
      </c>
      <c r="M512">
        <v>1</v>
      </c>
      <c r="N512">
        <v>0.95103000000000004</v>
      </c>
    </row>
    <row r="513" spans="1:14" x14ac:dyDescent="0.35">
      <c r="A513" s="156" t="s">
        <v>542</v>
      </c>
      <c r="B513" s="52">
        <v>43375</v>
      </c>
      <c r="C513" s="156" t="s">
        <v>531</v>
      </c>
      <c r="D513" s="156" t="s">
        <v>531</v>
      </c>
      <c r="E513">
        <v>2417537</v>
      </c>
      <c r="F513">
        <v>326588.49709999998</v>
      </c>
      <c r="G513">
        <v>135.0958</v>
      </c>
      <c r="H513">
        <v>0.92927800000000005</v>
      </c>
      <c r="I513">
        <v>1</v>
      </c>
      <c r="J513" s="156">
        <v>1</v>
      </c>
      <c r="K513">
        <v>1</v>
      </c>
      <c r="L513">
        <v>1</v>
      </c>
      <c r="M513">
        <v>1</v>
      </c>
      <c r="N513">
        <v>0.92927800000000005</v>
      </c>
    </row>
    <row r="514" spans="1:14" x14ac:dyDescent="0.35">
      <c r="A514" s="156" t="s">
        <v>542</v>
      </c>
      <c r="B514" s="52">
        <v>43376</v>
      </c>
      <c r="C514" s="156" t="s">
        <v>531</v>
      </c>
      <c r="D514" s="156" t="s">
        <v>531</v>
      </c>
      <c r="E514">
        <v>1910147</v>
      </c>
      <c r="F514">
        <v>264584.76160000003</v>
      </c>
      <c r="G514">
        <v>138.49039999999999</v>
      </c>
      <c r="H514">
        <v>1.0410889999999999</v>
      </c>
      <c r="I514">
        <v>1</v>
      </c>
      <c r="J514" s="156">
        <v>1</v>
      </c>
      <c r="K514">
        <v>1</v>
      </c>
      <c r="L514">
        <v>1</v>
      </c>
      <c r="M514">
        <v>1</v>
      </c>
      <c r="N514">
        <v>1.0410889999999999</v>
      </c>
    </row>
    <row r="515" spans="1:14" x14ac:dyDescent="0.35">
      <c r="A515" s="156" t="s">
        <v>542</v>
      </c>
      <c r="B515" s="52">
        <v>43377</v>
      </c>
      <c r="C515" s="156" t="s">
        <v>531</v>
      </c>
      <c r="D515" s="156" t="s">
        <v>531</v>
      </c>
      <c r="E515">
        <v>830044</v>
      </c>
      <c r="F515">
        <v>112501.18030000001</v>
      </c>
      <c r="G515">
        <v>135.54150000000001</v>
      </c>
      <c r="H515">
        <v>0.98113099999999998</v>
      </c>
      <c r="I515">
        <v>1</v>
      </c>
      <c r="J515" s="156">
        <v>1</v>
      </c>
      <c r="K515">
        <v>1</v>
      </c>
      <c r="L515">
        <v>1</v>
      </c>
      <c r="M515">
        <v>1</v>
      </c>
      <c r="N515">
        <v>0.98113099999999998</v>
      </c>
    </row>
    <row r="516" spans="1:14" x14ac:dyDescent="0.35">
      <c r="A516" s="156" t="s">
        <v>542</v>
      </c>
      <c r="B516" s="52">
        <v>43378</v>
      </c>
      <c r="C516" s="156" t="s">
        <v>531</v>
      </c>
      <c r="D516" s="156" t="s">
        <v>531</v>
      </c>
      <c r="E516">
        <v>892029</v>
      </c>
      <c r="F516">
        <v>119318.1915</v>
      </c>
      <c r="G516">
        <v>133.7713</v>
      </c>
      <c r="H516">
        <v>0.97922600000000004</v>
      </c>
      <c r="I516">
        <v>1</v>
      </c>
      <c r="J516" s="156">
        <v>1</v>
      </c>
      <c r="K516">
        <v>1</v>
      </c>
      <c r="L516">
        <v>1</v>
      </c>
      <c r="M516">
        <v>1</v>
      </c>
      <c r="N516">
        <v>0.97922600000000004</v>
      </c>
    </row>
    <row r="517" spans="1:14" x14ac:dyDescent="0.35">
      <c r="A517" s="156" t="s">
        <v>542</v>
      </c>
      <c r="B517" s="52">
        <v>43381</v>
      </c>
      <c r="C517" s="156" t="s">
        <v>531</v>
      </c>
      <c r="D517" s="156" t="s">
        <v>531</v>
      </c>
      <c r="E517">
        <v>1170661</v>
      </c>
      <c r="F517">
        <v>153907.19940000001</v>
      </c>
      <c r="G517">
        <v>131.48589999999999</v>
      </c>
      <c r="H517">
        <v>0.98875599999999997</v>
      </c>
      <c r="I517">
        <v>1</v>
      </c>
      <c r="J517" s="156">
        <v>1</v>
      </c>
      <c r="K517">
        <v>1</v>
      </c>
      <c r="L517">
        <v>1</v>
      </c>
      <c r="M517">
        <v>1</v>
      </c>
      <c r="N517">
        <v>0.98875599999999997</v>
      </c>
    </row>
    <row r="518" spans="1:14" x14ac:dyDescent="0.35">
      <c r="A518" s="156" t="s">
        <v>542</v>
      </c>
      <c r="B518" s="52">
        <v>43382</v>
      </c>
      <c r="C518" s="156" t="s">
        <v>531</v>
      </c>
      <c r="D518" s="156" t="s">
        <v>531</v>
      </c>
      <c r="E518">
        <v>902204</v>
      </c>
      <c r="F518">
        <v>118705.9601</v>
      </c>
      <c r="G518">
        <v>131.59010000000001</v>
      </c>
      <c r="H518">
        <v>0.97740700000000003</v>
      </c>
      <c r="I518">
        <v>1</v>
      </c>
      <c r="J518" s="156">
        <v>1</v>
      </c>
      <c r="K518">
        <v>1</v>
      </c>
      <c r="L518">
        <v>1</v>
      </c>
      <c r="M518">
        <v>1</v>
      </c>
      <c r="N518">
        <v>0.97740700000000003</v>
      </c>
    </row>
    <row r="519" spans="1:14" x14ac:dyDescent="0.35">
      <c r="A519" s="156" t="s">
        <v>542</v>
      </c>
      <c r="B519" s="52">
        <v>43383</v>
      </c>
      <c r="C519" s="156" t="s">
        <v>531</v>
      </c>
      <c r="D519" s="156" t="s">
        <v>531</v>
      </c>
      <c r="E519">
        <v>1967290</v>
      </c>
      <c r="F519">
        <v>240054.2898</v>
      </c>
      <c r="G519">
        <v>122.0287</v>
      </c>
      <c r="H519">
        <v>0.92033799999999999</v>
      </c>
      <c r="I519">
        <v>1</v>
      </c>
      <c r="J519" s="156">
        <v>1</v>
      </c>
      <c r="K519">
        <v>1</v>
      </c>
      <c r="L519">
        <v>1</v>
      </c>
      <c r="M519">
        <v>1</v>
      </c>
      <c r="N519">
        <v>0.92033799999999999</v>
      </c>
    </row>
    <row r="520" spans="1:14" x14ac:dyDescent="0.35">
      <c r="A520" s="156" t="s">
        <v>542</v>
      </c>
      <c r="B520" s="52">
        <v>43384</v>
      </c>
      <c r="C520" s="156" t="s">
        <v>531</v>
      </c>
      <c r="D520" s="156" t="s">
        <v>531</v>
      </c>
      <c r="E520">
        <v>1726926</v>
      </c>
      <c r="F520">
        <v>206310.87719999999</v>
      </c>
      <c r="G520">
        <v>119.47320000000001</v>
      </c>
      <c r="H520">
        <v>0.99224599999999996</v>
      </c>
      <c r="I520">
        <v>1</v>
      </c>
      <c r="J520" s="156">
        <v>1</v>
      </c>
      <c r="K520">
        <v>1</v>
      </c>
      <c r="L520">
        <v>1</v>
      </c>
      <c r="M520">
        <v>1</v>
      </c>
      <c r="N520">
        <v>0.99224599999999996</v>
      </c>
    </row>
    <row r="521" spans="1:14" x14ac:dyDescent="0.35">
      <c r="A521" s="156" t="s">
        <v>542</v>
      </c>
      <c r="B521" s="52">
        <v>43385</v>
      </c>
      <c r="C521" s="156" t="s">
        <v>531</v>
      </c>
      <c r="D521" s="156" t="s">
        <v>531</v>
      </c>
      <c r="E521">
        <v>1999830</v>
      </c>
      <c r="F521">
        <v>246802.65700000001</v>
      </c>
      <c r="G521">
        <v>123.4496</v>
      </c>
      <c r="H521">
        <v>1.0452729999999999</v>
      </c>
      <c r="I521">
        <v>1</v>
      </c>
      <c r="J521" s="156">
        <v>1</v>
      </c>
      <c r="K521">
        <v>1</v>
      </c>
      <c r="L521">
        <v>1</v>
      </c>
      <c r="M521">
        <v>1</v>
      </c>
      <c r="N521">
        <v>1.0452729999999999</v>
      </c>
    </row>
    <row r="522" spans="1:14" x14ac:dyDescent="0.35">
      <c r="A522" s="156" t="s">
        <v>542</v>
      </c>
      <c r="B522" s="52">
        <v>43388</v>
      </c>
      <c r="C522" s="156" t="s">
        <v>531</v>
      </c>
      <c r="D522" s="156" t="s">
        <v>531</v>
      </c>
      <c r="E522">
        <v>1249165</v>
      </c>
      <c r="F522">
        <v>154564.57699999999</v>
      </c>
      <c r="G522">
        <v>123.7363</v>
      </c>
      <c r="H522">
        <v>1.0065820000000001</v>
      </c>
      <c r="I522">
        <v>1</v>
      </c>
      <c r="J522" s="156">
        <v>1</v>
      </c>
      <c r="K522">
        <v>1</v>
      </c>
      <c r="L522">
        <v>1</v>
      </c>
      <c r="M522">
        <v>1</v>
      </c>
      <c r="N522">
        <v>1.0065820000000001</v>
      </c>
    </row>
    <row r="523" spans="1:14" x14ac:dyDescent="0.35">
      <c r="A523" s="156" t="s">
        <v>542</v>
      </c>
      <c r="B523" s="52">
        <v>43389</v>
      </c>
      <c r="C523" s="156" t="s">
        <v>531</v>
      </c>
      <c r="D523" s="156" t="s">
        <v>531</v>
      </c>
      <c r="E523">
        <v>1149686</v>
      </c>
      <c r="F523">
        <v>147057.878</v>
      </c>
      <c r="G523">
        <v>127.741</v>
      </c>
      <c r="H523">
        <v>1.0485990000000001</v>
      </c>
      <c r="I523">
        <v>1</v>
      </c>
      <c r="J523" s="156">
        <v>1</v>
      </c>
      <c r="K523">
        <v>1</v>
      </c>
      <c r="L523">
        <v>1</v>
      </c>
      <c r="M523">
        <v>1</v>
      </c>
      <c r="N523">
        <v>1.0485990000000001</v>
      </c>
    </row>
    <row r="524" spans="1:14" x14ac:dyDescent="0.35">
      <c r="A524" s="156" t="s">
        <v>542</v>
      </c>
      <c r="B524" s="52">
        <v>43390</v>
      </c>
      <c r="C524" s="156" t="s">
        <v>531</v>
      </c>
      <c r="D524" s="156" t="s">
        <v>531</v>
      </c>
      <c r="E524">
        <v>948302</v>
      </c>
      <c r="F524">
        <v>121193.32249999999</v>
      </c>
      <c r="G524">
        <v>127.8044</v>
      </c>
      <c r="H524">
        <v>0.98760499999999996</v>
      </c>
      <c r="I524">
        <v>1</v>
      </c>
      <c r="J524" s="156">
        <v>1</v>
      </c>
      <c r="K524">
        <v>1</v>
      </c>
      <c r="L524">
        <v>1</v>
      </c>
      <c r="M524">
        <v>1</v>
      </c>
      <c r="N524">
        <v>0.98760499999999996</v>
      </c>
    </row>
    <row r="525" spans="1:14" x14ac:dyDescent="0.35">
      <c r="A525" s="156" t="s">
        <v>542</v>
      </c>
      <c r="B525" s="52">
        <v>43391</v>
      </c>
      <c r="C525" s="156" t="s">
        <v>531</v>
      </c>
      <c r="D525" s="156" t="s">
        <v>531</v>
      </c>
      <c r="E525">
        <v>895237</v>
      </c>
      <c r="F525">
        <v>111793.6015</v>
      </c>
      <c r="G525">
        <v>124.8824</v>
      </c>
      <c r="H525">
        <v>0.972248</v>
      </c>
      <c r="I525">
        <v>1</v>
      </c>
      <c r="J525" s="156">
        <v>1</v>
      </c>
      <c r="K525">
        <v>1</v>
      </c>
      <c r="L525">
        <v>1</v>
      </c>
      <c r="M525">
        <v>1</v>
      </c>
      <c r="N525">
        <v>0.972248</v>
      </c>
    </row>
    <row r="526" spans="1:14" x14ac:dyDescent="0.35">
      <c r="A526" s="156" t="s">
        <v>542</v>
      </c>
      <c r="B526" s="52">
        <v>43392</v>
      </c>
      <c r="C526" s="156" t="s">
        <v>531</v>
      </c>
      <c r="D526" s="156" t="s">
        <v>531</v>
      </c>
      <c r="E526">
        <v>959401</v>
      </c>
      <c r="F526">
        <v>117458.9498</v>
      </c>
      <c r="G526">
        <v>122.4627</v>
      </c>
      <c r="H526">
        <v>0.97257899999999997</v>
      </c>
      <c r="I526">
        <v>1</v>
      </c>
      <c r="J526" s="156">
        <v>1</v>
      </c>
      <c r="K526">
        <v>1</v>
      </c>
      <c r="L526">
        <v>1</v>
      </c>
      <c r="M526">
        <v>1</v>
      </c>
      <c r="N526">
        <v>0.97257899999999997</v>
      </c>
    </row>
    <row r="527" spans="1:14" x14ac:dyDescent="0.35">
      <c r="A527" s="156" t="s">
        <v>542</v>
      </c>
      <c r="B527" s="52">
        <v>43395</v>
      </c>
      <c r="C527" s="156" t="s">
        <v>531</v>
      </c>
      <c r="D527" s="156" t="s">
        <v>531</v>
      </c>
      <c r="E527">
        <v>750414</v>
      </c>
      <c r="F527">
        <v>92817.978400000007</v>
      </c>
      <c r="G527">
        <v>123.61920000000001</v>
      </c>
      <c r="H527">
        <v>1.0255559999999999</v>
      </c>
      <c r="I527">
        <v>1</v>
      </c>
      <c r="J527" s="156">
        <v>1</v>
      </c>
      <c r="K527">
        <v>1</v>
      </c>
      <c r="L527">
        <v>1</v>
      </c>
      <c r="M527">
        <v>1</v>
      </c>
      <c r="N527">
        <v>1.0255559999999999</v>
      </c>
    </row>
    <row r="528" spans="1:14" x14ac:dyDescent="0.35">
      <c r="A528" s="156" t="s">
        <v>542</v>
      </c>
      <c r="B528" s="52">
        <v>43396</v>
      </c>
      <c r="C528" s="156" t="s">
        <v>531</v>
      </c>
      <c r="D528" s="156" t="s">
        <v>531</v>
      </c>
      <c r="E528">
        <v>871568</v>
      </c>
      <c r="F528">
        <v>106483.0662</v>
      </c>
      <c r="G528">
        <v>122.1803</v>
      </c>
      <c r="H528">
        <v>0.98673599999999995</v>
      </c>
      <c r="I528">
        <v>1</v>
      </c>
      <c r="J528" s="156">
        <v>1</v>
      </c>
      <c r="K528">
        <v>1</v>
      </c>
      <c r="L528">
        <v>1</v>
      </c>
      <c r="M528">
        <v>1</v>
      </c>
      <c r="N528">
        <v>0.98673599999999995</v>
      </c>
    </row>
    <row r="529" spans="1:14" x14ac:dyDescent="0.35">
      <c r="A529" s="156" t="s">
        <v>542</v>
      </c>
      <c r="B529" s="52">
        <v>43397</v>
      </c>
      <c r="C529" s="156" t="s">
        <v>531</v>
      </c>
      <c r="D529" s="156" t="s">
        <v>531</v>
      </c>
      <c r="E529">
        <v>1416406</v>
      </c>
      <c r="F529">
        <v>166769.51800000001</v>
      </c>
      <c r="G529">
        <v>117.90860000000001</v>
      </c>
      <c r="H529">
        <v>0.92708800000000002</v>
      </c>
      <c r="I529">
        <v>1</v>
      </c>
      <c r="J529" s="156">
        <v>1</v>
      </c>
      <c r="K529">
        <v>1</v>
      </c>
      <c r="L529">
        <v>1</v>
      </c>
      <c r="M529">
        <v>1</v>
      </c>
      <c r="N529">
        <v>0.92708800000000002</v>
      </c>
    </row>
    <row r="530" spans="1:14" x14ac:dyDescent="0.35">
      <c r="A530" s="156" t="s">
        <v>542</v>
      </c>
      <c r="B530" s="52">
        <v>43398</v>
      </c>
      <c r="C530" s="156" t="s">
        <v>531</v>
      </c>
      <c r="D530" s="156" t="s">
        <v>531</v>
      </c>
      <c r="E530">
        <v>1174039</v>
      </c>
      <c r="F530">
        <v>136721.1182</v>
      </c>
      <c r="G530">
        <v>116.46080000000001</v>
      </c>
      <c r="H530">
        <v>1.021441</v>
      </c>
      <c r="I530">
        <v>1</v>
      </c>
      <c r="J530" s="156">
        <v>1</v>
      </c>
      <c r="K530">
        <v>1</v>
      </c>
      <c r="L530">
        <v>1</v>
      </c>
      <c r="M530">
        <v>1</v>
      </c>
      <c r="N530">
        <v>1.021441</v>
      </c>
    </row>
    <row r="531" spans="1:14" x14ac:dyDescent="0.35">
      <c r="A531" s="156" t="s">
        <v>542</v>
      </c>
      <c r="B531" s="52">
        <v>43399</v>
      </c>
      <c r="C531" s="156" t="s">
        <v>531</v>
      </c>
      <c r="D531" s="156" t="s">
        <v>531</v>
      </c>
      <c r="E531">
        <v>1562281</v>
      </c>
      <c r="F531">
        <v>172748.75150000001</v>
      </c>
      <c r="G531">
        <v>110.5778</v>
      </c>
      <c r="H531">
        <v>0.94898499999999997</v>
      </c>
      <c r="I531">
        <v>1</v>
      </c>
      <c r="J531" s="156">
        <v>1</v>
      </c>
      <c r="K531">
        <v>1</v>
      </c>
      <c r="L531">
        <v>1</v>
      </c>
      <c r="M531">
        <v>1</v>
      </c>
      <c r="N531">
        <v>0.94898499999999997</v>
      </c>
    </row>
    <row r="532" spans="1:14" x14ac:dyDescent="0.35">
      <c r="A532" s="156" t="s">
        <v>542</v>
      </c>
      <c r="B532" s="52">
        <v>43402</v>
      </c>
      <c r="C532" s="156" t="s">
        <v>531</v>
      </c>
      <c r="D532" s="156" t="s">
        <v>531</v>
      </c>
      <c r="E532">
        <v>1229031</v>
      </c>
      <c r="F532">
        <v>137381.0085</v>
      </c>
      <c r="G532">
        <v>111.8531</v>
      </c>
      <c r="H532">
        <v>0.98921199999999998</v>
      </c>
      <c r="I532">
        <v>1</v>
      </c>
      <c r="J532" s="156">
        <v>1</v>
      </c>
      <c r="K532">
        <v>1</v>
      </c>
      <c r="L532">
        <v>1</v>
      </c>
      <c r="M532">
        <v>1</v>
      </c>
      <c r="N532">
        <v>0.98921199999999998</v>
      </c>
    </row>
    <row r="533" spans="1:14" x14ac:dyDescent="0.35">
      <c r="A533" s="156" t="s">
        <v>542</v>
      </c>
      <c r="B533" s="52">
        <v>43403</v>
      </c>
      <c r="C533" s="156" t="s">
        <v>531</v>
      </c>
      <c r="D533" s="156" t="s">
        <v>531</v>
      </c>
      <c r="E533">
        <v>1267245</v>
      </c>
      <c r="F533">
        <v>142241.4137</v>
      </c>
      <c r="G533">
        <v>112.0835</v>
      </c>
      <c r="H533">
        <v>1.0564519999999999</v>
      </c>
      <c r="I533">
        <v>1</v>
      </c>
      <c r="J533" s="156">
        <v>1</v>
      </c>
      <c r="K533">
        <v>1</v>
      </c>
      <c r="L533">
        <v>1</v>
      </c>
      <c r="M533">
        <v>1</v>
      </c>
      <c r="N533">
        <v>1.0564519999999999</v>
      </c>
    </row>
    <row r="534" spans="1:14" x14ac:dyDescent="0.35">
      <c r="A534" s="156" t="s">
        <v>542</v>
      </c>
      <c r="B534" s="52">
        <v>43404</v>
      </c>
      <c r="C534" s="156" t="s">
        <v>531</v>
      </c>
      <c r="D534" s="156" t="s">
        <v>531</v>
      </c>
      <c r="E534">
        <v>1491605</v>
      </c>
      <c r="F534">
        <v>183045.26130000001</v>
      </c>
      <c r="G534">
        <v>122.7192</v>
      </c>
      <c r="H534">
        <v>1.0717380000000001</v>
      </c>
      <c r="I534">
        <v>1</v>
      </c>
      <c r="J534" s="156">
        <v>1</v>
      </c>
      <c r="K534">
        <v>1</v>
      </c>
      <c r="L534">
        <v>1</v>
      </c>
      <c r="M534">
        <v>1</v>
      </c>
      <c r="N534">
        <v>1.0717380000000001</v>
      </c>
    </row>
    <row r="535" spans="1:14" x14ac:dyDescent="0.35">
      <c r="A535" s="156" t="s">
        <v>542</v>
      </c>
      <c r="B535" s="52">
        <v>43405</v>
      </c>
      <c r="C535" s="156" t="s">
        <v>531</v>
      </c>
      <c r="D535" s="156" t="s">
        <v>531</v>
      </c>
      <c r="E535">
        <v>772541</v>
      </c>
      <c r="F535">
        <v>96673.338799999998</v>
      </c>
      <c r="G535">
        <v>125.0855</v>
      </c>
      <c r="H535">
        <v>1.024686</v>
      </c>
      <c r="I535">
        <v>1</v>
      </c>
      <c r="J535" s="156">
        <v>1</v>
      </c>
      <c r="K535">
        <v>1</v>
      </c>
      <c r="L535">
        <v>1</v>
      </c>
      <c r="M535">
        <v>1</v>
      </c>
      <c r="N535">
        <v>1.024686</v>
      </c>
    </row>
    <row r="536" spans="1:14" x14ac:dyDescent="0.35">
      <c r="A536" s="156" t="s">
        <v>542</v>
      </c>
      <c r="B536" s="52">
        <v>43406</v>
      </c>
      <c r="C536" s="156" t="s">
        <v>531</v>
      </c>
      <c r="D536" s="156" t="s">
        <v>531</v>
      </c>
      <c r="E536">
        <v>946854</v>
      </c>
      <c r="F536">
        <v>120525.7984</v>
      </c>
      <c r="G536">
        <v>127.31480000000001</v>
      </c>
      <c r="H536">
        <v>1.0106630000000001</v>
      </c>
      <c r="I536">
        <v>1</v>
      </c>
      <c r="J536" s="156">
        <v>1</v>
      </c>
      <c r="K536">
        <v>1</v>
      </c>
      <c r="L536">
        <v>1</v>
      </c>
      <c r="M536">
        <v>1</v>
      </c>
      <c r="N536">
        <v>1.0106630000000001</v>
      </c>
    </row>
    <row r="537" spans="1:14" x14ac:dyDescent="0.35">
      <c r="A537" s="156" t="s">
        <v>542</v>
      </c>
      <c r="B537" s="52">
        <v>43409</v>
      </c>
      <c r="C537" s="156" t="s">
        <v>531</v>
      </c>
      <c r="D537" s="156" t="s">
        <v>531</v>
      </c>
      <c r="E537">
        <v>1293149</v>
      </c>
      <c r="F537">
        <v>158257.32560000001</v>
      </c>
      <c r="G537">
        <v>122.3707</v>
      </c>
      <c r="H537">
        <v>0.96131299999999997</v>
      </c>
      <c r="I537">
        <v>1</v>
      </c>
      <c r="J537" s="156">
        <v>1</v>
      </c>
      <c r="K537">
        <v>1</v>
      </c>
      <c r="L537">
        <v>1</v>
      </c>
      <c r="M537">
        <v>1</v>
      </c>
      <c r="N537">
        <v>0.96131299999999997</v>
      </c>
    </row>
    <row r="538" spans="1:14" x14ac:dyDescent="0.35">
      <c r="A538" s="156" t="s">
        <v>542</v>
      </c>
      <c r="B538" s="52">
        <v>43410</v>
      </c>
      <c r="C538" s="156" t="s">
        <v>531</v>
      </c>
      <c r="D538" s="156" t="s">
        <v>531</v>
      </c>
      <c r="E538">
        <v>633617</v>
      </c>
      <c r="F538">
        <v>77550.1299</v>
      </c>
      <c r="G538">
        <v>122.4238</v>
      </c>
      <c r="H538">
        <v>0.99276399999999998</v>
      </c>
      <c r="I538">
        <v>1</v>
      </c>
      <c r="J538" s="156">
        <v>1</v>
      </c>
      <c r="K538">
        <v>1</v>
      </c>
      <c r="L538">
        <v>1</v>
      </c>
      <c r="M538">
        <v>1</v>
      </c>
      <c r="N538">
        <v>0.99276399999999998</v>
      </c>
    </row>
    <row r="539" spans="1:14" x14ac:dyDescent="0.35">
      <c r="A539" s="156" t="s">
        <v>542</v>
      </c>
      <c r="B539" s="52">
        <v>43411</v>
      </c>
      <c r="C539" s="156" t="s">
        <v>531</v>
      </c>
      <c r="D539" s="156" t="s">
        <v>531</v>
      </c>
      <c r="E539">
        <v>1801992</v>
      </c>
      <c r="F539">
        <v>233503.5062</v>
      </c>
      <c r="G539">
        <v>129.26240000000001</v>
      </c>
      <c r="H539">
        <v>1.0800099999999999</v>
      </c>
      <c r="I539">
        <v>1</v>
      </c>
      <c r="J539" s="156">
        <v>1</v>
      </c>
      <c r="K539">
        <v>1</v>
      </c>
      <c r="L539">
        <v>1</v>
      </c>
      <c r="M539">
        <v>1</v>
      </c>
      <c r="N539">
        <v>1.0800099999999999</v>
      </c>
    </row>
    <row r="540" spans="1:14" x14ac:dyDescent="0.35">
      <c r="A540" s="156" t="s">
        <v>542</v>
      </c>
      <c r="B540" s="52">
        <v>43412</v>
      </c>
      <c r="C540" s="156" t="s">
        <v>531</v>
      </c>
      <c r="D540" s="156" t="s">
        <v>531</v>
      </c>
      <c r="E540">
        <v>2859308</v>
      </c>
      <c r="F540">
        <v>348381.38569999998</v>
      </c>
      <c r="G540">
        <v>122.11920000000001</v>
      </c>
      <c r="H540">
        <v>0.92659999999999998</v>
      </c>
      <c r="I540">
        <v>1</v>
      </c>
      <c r="J540" s="156">
        <v>1</v>
      </c>
      <c r="K540">
        <v>1</v>
      </c>
      <c r="L540">
        <v>1</v>
      </c>
      <c r="M540">
        <v>1</v>
      </c>
      <c r="N540">
        <v>0.92659999999999998</v>
      </c>
    </row>
    <row r="541" spans="1:14" x14ac:dyDescent="0.35">
      <c r="A541" s="156" t="s">
        <v>542</v>
      </c>
      <c r="B541" s="52">
        <v>43413</v>
      </c>
      <c r="C541" s="156" t="s">
        <v>531</v>
      </c>
      <c r="D541" s="156" t="s">
        <v>531</v>
      </c>
      <c r="E541">
        <v>5933125</v>
      </c>
      <c r="F541">
        <v>727803.37829999998</v>
      </c>
      <c r="G541">
        <v>122.6905</v>
      </c>
      <c r="H541">
        <v>1.003028</v>
      </c>
      <c r="I541">
        <v>1</v>
      </c>
      <c r="J541" s="156">
        <v>1</v>
      </c>
      <c r="K541">
        <v>1</v>
      </c>
      <c r="L541">
        <v>1</v>
      </c>
      <c r="M541">
        <v>1</v>
      </c>
      <c r="N541">
        <v>1.003028</v>
      </c>
    </row>
    <row r="542" spans="1:14" x14ac:dyDescent="0.35">
      <c r="A542" s="156" t="s">
        <v>542</v>
      </c>
      <c r="B542" s="52">
        <v>43416</v>
      </c>
      <c r="C542" s="156" t="s">
        <v>531</v>
      </c>
      <c r="D542" s="156" t="s">
        <v>531</v>
      </c>
      <c r="E542">
        <v>2885935</v>
      </c>
      <c r="F542">
        <v>320326.07250000001</v>
      </c>
      <c r="G542">
        <v>111.0419</v>
      </c>
      <c r="H542">
        <v>0.90503400000000001</v>
      </c>
      <c r="I542">
        <v>1</v>
      </c>
      <c r="J542" s="156">
        <v>1</v>
      </c>
      <c r="K542">
        <v>1</v>
      </c>
      <c r="L542">
        <v>1</v>
      </c>
      <c r="M542">
        <v>1</v>
      </c>
      <c r="N542">
        <v>0.90503400000000001</v>
      </c>
    </row>
    <row r="543" spans="1:14" x14ac:dyDescent="0.35">
      <c r="A543" s="156" t="s">
        <v>542</v>
      </c>
      <c r="B543" s="52">
        <v>43417</v>
      </c>
      <c r="C543" s="156" t="s">
        <v>531</v>
      </c>
      <c r="D543" s="156" t="s">
        <v>531</v>
      </c>
      <c r="E543">
        <v>2036605</v>
      </c>
      <c r="F543">
        <v>223987.33230000001</v>
      </c>
      <c r="G543">
        <v>109.8625</v>
      </c>
      <c r="H543">
        <v>1.0101869999999999</v>
      </c>
      <c r="I543">
        <v>1</v>
      </c>
      <c r="J543" s="156">
        <v>1</v>
      </c>
      <c r="K543">
        <v>1</v>
      </c>
      <c r="L543">
        <v>1</v>
      </c>
      <c r="M543">
        <v>1</v>
      </c>
      <c r="N543">
        <v>1.0101869999999999</v>
      </c>
    </row>
    <row r="544" spans="1:14" x14ac:dyDescent="0.35">
      <c r="A544" s="156" t="s">
        <v>542</v>
      </c>
      <c r="B544" s="52">
        <v>43418</v>
      </c>
      <c r="C544" s="156" t="s">
        <v>531</v>
      </c>
      <c r="D544" s="156" t="s">
        <v>531</v>
      </c>
      <c r="E544">
        <v>2237641</v>
      </c>
      <c r="F544">
        <v>259942.12839999999</v>
      </c>
      <c r="G544">
        <v>116.09990000000001</v>
      </c>
      <c r="H544">
        <v>1.0397110000000001</v>
      </c>
      <c r="I544">
        <v>1</v>
      </c>
      <c r="J544" s="156">
        <v>1</v>
      </c>
      <c r="K544">
        <v>1</v>
      </c>
      <c r="L544">
        <v>1</v>
      </c>
      <c r="M544">
        <v>1</v>
      </c>
      <c r="N544">
        <v>1.0397110000000001</v>
      </c>
    </row>
    <row r="545" spans="1:14" x14ac:dyDescent="0.35">
      <c r="A545" s="156" t="s">
        <v>542</v>
      </c>
      <c r="B545" s="52">
        <v>43419</v>
      </c>
      <c r="C545" s="156" t="s">
        <v>531</v>
      </c>
      <c r="D545" s="156" t="s">
        <v>531</v>
      </c>
      <c r="E545">
        <v>1286854</v>
      </c>
      <c r="F545">
        <v>154750.67389999999</v>
      </c>
      <c r="G545">
        <v>120.23399999999999</v>
      </c>
      <c r="H545">
        <v>1.058622</v>
      </c>
      <c r="I545">
        <v>1</v>
      </c>
      <c r="J545" s="156">
        <v>1</v>
      </c>
      <c r="K545">
        <v>1</v>
      </c>
      <c r="L545">
        <v>1</v>
      </c>
      <c r="M545">
        <v>1</v>
      </c>
      <c r="N545">
        <v>1.058622</v>
      </c>
    </row>
    <row r="546" spans="1:14" x14ac:dyDescent="0.35">
      <c r="A546" s="156" t="s">
        <v>542</v>
      </c>
      <c r="B546" s="52">
        <v>43420</v>
      </c>
      <c r="C546" s="156" t="s">
        <v>531</v>
      </c>
      <c r="D546" s="156" t="s">
        <v>531</v>
      </c>
      <c r="E546">
        <v>1343395</v>
      </c>
      <c r="F546">
        <v>167244.68229999999</v>
      </c>
      <c r="G546">
        <v>124.4071</v>
      </c>
      <c r="H546">
        <v>1.0153239999999999</v>
      </c>
      <c r="I546">
        <v>1</v>
      </c>
      <c r="J546" s="156">
        <v>1</v>
      </c>
      <c r="K546">
        <v>1</v>
      </c>
      <c r="L546">
        <v>1</v>
      </c>
      <c r="M546">
        <v>1</v>
      </c>
      <c r="N546">
        <v>1.0153239999999999</v>
      </c>
    </row>
    <row r="547" spans="1:14" x14ac:dyDescent="0.35">
      <c r="A547" s="156" t="s">
        <v>542</v>
      </c>
      <c r="B547" s="52">
        <v>43423</v>
      </c>
      <c r="C547" s="156" t="s">
        <v>531</v>
      </c>
      <c r="D547" s="156" t="s">
        <v>531</v>
      </c>
      <c r="E547">
        <v>1747610</v>
      </c>
      <c r="F547">
        <v>200900.89980000001</v>
      </c>
      <c r="G547">
        <v>115.0261</v>
      </c>
      <c r="H547">
        <v>0.908169</v>
      </c>
      <c r="I547">
        <v>1</v>
      </c>
      <c r="J547" s="156">
        <v>1</v>
      </c>
      <c r="K547">
        <v>1</v>
      </c>
      <c r="L547">
        <v>1</v>
      </c>
      <c r="M547">
        <v>1</v>
      </c>
      <c r="N547">
        <v>0.908169</v>
      </c>
    </row>
    <row r="548" spans="1:14" x14ac:dyDescent="0.35">
      <c r="A548" s="156" t="s">
        <v>542</v>
      </c>
      <c r="B548" s="52">
        <v>43424</v>
      </c>
      <c r="C548" s="156" t="s">
        <v>531</v>
      </c>
      <c r="D548" s="156" t="s">
        <v>531</v>
      </c>
      <c r="E548">
        <v>1259239</v>
      </c>
      <c r="F548">
        <v>140764.99609999999</v>
      </c>
      <c r="G548">
        <v>111.78879999999999</v>
      </c>
      <c r="H548">
        <v>0.99595500000000003</v>
      </c>
      <c r="I548">
        <v>1</v>
      </c>
      <c r="J548" s="156">
        <v>1</v>
      </c>
      <c r="K548">
        <v>1</v>
      </c>
      <c r="L548">
        <v>1</v>
      </c>
      <c r="M548">
        <v>1</v>
      </c>
      <c r="N548">
        <v>0.99595500000000003</v>
      </c>
    </row>
    <row r="549" spans="1:14" x14ac:dyDescent="0.35">
      <c r="A549" s="156" t="s">
        <v>542</v>
      </c>
      <c r="B549" s="52">
        <v>43425</v>
      </c>
      <c r="C549" s="156" t="s">
        <v>531</v>
      </c>
      <c r="D549" s="156" t="s">
        <v>531</v>
      </c>
      <c r="E549">
        <v>763223</v>
      </c>
      <c r="F549">
        <v>89663.366200000004</v>
      </c>
      <c r="G549">
        <v>117.4111</v>
      </c>
      <c r="H549">
        <v>1.046438</v>
      </c>
      <c r="I549">
        <v>1</v>
      </c>
      <c r="J549" s="156">
        <v>1</v>
      </c>
      <c r="K549">
        <v>1</v>
      </c>
      <c r="L549">
        <v>1</v>
      </c>
      <c r="M549">
        <v>1</v>
      </c>
      <c r="N549">
        <v>1.046438</v>
      </c>
    </row>
    <row r="550" spans="1:14" x14ac:dyDescent="0.35">
      <c r="A550" s="156" t="s">
        <v>542</v>
      </c>
      <c r="B550" s="52">
        <v>43427</v>
      </c>
      <c r="C550" s="156" t="s">
        <v>531</v>
      </c>
      <c r="D550" s="156" t="s">
        <v>531</v>
      </c>
      <c r="E550">
        <v>358774</v>
      </c>
      <c r="F550">
        <v>42769.613799999999</v>
      </c>
      <c r="G550">
        <v>119.188</v>
      </c>
      <c r="H550">
        <v>1.006918</v>
      </c>
      <c r="I550">
        <v>1</v>
      </c>
      <c r="J550" s="156">
        <v>1</v>
      </c>
      <c r="K550">
        <v>1</v>
      </c>
      <c r="L550">
        <v>1</v>
      </c>
      <c r="M550">
        <v>1</v>
      </c>
      <c r="N550">
        <v>1.006918</v>
      </c>
    </row>
    <row r="551" spans="1:14" x14ac:dyDescent="0.35">
      <c r="A551" s="156" t="s">
        <v>542</v>
      </c>
      <c r="B551" s="52">
        <v>43430</v>
      </c>
      <c r="C551" s="156" t="s">
        <v>531</v>
      </c>
      <c r="D551" s="156" t="s">
        <v>531</v>
      </c>
      <c r="E551">
        <v>1653997</v>
      </c>
      <c r="F551">
        <v>209141.76519999999</v>
      </c>
      <c r="G551">
        <v>126.2037</v>
      </c>
      <c r="H551">
        <v>1.084206</v>
      </c>
      <c r="I551">
        <v>1</v>
      </c>
      <c r="J551" s="156">
        <v>1</v>
      </c>
      <c r="K551">
        <v>1</v>
      </c>
      <c r="L551">
        <v>1</v>
      </c>
      <c r="M551">
        <v>1</v>
      </c>
      <c r="N551">
        <v>1.084206</v>
      </c>
    </row>
    <row r="552" spans="1:14" x14ac:dyDescent="0.35">
      <c r="A552" s="156" t="s">
        <v>542</v>
      </c>
      <c r="B552" s="52">
        <v>43431</v>
      </c>
      <c r="C552" s="156" t="s">
        <v>531</v>
      </c>
      <c r="D552" s="156" t="s">
        <v>531</v>
      </c>
      <c r="E552">
        <v>1041201</v>
      </c>
      <c r="F552">
        <v>132762.18059999999</v>
      </c>
      <c r="G552">
        <v>127.3994</v>
      </c>
      <c r="H552">
        <v>1.000232</v>
      </c>
      <c r="I552">
        <v>1</v>
      </c>
      <c r="J552" s="156">
        <v>1</v>
      </c>
      <c r="K552">
        <v>1</v>
      </c>
      <c r="L552">
        <v>1</v>
      </c>
      <c r="M552">
        <v>1</v>
      </c>
      <c r="N552">
        <v>1.000232</v>
      </c>
    </row>
    <row r="553" spans="1:14" x14ac:dyDescent="0.35">
      <c r="A553" s="156" t="s">
        <v>542</v>
      </c>
      <c r="B553" s="52">
        <v>43432</v>
      </c>
      <c r="C553" s="156" t="s">
        <v>531</v>
      </c>
      <c r="D553" s="156" t="s">
        <v>531</v>
      </c>
      <c r="E553">
        <v>1613024</v>
      </c>
      <c r="F553">
        <v>213181.03469999999</v>
      </c>
      <c r="G553">
        <v>132.11879999999999</v>
      </c>
      <c r="H553">
        <v>1.0481339999999999</v>
      </c>
      <c r="I553">
        <v>1</v>
      </c>
      <c r="J553" s="156">
        <v>1</v>
      </c>
      <c r="K553">
        <v>1</v>
      </c>
      <c r="L553">
        <v>1</v>
      </c>
      <c r="M553">
        <v>1</v>
      </c>
      <c r="N553">
        <v>1.0481339999999999</v>
      </c>
    </row>
    <row r="554" spans="1:14" x14ac:dyDescent="0.35">
      <c r="A554" s="156" t="s">
        <v>542</v>
      </c>
      <c r="B554" s="52">
        <v>43433</v>
      </c>
      <c r="C554" s="156" t="s">
        <v>531</v>
      </c>
      <c r="D554" s="156" t="s">
        <v>531</v>
      </c>
      <c r="E554">
        <v>1548030</v>
      </c>
      <c r="F554">
        <v>216784.84479999999</v>
      </c>
      <c r="G554">
        <v>139.9007</v>
      </c>
      <c r="H554">
        <v>1.037963</v>
      </c>
      <c r="I554">
        <v>1</v>
      </c>
      <c r="J554" s="156">
        <v>1</v>
      </c>
      <c r="K554">
        <v>1</v>
      </c>
      <c r="L554">
        <v>1</v>
      </c>
      <c r="M554">
        <v>1</v>
      </c>
      <c r="N554">
        <v>1.037963</v>
      </c>
    </row>
    <row r="555" spans="1:14" x14ac:dyDescent="0.35">
      <c r="A555" s="156" t="s">
        <v>542</v>
      </c>
      <c r="B555" s="52">
        <v>43434</v>
      </c>
      <c r="C555" s="156" t="s">
        <v>531</v>
      </c>
      <c r="D555" s="156" t="s">
        <v>531</v>
      </c>
      <c r="E555">
        <v>991427</v>
      </c>
      <c r="F555">
        <v>139836.0099</v>
      </c>
      <c r="G555">
        <v>141.0821</v>
      </c>
      <c r="H555">
        <v>1.011647</v>
      </c>
      <c r="I555">
        <v>1</v>
      </c>
      <c r="J555" s="156">
        <v>1</v>
      </c>
      <c r="K555">
        <v>1</v>
      </c>
      <c r="L555">
        <v>1</v>
      </c>
      <c r="M555">
        <v>1</v>
      </c>
      <c r="N555">
        <v>1.011647</v>
      </c>
    </row>
    <row r="556" spans="1:14" x14ac:dyDescent="0.35">
      <c r="A556" s="156" t="s">
        <v>542</v>
      </c>
      <c r="B556" s="52">
        <v>43437</v>
      </c>
      <c r="C556" s="156" t="s">
        <v>531</v>
      </c>
      <c r="D556" s="156" t="s">
        <v>531</v>
      </c>
      <c r="E556">
        <v>1373414</v>
      </c>
      <c r="F556">
        <v>199899.61429999999</v>
      </c>
      <c r="G556">
        <v>145.48150000000001</v>
      </c>
      <c r="H556">
        <v>1.0432429999999999</v>
      </c>
      <c r="I556">
        <v>1</v>
      </c>
      <c r="J556" s="156">
        <v>1</v>
      </c>
      <c r="K556">
        <v>1</v>
      </c>
      <c r="L556">
        <v>1</v>
      </c>
      <c r="M556">
        <v>1</v>
      </c>
      <c r="N556">
        <v>1.0432429999999999</v>
      </c>
    </row>
    <row r="557" spans="1:14" x14ac:dyDescent="0.35">
      <c r="A557" s="156" t="s">
        <v>542</v>
      </c>
      <c r="B557" s="52">
        <v>43438</v>
      </c>
      <c r="C557" s="156" t="s">
        <v>531</v>
      </c>
      <c r="D557" s="156" t="s">
        <v>531</v>
      </c>
      <c r="E557">
        <v>1512968</v>
      </c>
      <c r="F557">
        <v>216003.92910000001</v>
      </c>
      <c r="G557">
        <v>142.82210000000001</v>
      </c>
      <c r="H557">
        <v>0.94280300000000006</v>
      </c>
      <c r="I557">
        <v>1</v>
      </c>
      <c r="J557" s="156">
        <v>1</v>
      </c>
      <c r="K557">
        <v>1</v>
      </c>
      <c r="L557">
        <v>1</v>
      </c>
      <c r="M557">
        <v>1</v>
      </c>
      <c r="N557">
        <v>0.94280300000000006</v>
      </c>
    </row>
    <row r="558" spans="1:14" x14ac:dyDescent="0.35">
      <c r="A558" s="156" t="s">
        <v>542</v>
      </c>
      <c r="B558" s="52">
        <v>43440</v>
      </c>
      <c r="C558" s="156" t="s">
        <v>531</v>
      </c>
      <c r="D558" s="156" t="s">
        <v>531</v>
      </c>
      <c r="E558">
        <v>2171454</v>
      </c>
      <c r="F558">
        <v>294743.66190000001</v>
      </c>
      <c r="G558">
        <v>135.75880000000001</v>
      </c>
      <c r="H558">
        <v>1.012562</v>
      </c>
      <c r="I558">
        <v>1</v>
      </c>
      <c r="J558" s="156">
        <v>1</v>
      </c>
      <c r="K558">
        <v>1</v>
      </c>
      <c r="L558">
        <v>1</v>
      </c>
      <c r="M558">
        <v>1</v>
      </c>
      <c r="N558">
        <v>1.012562</v>
      </c>
    </row>
    <row r="559" spans="1:14" x14ac:dyDescent="0.35">
      <c r="A559" s="156" t="s">
        <v>542</v>
      </c>
      <c r="B559" s="52">
        <v>43441</v>
      </c>
      <c r="C559" s="156" t="s">
        <v>531</v>
      </c>
      <c r="D559" s="156" t="s">
        <v>531</v>
      </c>
      <c r="E559">
        <v>1501109</v>
      </c>
      <c r="F559">
        <v>208103.361</v>
      </c>
      <c r="G559">
        <v>138.7783</v>
      </c>
      <c r="H559">
        <v>0.941496</v>
      </c>
      <c r="I559">
        <v>1</v>
      </c>
      <c r="J559" s="156">
        <v>1</v>
      </c>
      <c r="K559">
        <v>1</v>
      </c>
      <c r="L559">
        <v>1</v>
      </c>
      <c r="M559">
        <v>1</v>
      </c>
      <c r="N559">
        <v>0.941496</v>
      </c>
    </row>
    <row r="560" spans="1:14" x14ac:dyDescent="0.35">
      <c r="A560" s="156" t="s">
        <v>542</v>
      </c>
      <c r="B560" s="52">
        <v>43444</v>
      </c>
      <c r="C560" s="156" t="s">
        <v>531</v>
      </c>
      <c r="D560" s="156" t="s">
        <v>531</v>
      </c>
      <c r="E560">
        <v>1063422</v>
      </c>
      <c r="F560">
        <v>142598.21049999999</v>
      </c>
      <c r="G560">
        <v>134.09010000000001</v>
      </c>
      <c r="H560">
        <v>1.008834</v>
      </c>
      <c r="I560">
        <v>1</v>
      </c>
      <c r="J560" s="156">
        <v>1</v>
      </c>
      <c r="K560">
        <v>1</v>
      </c>
      <c r="L560">
        <v>1</v>
      </c>
      <c r="M560">
        <v>1</v>
      </c>
      <c r="N560">
        <v>1.008834</v>
      </c>
    </row>
    <row r="561" spans="1:14" x14ac:dyDescent="0.35">
      <c r="A561" s="156" t="s">
        <v>542</v>
      </c>
      <c r="B561" s="52">
        <v>43445</v>
      </c>
      <c r="C561" s="156" t="s">
        <v>531</v>
      </c>
      <c r="D561" s="156" t="s">
        <v>531</v>
      </c>
      <c r="E561">
        <v>836280</v>
      </c>
      <c r="F561">
        <v>114862.8952</v>
      </c>
      <c r="G561">
        <v>137.34889999999999</v>
      </c>
      <c r="H561">
        <v>1.0227090000000001</v>
      </c>
      <c r="I561">
        <v>1</v>
      </c>
      <c r="J561" s="156">
        <v>1</v>
      </c>
      <c r="K561">
        <v>1</v>
      </c>
      <c r="L561">
        <v>1</v>
      </c>
      <c r="M561">
        <v>1</v>
      </c>
      <c r="N561">
        <v>1.0227090000000001</v>
      </c>
    </row>
    <row r="562" spans="1:14" x14ac:dyDescent="0.35">
      <c r="A562" s="156" t="s">
        <v>542</v>
      </c>
      <c r="B562" s="52">
        <v>43446</v>
      </c>
      <c r="C562" s="156" t="s">
        <v>531</v>
      </c>
      <c r="D562" s="156" t="s">
        <v>531</v>
      </c>
      <c r="E562">
        <v>1178787</v>
      </c>
      <c r="F562">
        <v>170345.16769999999</v>
      </c>
      <c r="G562">
        <v>144.50479999999999</v>
      </c>
      <c r="H562">
        <v>1.0405629999999999</v>
      </c>
      <c r="I562">
        <v>1</v>
      </c>
      <c r="J562" s="156">
        <v>1</v>
      </c>
      <c r="K562">
        <v>1</v>
      </c>
      <c r="L562">
        <v>1</v>
      </c>
      <c r="M562">
        <v>1</v>
      </c>
      <c r="N562">
        <v>1.0405629999999999</v>
      </c>
    </row>
    <row r="563" spans="1:14" x14ac:dyDescent="0.35">
      <c r="A563" s="156" t="s">
        <v>542</v>
      </c>
      <c r="B563" s="52">
        <v>43447</v>
      </c>
      <c r="C563" s="156" t="s">
        <v>531</v>
      </c>
      <c r="D563" s="156" t="s">
        <v>531</v>
      </c>
      <c r="E563">
        <v>951892</v>
      </c>
      <c r="F563">
        <v>133687.62419999999</v>
      </c>
      <c r="G563">
        <v>140.48910000000001</v>
      </c>
      <c r="H563">
        <v>0.96931699999999998</v>
      </c>
      <c r="I563">
        <v>1</v>
      </c>
      <c r="J563" s="156">
        <v>1</v>
      </c>
      <c r="K563">
        <v>1</v>
      </c>
      <c r="L563">
        <v>1</v>
      </c>
      <c r="M563">
        <v>1</v>
      </c>
      <c r="N563">
        <v>0.96931699999999998</v>
      </c>
    </row>
    <row r="564" spans="1:14" x14ac:dyDescent="0.35">
      <c r="A564" s="156" t="s">
        <v>542</v>
      </c>
      <c r="B564" s="52">
        <v>43448</v>
      </c>
      <c r="C564" s="156" t="s">
        <v>531</v>
      </c>
      <c r="D564" s="156" t="s">
        <v>531</v>
      </c>
      <c r="E564">
        <v>1019858</v>
      </c>
      <c r="F564">
        <v>141549.1568</v>
      </c>
      <c r="G564">
        <v>138.73099999999999</v>
      </c>
      <c r="H564">
        <v>0.98223000000000005</v>
      </c>
      <c r="I564">
        <v>1</v>
      </c>
      <c r="J564" s="156">
        <v>1</v>
      </c>
      <c r="K564">
        <v>1</v>
      </c>
      <c r="L564">
        <v>1</v>
      </c>
      <c r="M564">
        <v>1</v>
      </c>
      <c r="N564">
        <v>0.98223000000000005</v>
      </c>
    </row>
    <row r="565" spans="1:14" x14ac:dyDescent="0.35">
      <c r="A565" s="156" t="s">
        <v>542</v>
      </c>
      <c r="B565" s="52">
        <v>43451</v>
      </c>
      <c r="C565" s="156" t="s">
        <v>531</v>
      </c>
      <c r="D565" s="156" t="s">
        <v>531</v>
      </c>
      <c r="E565">
        <v>1714870</v>
      </c>
      <c r="F565">
        <v>219215.5018</v>
      </c>
      <c r="G565">
        <v>127.83159999999999</v>
      </c>
      <c r="H565">
        <v>0.91174100000000002</v>
      </c>
      <c r="I565">
        <v>1</v>
      </c>
      <c r="J565" s="156">
        <v>1</v>
      </c>
      <c r="K565">
        <v>1</v>
      </c>
      <c r="L565">
        <v>1</v>
      </c>
      <c r="M565">
        <v>1</v>
      </c>
      <c r="N565">
        <v>0.91174100000000002</v>
      </c>
    </row>
    <row r="566" spans="1:14" x14ac:dyDescent="0.35">
      <c r="A566" s="156" t="s">
        <v>542</v>
      </c>
      <c r="B566" s="52">
        <v>43452</v>
      </c>
      <c r="C566" s="156" t="s">
        <v>531</v>
      </c>
      <c r="D566" s="156" t="s">
        <v>531</v>
      </c>
      <c r="E566">
        <v>1278972</v>
      </c>
      <c r="F566">
        <v>158871.196</v>
      </c>
      <c r="G566">
        <v>124.2388</v>
      </c>
      <c r="H566">
        <v>0.99469799999999997</v>
      </c>
      <c r="I566">
        <v>1</v>
      </c>
      <c r="J566" s="156">
        <v>1</v>
      </c>
      <c r="K566">
        <v>1</v>
      </c>
      <c r="L566">
        <v>1</v>
      </c>
      <c r="M566">
        <v>1</v>
      </c>
      <c r="N566">
        <v>0.99469799999999997</v>
      </c>
    </row>
    <row r="567" spans="1:14" x14ac:dyDescent="0.35">
      <c r="A567" s="156" t="s">
        <v>542</v>
      </c>
      <c r="B567" s="52">
        <v>43453</v>
      </c>
      <c r="C567" s="156" t="s">
        <v>531</v>
      </c>
      <c r="D567" s="156" t="s">
        <v>531</v>
      </c>
      <c r="E567">
        <v>1143219</v>
      </c>
      <c r="F567">
        <v>141000.68369999999</v>
      </c>
      <c r="G567">
        <v>123.32080000000001</v>
      </c>
      <c r="H567">
        <v>0.98166699999999996</v>
      </c>
      <c r="I567">
        <v>1</v>
      </c>
      <c r="J567" s="156">
        <v>1</v>
      </c>
      <c r="K567">
        <v>1</v>
      </c>
      <c r="L567">
        <v>1</v>
      </c>
      <c r="M567">
        <v>1</v>
      </c>
      <c r="N567">
        <v>0.98166699999999996</v>
      </c>
    </row>
    <row r="568" spans="1:14" x14ac:dyDescent="0.35">
      <c r="A568" s="156" t="s">
        <v>542</v>
      </c>
      <c r="B568" s="52">
        <v>43454</v>
      </c>
      <c r="C568" s="156" t="s">
        <v>531</v>
      </c>
      <c r="D568" s="156" t="s">
        <v>531</v>
      </c>
      <c r="E568">
        <v>1519419</v>
      </c>
      <c r="F568">
        <v>176093.14850000001</v>
      </c>
      <c r="G568">
        <v>115.9401</v>
      </c>
      <c r="H568">
        <v>0.96330700000000002</v>
      </c>
      <c r="I568">
        <v>1</v>
      </c>
      <c r="J568" s="156">
        <v>1</v>
      </c>
      <c r="K568">
        <v>1</v>
      </c>
      <c r="L568">
        <v>1</v>
      </c>
      <c r="M568">
        <v>1</v>
      </c>
      <c r="N568">
        <v>0.96330700000000002</v>
      </c>
    </row>
    <row r="569" spans="1:14" x14ac:dyDescent="0.35">
      <c r="A569" s="156" t="s">
        <v>542</v>
      </c>
      <c r="B569" s="52">
        <v>43455</v>
      </c>
      <c r="C569" s="156" t="s">
        <v>531</v>
      </c>
      <c r="D569" s="156" t="s">
        <v>531</v>
      </c>
      <c r="E569">
        <v>2228071</v>
      </c>
      <c r="F569">
        <v>243612.565</v>
      </c>
      <c r="G569">
        <v>109.37430000000001</v>
      </c>
      <c r="H569">
        <v>0.90998400000000002</v>
      </c>
      <c r="I569">
        <v>1</v>
      </c>
      <c r="J569" s="156">
        <v>1</v>
      </c>
      <c r="K569">
        <v>1</v>
      </c>
      <c r="L569">
        <v>1</v>
      </c>
      <c r="M569">
        <v>1</v>
      </c>
      <c r="N569">
        <v>0.90998400000000002</v>
      </c>
    </row>
    <row r="570" spans="1:14" x14ac:dyDescent="0.35">
      <c r="A570" s="156" t="s">
        <v>542</v>
      </c>
      <c r="B570" s="52">
        <v>43458</v>
      </c>
      <c r="C570" s="156" t="s">
        <v>531</v>
      </c>
      <c r="D570" s="156" t="s">
        <v>531</v>
      </c>
      <c r="E570">
        <v>1034859</v>
      </c>
      <c r="F570">
        <v>109682.7807</v>
      </c>
      <c r="G570">
        <v>106.02670000000001</v>
      </c>
      <c r="H570">
        <v>0.97972800000000004</v>
      </c>
      <c r="I570">
        <v>1</v>
      </c>
      <c r="J570" s="156">
        <v>1</v>
      </c>
      <c r="K570">
        <v>1</v>
      </c>
      <c r="L570">
        <v>1</v>
      </c>
      <c r="M570">
        <v>1</v>
      </c>
      <c r="N570">
        <v>0.97972800000000004</v>
      </c>
    </row>
    <row r="571" spans="1:14" x14ac:dyDescent="0.35">
      <c r="A571" s="156" t="s">
        <v>542</v>
      </c>
      <c r="B571" s="52">
        <v>43460</v>
      </c>
      <c r="C571" s="156" t="s">
        <v>531</v>
      </c>
      <c r="D571" s="156" t="s">
        <v>531</v>
      </c>
      <c r="E571">
        <v>1703919</v>
      </c>
      <c r="F571">
        <v>183483.3082</v>
      </c>
      <c r="G571">
        <v>107.6691</v>
      </c>
      <c r="H571">
        <v>1.0615000000000001</v>
      </c>
      <c r="I571">
        <v>1</v>
      </c>
      <c r="J571" s="156">
        <v>1</v>
      </c>
      <c r="K571">
        <v>1</v>
      </c>
      <c r="L571">
        <v>1</v>
      </c>
      <c r="M571">
        <v>1</v>
      </c>
      <c r="N571">
        <v>1.0615000000000001</v>
      </c>
    </row>
    <row r="572" spans="1:14" x14ac:dyDescent="0.35">
      <c r="A572" s="156" t="s">
        <v>542</v>
      </c>
      <c r="B572" s="52">
        <v>43461</v>
      </c>
      <c r="C572" s="156" t="s">
        <v>531</v>
      </c>
      <c r="D572" s="156" t="s">
        <v>531</v>
      </c>
      <c r="E572">
        <v>1203743</v>
      </c>
      <c r="F572">
        <v>132884.9987</v>
      </c>
      <c r="G572">
        <v>110.42919999999999</v>
      </c>
      <c r="H572">
        <v>1.028427</v>
      </c>
      <c r="I572">
        <v>1</v>
      </c>
      <c r="J572" s="156">
        <v>1</v>
      </c>
      <c r="K572">
        <v>1</v>
      </c>
      <c r="L572">
        <v>1</v>
      </c>
      <c r="M572">
        <v>1</v>
      </c>
      <c r="N572">
        <v>1.028427</v>
      </c>
    </row>
    <row r="573" spans="1:14" x14ac:dyDescent="0.35">
      <c r="A573" s="156" t="s">
        <v>542</v>
      </c>
      <c r="B573" s="52">
        <v>43462</v>
      </c>
      <c r="C573" s="156" t="s">
        <v>531</v>
      </c>
      <c r="D573" s="156" t="s">
        <v>531</v>
      </c>
      <c r="E573">
        <v>842479</v>
      </c>
      <c r="F573">
        <v>96478.905400000003</v>
      </c>
      <c r="G573">
        <v>114.5185</v>
      </c>
      <c r="H573">
        <v>1.0043</v>
      </c>
      <c r="I573">
        <v>1</v>
      </c>
      <c r="J573" s="156">
        <v>1</v>
      </c>
      <c r="K573">
        <v>1</v>
      </c>
      <c r="L573">
        <v>1</v>
      </c>
      <c r="M573">
        <v>1</v>
      </c>
      <c r="N573">
        <v>1.0043</v>
      </c>
    </row>
    <row r="574" spans="1:14" x14ac:dyDescent="0.35">
      <c r="A574" s="156" t="s">
        <v>542</v>
      </c>
      <c r="B574" s="52">
        <v>43465</v>
      </c>
      <c r="C574" s="156" t="s">
        <v>531</v>
      </c>
      <c r="D574" s="156" t="s">
        <v>531</v>
      </c>
      <c r="E574">
        <v>684247</v>
      </c>
      <c r="F574">
        <v>79052.843200000003</v>
      </c>
      <c r="G574">
        <v>115.5348</v>
      </c>
      <c r="H574">
        <v>1.0140670000000001</v>
      </c>
      <c r="I574">
        <v>1</v>
      </c>
      <c r="J574" s="156">
        <v>1</v>
      </c>
      <c r="K574">
        <v>1</v>
      </c>
      <c r="L574">
        <v>1</v>
      </c>
      <c r="M574">
        <v>1</v>
      </c>
      <c r="N574">
        <v>1.0140670000000001</v>
      </c>
    </row>
    <row r="575" spans="1:14" x14ac:dyDescent="0.35">
      <c r="A575" s="156" t="s">
        <v>542</v>
      </c>
      <c r="B575" s="52">
        <v>43467</v>
      </c>
      <c r="C575" s="156" t="s">
        <v>531</v>
      </c>
      <c r="D575" s="156" t="s">
        <v>531</v>
      </c>
      <c r="E575">
        <v>839282</v>
      </c>
      <c r="F575">
        <v>96498.085900000005</v>
      </c>
      <c r="G575">
        <v>114.946</v>
      </c>
      <c r="H575">
        <v>1.0008619999999999</v>
      </c>
      <c r="I575">
        <v>1</v>
      </c>
      <c r="J575" s="156">
        <v>1</v>
      </c>
      <c r="K575">
        <v>1</v>
      </c>
      <c r="L575">
        <v>1</v>
      </c>
      <c r="M575">
        <v>1</v>
      </c>
      <c r="N575">
        <v>1.0008619999999999</v>
      </c>
    </row>
    <row r="576" spans="1:14" x14ac:dyDescent="0.35">
      <c r="A576" s="156" t="s">
        <v>542</v>
      </c>
      <c r="B576" s="52">
        <v>43468</v>
      </c>
      <c r="C576" s="156" t="s">
        <v>531</v>
      </c>
      <c r="D576" s="156" t="s">
        <v>531</v>
      </c>
      <c r="E576">
        <v>775356</v>
      </c>
      <c r="F576">
        <v>86424.857300000003</v>
      </c>
      <c r="G576">
        <v>111.4926</v>
      </c>
      <c r="H576">
        <v>0.94318199999999996</v>
      </c>
      <c r="I576">
        <v>1</v>
      </c>
      <c r="J576" s="156">
        <v>1</v>
      </c>
      <c r="K576">
        <v>1</v>
      </c>
      <c r="L576">
        <v>1</v>
      </c>
      <c r="M576">
        <v>1</v>
      </c>
      <c r="N576">
        <v>0.94318199999999996</v>
      </c>
    </row>
    <row r="577" spans="1:14" x14ac:dyDescent="0.35">
      <c r="A577" s="156" t="s">
        <v>542</v>
      </c>
      <c r="B577" s="52">
        <v>43469</v>
      </c>
      <c r="C577" s="156" t="s">
        <v>531</v>
      </c>
      <c r="D577" s="156" t="s">
        <v>531</v>
      </c>
      <c r="E577">
        <v>1146002</v>
      </c>
      <c r="F577">
        <v>134806.36790000001</v>
      </c>
      <c r="G577">
        <v>117.5802</v>
      </c>
      <c r="H577">
        <v>1.0763050000000001</v>
      </c>
      <c r="I577">
        <v>1</v>
      </c>
      <c r="J577" s="156">
        <v>1</v>
      </c>
      <c r="K577">
        <v>1</v>
      </c>
      <c r="L577">
        <v>1</v>
      </c>
      <c r="M577">
        <v>1</v>
      </c>
      <c r="N577">
        <v>1.0763050000000001</v>
      </c>
    </row>
    <row r="578" spans="1:14" x14ac:dyDescent="0.35">
      <c r="A578" s="156" t="s">
        <v>542</v>
      </c>
      <c r="B578" s="52">
        <v>43472</v>
      </c>
      <c r="C578" s="156" t="s">
        <v>531</v>
      </c>
      <c r="D578" s="156" t="s">
        <v>531</v>
      </c>
      <c r="E578">
        <v>1079062</v>
      </c>
      <c r="F578">
        <v>133643.29019999999</v>
      </c>
      <c r="G578">
        <v>123.8419</v>
      </c>
      <c r="H578">
        <v>1.0563940000000001</v>
      </c>
      <c r="I578">
        <v>1</v>
      </c>
      <c r="J578" s="156">
        <v>1</v>
      </c>
      <c r="K578">
        <v>1</v>
      </c>
      <c r="L578">
        <v>1</v>
      </c>
      <c r="M578">
        <v>1</v>
      </c>
      <c r="N578">
        <v>1.0563940000000001</v>
      </c>
    </row>
    <row r="579" spans="1:14" x14ac:dyDescent="0.35">
      <c r="A579" s="156" t="s">
        <v>542</v>
      </c>
      <c r="B579" s="52">
        <v>43473</v>
      </c>
      <c r="C579" s="156" t="s">
        <v>531</v>
      </c>
      <c r="D579" s="156" t="s">
        <v>531</v>
      </c>
      <c r="E579">
        <v>950052</v>
      </c>
      <c r="F579">
        <v>119496.12729999999</v>
      </c>
      <c r="G579">
        <v>125.7307</v>
      </c>
      <c r="H579">
        <v>1.027936</v>
      </c>
      <c r="I579">
        <v>1</v>
      </c>
      <c r="J579" s="156">
        <v>1</v>
      </c>
      <c r="K579">
        <v>1</v>
      </c>
      <c r="L579">
        <v>1</v>
      </c>
      <c r="M579">
        <v>1</v>
      </c>
      <c r="N579">
        <v>1.027936</v>
      </c>
    </row>
    <row r="580" spans="1:14" x14ac:dyDescent="0.35">
      <c r="A580" s="156" t="s">
        <v>542</v>
      </c>
      <c r="B580" s="52">
        <v>43474</v>
      </c>
      <c r="C580" s="156" t="s">
        <v>531</v>
      </c>
      <c r="D580" s="156" t="s">
        <v>531</v>
      </c>
      <c r="E580">
        <v>854625</v>
      </c>
      <c r="F580">
        <v>109236.36410000001</v>
      </c>
      <c r="G580">
        <v>127.804</v>
      </c>
      <c r="H580">
        <v>1.005857</v>
      </c>
      <c r="I580">
        <v>1</v>
      </c>
      <c r="J580" s="156">
        <v>1</v>
      </c>
      <c r="K580">
        <v>1</v>
      </c>
      <c r="L580">
        <v>1</v>
      </c>
      <c r="M580">
        <v>1</v>
      </c>
      <c r="N580">
        <v>1.005857</v>
      </c>
    </row>
    <row r="581" spans="1:14" x14ac:dyDescent="0.35">
      <c r="A581" s="156" t="s">
        <v>542</v>
      </c>
      <c r="B581" s="52">
        <v>43475</v>
      </c>
      <c r="C581" s="156" t="s">
        <v>531</v>
      </c>
      <c r="D581" s="156" t="s">
        <v>531</v>
      </c>
      <c r="E581">
        <v>920667</v>
      </c>
      <c r="F581">
        <v>119488.93429999999</v>
      </c>
      <c r="G581">
        <v>129.77269999999999</v>
      </c>
      <c r="H581">
        <v>1.0067550000000001</v>
      </c>
      <c r="I581">
        <v>1</v>
      </c>
      <c r="J581" s="156">
        <v>1</v>
      </c>
      <c r="K581">
        <v>1</v>
      </c>
      <c r="L581">
        <v>1</v>
      </c>
      <c r="M581">
        <v>1</v>
      </c>
      <c r="N581">
        <v>1.0067550000000001</v>
      </c>
    </row>
    <row r="582" spans="1:14" x14ac:dyDescent="0.35">
      <c r="A582" s="156" t="s">
        <v>542</v>
      </c>
      <c r="B582" s="52">
        <v>43476</v>
      </c>
      <c r="C582" s="156" t="s">
        <v>531</v>
      </c>
      <c r="D582" s="156" t="s">
        <v>531</v>
      </c>
      <c r="E582">
        <v>797353</v>
      </c>
      <c r="F582">
        <v>102165.4039</v>
      </c>
      <c r="G582">
        <v>128.1396</v>
      </c>
      <c r="H582">
        <v>0.98172300000000001</v>
      </c>
      <c r="I582">
        <v>1</v>
      </c>
      <c r="J582" s="156">
        <v>1</v>
      </c>
      <c r="K582">
        <v>1</v>
      </c>
      <c r="L582">
        <v>1</v>
      </c>
      <c r="M582">
        <v>1</v>
      </c>
      <c r="N582">
        <v>0.98172300000000001</v>
      </c>
    </row>
    <row r="583" spans="1:14" x14ac:dyDescent="0.35">
      <c r="A583" s="156" t="s">
        <v>542</v>
      </c>
      <c r="B583" s="52">
        <v>43479</v>
      </c>
      <c r="C583" s="156" t="s">
        <v>531</v>
      </c>
      <c r="D583" s="156" t="s">
        <v>531</v>
      </c>
      <c r="E583">
        <v>778595</v>
      </c>
      <c r="F583">
        <v>99161.384600000005</v>
      </c>
      <c r="G583">
        <v>127.33069999999999</v>
      </c>
      <c r="H583">
        <v>1.0093479999999999</v>
      </c>
      <c r="I583">
        <v>1</v>
      </c>
      <c r="J583" s="156">
        <v>1</v>
      </c>
      <c r="K583">
        <v>1</v>
      </c>
      <c r="L583">
        <v>1</v>
      </c>
      <c r="M583">
        <v>1</v>
      </c>
      <c r="N583">
        <v>1.0093479999999999</v>
      </c>
    </row>
    <row r="584" spans="1:14" x14ac:dyDescent="0.35">
      <c r="A584" s="156" t="s">
        <v>542</v>
      </c>
      <c r="B584" s="52">
        <v>43480</v>
      </c>
      <c r="C584" s="156" t="s">
        <v>531</v>
      </c>
      <c r="D584" s="156" t="s">
        <v>531</v>
      </c>
      <c r="E584">
        <v>900428</v>
      </c>
      <c r="F584">
        <v>118224.5713</v>
      </c>
      <c r="G584">
        <v>131.32220000000001</v>
      </c>
      <c r="H584">
        <v>1.0149429999999999</v>
      </c>
      <c r="I584">
        <v>1</v>
      </c>
      <c r="J584" s="156">
        <v>1</v>
      </c>
      <c r="K584">
        <v>1</v>
      </c>
      <c r="L584">
        <v>1</v>
      </c>
      <c r="M584">
        <v>1</v>
      </c>
      <c r="N584">
        <v>1.0149429999999999</v>
      </c>
    </row>
    <row r="585" spans="1:14" x14ac:dyDescent="0.35">
      <c r="A585" s="156" t="s">
        <v>542</v>
      </c>
      <c r="B585" s="52">
        <v>43481</v>
      </c>
      <c r="C585" s="156" t="s">
        <v>531</v>
      </c>
      <c r="D585" s="156" t="s">
        <v>531</v>
      </c>
      <c r="E585">
        <v>630036</v>
      </c>
      <c r="F585">
        <v>83070.439400000003</v>
      </c>
      <c r="G585">
        <v>131.8929</v>
      </c>
      <c r="H585">
        <v>1.000767</v>
      </c>
      <c r="I585">
        <v>1</v>
      </c>
      <c r="J585" s="156">
        <v>1</v>
      </c>
      <c r="K585">
        <v>1</v>
      </c>
      <c r="L585">
        <v>1</v>
      </c>
      <c r="M585">
        <v>1</v>
      </c>
      <c r="N585">
        <v>1.000767</v>
      </c>
    </row>
    <row r="586" spans="1:14" x14ac:dyDescent="0.35">
      <c r="A586" s="156" t="s">
        <v>542</v>
      </c>
      <c r="B586" s="52">
        <v>43482</v>
      </c>
      <c r="C586" s="156" t="s">
        <v>531</v>
      </c>
      <c r="D586" s="156" t="s">
        <v>531</v>
      </c>
      <c r="E586">
        <v>658162</v>
      </c>
      <c r="F586">
        <v>87188.384699999995</v>
      </c>
      <c r="G586">
        <v>132.4417</v>
      </c>
      <c r="H586">
        <v>1.0204580000000001</v>
      </c>
      <c r="I586">
        <v>1</v>
      </c>
      <c r="J586" s="156">
        <v>1</v>
      </c>
      <c r="K586">
        <v>1</v>
      </c>
      <c r="L586">
        <v>1</v>
      </c>
      <c r="M586">
        <v>1</v>
      </c>
      <c r="N586">
        <v>1.0204580000000001</v>
      </c>
    </row>
    <row r="587" spans="1:14" x14ac:dyDescent="0.35">
      <c r="A587" s="156" t="s">
        <v>542</v>
      </c>
      <c r="B587" s="52">
        <v>43483</v>
      </c>
      <c r="C587" s="156" t="s">
        <v>531</v>
      </c>
      <c r="D587" s="156" t="s">
        <v>531</v>
      </c>
      <c r="E587">
        <v>1093053</v>
      </c>
      <c r="F587">
        <v>150125.5815</v>
      </c>
      <c r="G587">
        <v>137.33609999999999</v>
      </c>
      <c r="H587">
        <v>1.043625</v>
      </c>
      <c r="I587">
        <v>1</v>
      </c>
      <c r="J587" s="156">
        <v>1</v>
      </c>
      <c r="K587">
        <v>1</v>
      </c>
      <c r="L587">
        <v>1</v>
      </c>
      <c r="M587">
        <v>1</v>
      </c>
      <c r="N587">
        <v>1.043625</v>
      </c>
    </row>
    <row r="588" spans="1:14" x14ac:dyDescent="0.35">
      <c r="A588" s="156" t="s">
        <v>542</v>
      </c>
      <c r="B588" s="52">
        <v>43487</v>
      </c>
      <c r="C588" s="156" t="s">
        <v>531</v>
      </c>
      <c r="D588" s="156" t="s">
        <v>531</v>
      </c>
      <c r="E588">
        <v>979923</v>
      </c>
      <c r="F588">
        <v>132105.07</v>
      </c>
      <c r="G588">
        <v>134.81659999999999</v>
      </c>
      <c r="H588">
        <v>0.96424200000000004</v>
      </c>
      <c r="I588">
        <v>1</v>
      </c>
      <c r="J588" s="156">
        <v>1</v>
      </c>
      <c r="K588">
        <v>1</v>
      </c>
      <c r="L588">
        <v>1</v>
      </c>
      <c r="M588">
        <v>1</v>
      </c>
      <c r="N588">
        <v>0.96424200000000004</v>
      </c>
    </row>
    <row r="589" spans="1:14" x14ac:dyDescent="0.35">
      <c r="A589" s="156" t="s">
        <v>542</v>
      </c>
      <c r="B589" s="52">
        <v>43488</v>
      </c>
      <c r="C589" s="156" t="s">
        <v>531</v>
      </c>
      <c r="D589" s="156" t="s">
        <v>531</v>
      </c>
      <c r="E589">
        <v>715707</v>
      </c>
      <c r="F589">
        <v>96123.223199999993</v>
      </c>
      <c r="G589">
        <v>134.32310000000001</v>
      </c>
      <c r="H589">
        <v>0.99865700000000002</v>
      </c>
      <c r="I589">
        <v>1</v>
      </c>
      <c r="J589" s="156">
        <v>1</v>
      </c>
      <c r="K589">
        <v>1</v>
      </c>
      <c r="L589">
        <v>1</v>
      </c>
      <c r="M589">
        <v>1</v>
      </c>
      <c r="N589">
        <v>0.99865700000000002</v>
      </c>
    </row>
    <row r="590" spans="1:14" x14ac:dyDescent="0.35">
      <c r="A590" s="156" t="s">
        <v>542</v>
      </c>
      <c r="B590" s="52">
        <v>43489</v>
      </c>
      <c r="C590" s="156" t="s">
        <v>531</v>
      </c>
      <c r="D590" s="156" t="s">
        <v>531</v>
      </c>
      <c r="E590">
        <v>544996</v>
      </c>
      <c r="F590">
        <v>73422.6149</v>
      </c>
      <c r="G590">
        <v>134.73220000000001</v>
      </c>
      <c r="H590">
        <v>1.008966</v>
      </c>
      <c r="I590">
        <v>1</v>
      </c>
      <c r="J590" s="156">
        <v>1</v>
      </c>
      <c r="K590">
        <v>1</v>
      </c>
      <c r="L590">
        <v>1</v>
      </c>
      <c r="M590">
        <v>1</v>
      </c>
      <c r="N590">
        <v>1.008966</v>
      </c>
    </row>
    <row r="591" spans="1:14" x14ac:dyDescent="0.35">
      <c r="A591" s="156" t="s">
        <v>542</v>
      </c>
      <c r="B591" s="52">
        <v>43490</v>
      </c>
      <c r="C591" s="156" t="s">
        <v>531</v>
      </c>
      <c r="D591" s="156" t="s">
        <v>531</v>
      </c>
      <c r="E591">
        <v>755765</v>
      </c>
      <c r="F591">
        <v>104696.5257</v>
      </c>
      <c r="G591">
        <v>138.5522</v>
      </c>
      <c r="H591">
        <v>1.0202899999999999</v>
      </c>
      <c r="I591">
        <v>1</v>
      </c>
      <c r="J591" s="156">
        <v>1</v>
      </c>
      <c r="K591">
        <v>1</v>
      </c>
      <c r="L591">
        <v>1</v>
      </c>
      <c r="M591">
        <v>1</v>
      </c>
      <c r="N591">
        <v>1.0202899999999999</v>
      </c>
    </row>
    <row r="592" spans="1:14" x14ac:dyDescent="0.35">
      <c r="A592" s="156" t="s">
        <v>542</v>
      </c>
      <c r="B592" s="52">
        <v>43493</v>
      </c>
      <c r="C592" s="156" t="s">
        <v>531</v>
      </c>
      <c r="D592" s="156" t="s">
        <v>531</v>
      </c>
      <c r="E592">
        <v>609630</v>
      </c>
      <c r="F592">
        <v>82366.871599999999</v>
      </c>
      <c r="G592">
        <v>135.12389999999999</v>
      </c>
      <c r="H592">
        <v>0.98483100000000001</v>
      </c>
      <c r="I592">
        <v>1</v>
      </c>
      <c r="J592" s="156">
        <v>1</v>
      </c>
      <c r="K592">
        <v>1</v>
      </c>
      <c r="L592">
        <v>1</v>
      </c>
      <c r="M592">
        <v>1</v>
      </c>
      <c r="N592">
        <v>0.98483100000000001</v>
      </c>
    </row>
    <row r="593" spans="1:14" x14ac:dyDescent="0.35">
      <c r="A593" s="156" t="s">
        <v>542</v>
      </c>
      <c r="B593" s="52">
        <v>43494</v>
      </c>
      <c r="C593" s="156" t="s">
        <v>531</v>
      </c>
      <c r="D593" s="156" t="s">
        <v>531</v>
      </c>
      <c r="E593">
        <v>547935</v>
      </c>
      <c r="F593">
        <v>74019.501799999998</v>
      </c>
      <c r="G593">
        <v>135.0933</v>
      </c>
      <c r="H593">
        <v>0.991672</v>
      </c>
      <c r="I593">
        <v>1</v>
      </c>
      <c r="J593" s="156">
        <v>1</v>
      </c>
      <c r="K593">
        <v>1</v>
      </c>
      <c r="L593">
        <v>1</v>
      </c>
      <c r="M593">
        <v>1</v>
      </c>
      <c r="N593">
        <v>0.991672</v>
      </c>
    </row>
    <row r="594" spans="1:14" x14ac:dyDescent="0.35">
      <c r="A594" s="156" t="s">
        <v>542</v>
      </c>
      <c r="B594" s="52">
        <v>43495</v>
      </c>
      <c r="C594" s="156" t="s">
        <v>531</v>
      </c>
      <c r="D594" s="156" t="s">
        <v>531</v>
      </c>
      <c r="E594">
        <v>817417</v>
      </c>
      <c r="F594">
        <v>113587.85649999999</v>
      </c>
      <c r="G594">
        <v>138.9605</v>
      </c>
      <c r="H594">
        <v>1.0407999999999999</v>
      </c>
      <c r="I594">
        <v>1</v>
      </c>
      <c r="J594" s="156">
        <v>1</v>
      </c>
      <c r="K594">
        <v>1</v>
      </c>
      <c r="L594">
        <v>1</v>
      </c>
      <c r="M594">
        <v>1</v>
      </c>
      <c r="N594">
        <v>1.0407999999999999</v>
      </c>
    </row>
    <row r="595" spans="1:14" x14ac:dyDescent="0.35">
      <c r="A595" s="156" t="s">
        <v>542</v>
      </c>
      <c r="B595" s="52">
        <v>43496</v>
      </c>
      <c r="C595" s="156" t="s">
        <v>531</v>
      </c>
      <c r="D595" s="156" t="s">
        <v>531</v>
      </c>
      <c r="E595">
        <v>1021867</v>
      </c>
      <c r="F595">
        <v>146678.2598</v>
      </c>
      <c r="G595">
        <v>143.53970000000001</v>
      </c>
      <c r="H595">
        <v>1.0187790000000001</v>
      </c>
      <c r="I595">
        <v>1</v>
      </c>
      <c r="J595" s="156">
        <v>1</v>
      </c>
      <c r="K595">
        <v>1</v>
      </c>
      <c r="L595">
        <v>1</v>
      </c>
      <c r="M595">
        <v>1</v>
      </c>
      <c r="N595">
        <v>1.0187790000000001</v>
      </c>
    </row>
    <row r="596" spans="1:14" x14ac:dyDescent="0.35">
      <c r="A596" s="156" t="s">
        <v>542</v>
      </c>
      <c r="B596" s="52">
        <v>43497</v>
      </c>
      <c r="C596" s="156" t="s">
        <v>531</v>
      </c>
      <c r="D596" s="156" t="s">
        <v>531</v>
      </c>
      <c r="E596">
        <v>756423</v>
      </c>
      <c r="F596">
        <v>109372.33990000001</v>
      </c>
      <c r="G596">
        <v>144.60249999999999</v>
      </c>
      <c r="H596">
        <v>1.0180819999999999</v>
      </c>
      <c r="I596">
        <v>1</v>
      </c>
      <c r="J596" s="156">
        <v>1</v>
      </c>
      <c r="K596">
        <v>1</v>
      </c>
      <c r="L596">
        <v>1</v>
      </c>
      <c r="M596">
        <v>1</v>
      </c>
      <c r="N596">
        <v>1.0180819999999999</v>
      </c>
    </row>
    <row r="597" spans="1:14" x14ac:dyDescent="0.35">
      <c r="A597" s="156" t="s">
        <v>542</v>
      </c>
      <c r="B597" s="52">
        <v>43500</v>
      </c>
      <c r="C597" s="156" t="s">
        <v>531</v>
      </c>
      <c r="D597" s="156" t="s">
        <v>531</v>
      </c>
      <c r="E597">
        <v>1593878</v>
      </c>
      <c r="F597">
        <v>242247.7855</v>
      </c>
      <c r="G597">
        <v>151.98310000000001</v>
      </c>
      <c r="H597">
        <v>1.0441279999999999</v>
      </c>
      <c r="I597">
        <v>1</v>
      </c>
      <c r="J597" s="156">
        <v>1</v>
      </c>
      <c r="K597">
        <v>1</v>
      </c>
      <c r="L597">
        <v>1</v>
      </c>
      <c r="M597">
        <v>1</v>
      </c>
      <c r="N597">
        <v>1.0441279999999999</v>
      </c>
    </row>
    <row r="598" spans="1:14" x14ac:dyDescent="0.35">
      <c r="A598" s="156" t="s">
        <v>542</v>
      </c>
      <c r="B598" s="52">
        <v>43501</v>
      </c>
      <c r="C598" s="156" t="s">
        <v>531</v>
      </c>
      <c r="D598" s="156" t="s">
        <v>531</v>
      </c>
      <c r="E598">
        <v>1220584</v>
      </c>
      <c r="F598">
        <v>189133.2574</v>
      </c>
      <c r="G598">
        <v>154.94990000000001</v>
      </c>
      <c r="H598">
        <v>1.0230109999999999</v>
      </c>
      <c r="I598">
        <v>1</v>
      </c>
      <c r="J598" s="156">
        <v>1</v>
      </c>
      <c r="K598">
        <v>1</v>
      </c>
      <c r="L598">
        <v>1</v>
      </c>
      <c r="M598">
        <v>1</v>
      </c>
      <c r="N598">
        <v>1.0230109999999999</v>
      </c>
    </row>
    <row r="599" spans="1:14" x14ac:dyDescent="0.35">
      <c r="A599" s="156" t="s">
        <v>542</v>
      </c>
      <c r="B599" s="52">
        <v>43502</v>
      </c>
      <c r="C599" s="156" t="s">
        <v>531</v>
      </c>
      <c r="D599" s="156" t="s">
        <v>531</v>
      </c>
      <c r="E599">
        <v>1740173</v>
      </c>
      <c r="F599">
        <v>258906.53150000001</v>
      </c>
      <c r="G599">
        <v>148.79839999999999</v>
      </c>
      <c r="H599">
        <v>0.95063200000000003</v>
      </c>
      <c r="I599">
        <v>1</v>
      </c>
      <c r="J599" s="156">
        <v>1</v>
      </c>
      <c r="K599">
        <v>1</v>
      </c>
      <c r="L599">
        <v>1</v>
      </c>
      <c r="M599">
        <v>1</v>
      </c>
      <c r="N599">
        <v>0.95063200000000003</v>
      </c>
    </row>
    <row r="600" spans="1:14" x14ac:dyDescent="0.35">
      <c r="A600" s="156" t="s">
        <v>542</v>
      </c>
      <c r="B600" s="52">
        <v>43503</v>
      </c>
      <c r="C600" s="156" t="s">
        <v>531</v>
      </c>
      <c r="D600" s="156" t="s">
        <v>531</v>
      </c>
      <c r="E600">
        <v>1347403</v>
      </c>
      <c r="F600">
        <v>191792.1151</v>
      </c>
      <c r="G600">
        <v>142.3409</v>
      </c>
      <c r="H600">
        <v>0.96298300000000003</v>
      </c>
      <c r="I600">
        <v>1</v>
      </c>
      <c r="J600" s="156">
        <v>1</v>
      </c>
      <c r="K600">
        <v>1</v>
      </c>
      <c r="L600">
        <v>1</v>
      </c>
      <c r="M600">
        <v>1</v>
      </c>
      <c r="N600">
        <v>0.96298300000000003</v>
      </c>
    </row>
    <row r="601" spans="1:14" x14ac:dyDescent="0.35">
      <c r="A601" s="156" t="s">
        <v>542</v>
      </c>
      <c r="B601" s="52">
        <v>43504</v>
      </c>
      <c r="C601" s="156" t="s">
        <v>531</v>
      </c>
      <c r="D601" s="156" t="s">
        <v>531</v>
      </c>
      <c r="E601">
        <v>859060</v>
      </c>
      <c r="F601">
        <v>123797.1648</v>
      </c>
      <c r="G601">
        <v>144.07419999999999</v>
      </c>
      <c r="H601">
        <v>1.029147</v>
      </c>
      <c r="I601">
        <v>1</v>
      </c>
      <c r="J601" s="156">
        <v>1</v>
      </c>
      <c r="K601">
        <v>1</v>
      </c>
      <c r="L601">
        <v>1</v>
      </c>
      <c r="M601">
        <v>1</v>
      </c>
      <c r="N601">
        <v>1.029147</v>
      </c>
    </row>
    <row r="602" spans="1:14" x14ac:dyDescent="0.35">
      <c r="A602" s="156" t="s">
        <v>542</v>
      </c>
      <c r="B602" s="52">
        <v>43507</v>
      </c>
      <c r="C602" s="156" t="s">
        <v>531</v>
      </c>
      <c r="D602" s="156" t="s">
        <v>531</v>
      </c>
      <c r="E602">
        <v>830500</v>
      </c>
      <c r="F602">
        <v>123173.96369999999</v>
      </c>
      <c r="G602">
        <v>148.31700000000001</v>
      </c>
      <c r="H602">
        <v>1.018607</v>
      </c>
      <c r="I602">
        <v>1</v>
      </c>
      <c r="J602" s="156">
        <v>1</v>
      </c>
      <c r="K602">
        <v>1</v>
      </c>
      <c r="L602">
        <v>1</v>
      </c>
      <c r="M602">
        <v>1</v>
      </c>
      <c r="N602">
        <v>1.018607</v>
      </c>
    </row>
    <row r="603" spans="1:14" x14ac:dyDescent="0.35">
      <c r="A603" s="156" t="s">
        <v>542</v>
      </c>
      <c r="B603" s="52">
        <v>43508</v>
      </c>
      <c r="C603" s="156" t="s">
        <v>531</v>
      </c>
      <c r="D603" s="156" t="s">
        <v>531</v>
      </c>
      <c r="E603">
        <v>844691</v>
      </c>
      <c r="F603">
        <v>128730.7254</v>
      </c>
      <c r="G603">
        <v>152.39179999999999</v>
      </c>
      <c r="H603">
        <v>1.027401</v>
      </c>
      <c r="I603">
        <v>1</v>
      </c>
      <c r="J603" s="156">
        <v>1</v>
      </c>
      <c r="K603">
        <v>1</v>
      </c>
      <c r="L603">
        <v>1</v>
      </c>
      <c r="M603">
        <v>1</v>
      </c>
      <c r="N603">
        <v>1.027401</v>
      </c>
    </row>
    <row r="604" spans="1:14" x14ac:dyDescent="0.35">
      <c r="A604" s="156" t="s">
        <v>542</v>
      </c>
      <c r="B604" s="52">
        <v>43509</v>
      </c>
      <c r="C604" s="156" t="s">
        <v>531</v>
      </c>
      <c r="D604" s="156" t="s">
        <v>531</v>
      </c>
      <c r="E604">
        <v>1062640</v>
      </c>
      <c r="F604">
        <v>160746.35690000001</v>
      </c>
      <c r="G604">
        <v>151.29509999999999</v>
      </c>
      <c r="H604">
        <v>0.98928000000000005</v>
      </c>
      <c r="I604">
        <v>1</v>
      </c>
      <c r="J604" s="156">
        <v>1</v>
      </c>
      <c r="K604">
        <v>1</v>
      </c>
      <c r="L604">
        <v>1</v>
      </c>
      <c r="M604">
        <v>1</v>
      </c>
      <c r="N604">
        <v>0.98928000000000005</v>
      </c>
    </row>
    <row r="605" spans="1:14" x14ac:dyDescent="0.35">
      <c r="A605" s="156" t="s">
        <v>542</v>
      </c>
      <c r="B605" s="52">
        <v>43510</v>
      </c>
      <c r="C605" s="156" t="s">
        <v>531</v>
      </c>
      <c r="D605" s="156" t="s">
        <v>531</v>
      </c>
      <c r="E605">
        <v>966942</v>
      </c>
      <c r="F605">
        <v>148308.21969999999</v>
      </c>
      <c r="G605">
        <v>153.3603</v>
      </c>
      <c r="H605">
        <v>1.0138100000000001</v>
      </c>
      <c r="I605">
        <v>1</v>
      </c>
      <c r="J605" s="156">
        <v>1</v>
      </c>
      <c r="K605">
        <v>1</v>
      </c>
      <c r="L605">
        <v>1</v>
      </c>
      <c r="M605">
        <v>1</v>
      </c>
      <c r="N605">
        <v>1.0138100000000001</v>
      </c>
    </row>
    <row r="606" spans="1:14" x14ac:dyDescent="0.35">
      <c r="A606" s="156" t="s">
        <v>542</v>
      </c>
      <c r="B606" s="52">
        <v>43511</v>
      </c>
      <c r="C606" s="156" t="s">
        <v>531</v>
      </c>
      <c r="D606" s="156" t="s">
        <v>531</v>
      </c>
      <c r="E606">
        <v>1281602</v>
      </c>
      <c r="F606">
        <v>200052.85370000001</v>
      </c>
      <c r="G606">
        <v>156.0805</v>
      </c>
      <c r="H606">
        <v>1.0305679999999999</v>
      </c>
      <c r="I606">
        <v>1</v>
      </c>
      <c r="J606" s="156">
        <v>1</v>
      </c>
      <c r="K606">
        <v>1</v>
      </c>
      <c r="L606">
        <v>1</v>
      </c>
      <c r="M606">
        <v>1</v>
      </c>
      <c r="N606">
        <v>1.0305679999999999</v>
      </c>
    </row>
    <row r="607" spans="1:14" x14ac:dyDescent="0.35">
      <c r="A607" s="156" t="s">
        <v>542</v>
      </c>
      <c r="B607" s="52">
        <v>43515</v>
      </c>
      <c r="C607" s="156" t="s">
        <v>531</v>
      </c>
      <c r="D607" s="156" t="s">
        <v>531</v>
      </c>
      <c r="E607">
        <v>2153659</v>
      </c>
      <c r="F607">
        <v>349628.0724</v>
      </c>
      <c r="G607">
        <v>162.34100000000001</v>
      </c>
      <c r="H607">
        <v>1.0226409999999999</v>
      </c>
      <c r="I607">
        <v>1</v>
      </c>
      <c r="J607" s="156">
        <v>1</v>
      </c>
      <c r="K607">
        <v>1</v>
      </c>
      <c r="L607">
        <v>1</v>
      </c>
      <c r="M607">
        <v>1</v>
      </c>
      <c r="N607">
        <v>1.0226409999999999</v>
      </c>
    </row>
    <row r="608" spans="1:14" x14ac:dyDescent="0.35">
      <c r="A608" s="156" t="s">
        <v>542</v>
      </c>
      <c r="B608" s="52">
        <v>43516</v>
      </c>
      <c r="C608" s="156" t="s">
        <v>531</v>
      </c>
      <c r="D608" s="156" t="s">
        <v>531</v>
      </c>
      <c r="E608">
        <v>4177774</v>
      </c>
      <c r="F608">
        <v>626342.00710000005</v>
      </c>
      <c r="G608">
        <v>149.9144</v>
      </c>
      <c r="H608">
        <v>0.92820000000000003</v>
      </c>
      <c r="I608">
        <v>1</v>
      </c>
      <c r="J608" s="156">
        <v>1</v>
      </c>
      <c r="K608">
        <v>1</v>
      </c>
      <c r="L608">
        <v>1</v>
      </c>
      <c r="M608">
        <v>1</v>
      </c>
      <c r="N608">
        <v>0.92820000000000003</v>
      </c>
    </row>
    <row r="609" spans="1:14" x14ac:dyDescent="0.35">
      <c r="A609" s="156" t="s">
        <v>542</v>
      </c>
      <c r="B609" s="52">
        <v>43517</v>
      </c>
      <c r="C609" s="156" t="s">
        <v>531</v>
      </c>
      <c r="D609" s="156" t="s">
        <v>531</v>
      </c>
      <c r="E609">
        <v>2295954</v>
      </c>
      <c r="F609">
        <v>353580.35330000002</v>
      </c>
      <c r="G609">
        <v>153.97479999999999</v>
      </c>
      <c r="H609">
        <v>1.0026649999999999</v>
      </c>
      <c r="I609">
        <v>1</v>
      </c>
      <c r="J609" s="156">
        <v>1</v>
      </c>
      <c r="K609">
        <v>1</v>
      </c>
      <c r="L609">
        <v>1</v>
      </c>
      <c r="M609">
        <v>1</v>
      </c>
      <c r="N609">
        <v>1.0026649999999999</v>
      </c>
    </row>
    <row r="610" spans="1:14" x14ac:dyDescent="0.35">
      <c r="A610" s="156" t="s">
        <v>542</v>
      </c>
      <c r="B610" s="52">
        <v>43518</v>
      </c>
      <c r="C610" s="156" t="s">
        <v>531</v>
      </c>
      <c r="D610" s="156" t="s">
        <v>531</v>
      </c>
      <c r="E610">
        <v>7971429</v>
      </c>
      <c r="F610">
        <v>1535592.6632000001</v>
      </c>
      <c r="G610">
        <v>192.76740000000001</v>
      </c>
      <c r="H610">
        <v>1.3139080000000001</v>
      </c>
      <c r="I610">
        <v>1</v>
      </c>
      <c r="J610" s="156">
        <v>1</v>
      </c>
      <c r="K610">
        <v>1</v>
      </c>
      <c r="L610">
        <v>1</v>
      </c>
      <c r="M610">
        <v>1</v>
      </c>
      <c r="N610">
        <v>1.3139080000000001</v>
      </c>
    </row>
    <row r="611" spans="1:14" x14ac:dyDescent="0.35">
      <c r="A611" s="156" t="s">
        <v>542</v>
      </c>
      <c r="B611" s="52">
        <v>43521</v>
      </c>
      <c r="C611" s="156" t="s">
        <v>531</v>
      </c>
      <c r="D611" s="156" t="s">
        <v>531</v>
      </c>
      <c r="E611">
        <v>3195443</v>
      </c>
      <c r="F611">
        <v>633869.09669999999</v>
      </c>
      <c r="G611">
        <v>198.31739999999999</v>
      </c>
      <c r="H611">
        <v>0.999444</v>
      </c>
      <c r="I611">
        <v>1</v>
      </c>
      <c r="J611" s="156">
        <v>1</v>
      </c>
      <c r="K611">
        <v>1</v>
      </c>
      <c r="L611">
        <v>1</v>
      </c>
      <c r="M611">
        <v>1</v>
      </c>
      <c r="N611">
        <v>0.999444</v>
      </c>
    </row>
    <row r="612" spans="1:14" x14ac:dyDescent="0.35">
      <c r="A612" s="156" t="s">
        <v>542</v>
      </c>
      <c r="B612" s="52">
        <v>43522</v>
      </c>
      <c r="C612" s="156" t="s">
        <v>531</v>
      </c>
      <c r="D612" s="156" t="s">
        <v>531</v>
      </c>
      <c r="E612">
        <v>1842605</v>
      </c>
      <c r="F612">
        <v>359593.4656</v>
      </c>
      <c r="G612">
        <v>195.13310000000001</v>
      </c>
      <c r="H612">
        <v>0.98927200000000004</v>
      </c>
      <c r="I612">
        <v>1</v>
      </c>
      <c r="J612" s="156">
        <v>1</v>
      </c>
      <c r="K612">
        <v>1</v>
      </c>
      <c r="L612">
        <v>1</v>
      </c>
      <c r="M612">
        <v>1</v>
      </c>
      <c r="N612">
        <v>0.98927200000000004</v>
      </c>
    </row>
    <row r="613" spans="1:14" x14ac:dyDescent="0.35">
      <c r="A613" s="156" t="s">
        <v>542</v>
      </c>
      <c r="B613" s="52">
        <v>43523</v>
      </c>
      <c r="C613" s="156" t="s">
        <v>531</v>
      </c>
      <c r="D613" s="156" t="s">
        <v>531</v>
      </c>
      <c r="E613">
        <v>1236547</v>
      </c>
      <c r="F613">
        <v>242424.19450000001</v>
      </c>
      <c r="G613">
        <v>196.0505</v>
      </c>
      <c r="H613">
        <v>0.99744200000000005</v>
      </c>
      <c r="I613">
        <v>1</v>
      </c>
      <c r="J613" s="156">
        <v>1</v>
      </c>
      <c r="K613">
        <v>1</v>
      </c>
      <c r="L613">
        <v>1</v>
      </c>
      <c r="M613">
        <v>1</v>
      </c>
      <c r="N613">
        <v>0.99744200000000005</v>
      </c>
    </row>
    <row r="614" spans="1:14" x14ac:dyDescent="0.35">
      <c r="A614" s="156" t="s">
        <v>542</v>
      </c>
      <c r="B614" s="52">
        <v>43524</v>
      </c>
      <c r="C614" s="156" t="s">
        <v>531</v>
      </c>
      <c r="D614" s="156" t="s">
        <v>531</v>
      </c>
      <c r="E614">
        <v>1504149</v>
      </c>
      <c r="F614">
        <v>295393.255</v>
      </c>
      <c r="G614">
        <v>196.37110000000001</v>
      </c>
      <c r="H614">
        <v>1.013026</v>
      </c>
      <c r="I614">
        <v>1</v>
      </c>
      <c r="J614" s="156">
        <v>1</v>
      </c>
      <c r="K614">
        <v>1</v>
      </c>
      <c r="L614">
        <v>1</v>
      </c>
      <c r="M614">
        <v>1</v>
      </c>
      <c r="N614">
        <v>1.013026</v>
      </c>
    </row>
    <row r="615" spans="1:14" x14ac:dyDescent="0.35">
      <c r="A615" s="156" t="s">
        <v>542</v>
      </c>
      <c r="B615" s="52">
        <v>43525</v>
      </c>
      <c r="C615" s="156" t="s">
        <v>531</v>
      </c>
      <c r="D615" s="156" t="s">
        <v>531</v>
      </c>
      <c r="E615">
        <v>1574381</v>
      </c>
      <c r="F615">
        <v>309522.99410000001</v>
      </c>
      <c r="G615">
        <v>196.60640000000001</v>
      </c>
      <c r="H615">
        <v>0.98774899999999999</v>
      </c>
      <c r="I615">
        <v>1</v>
      </c>
      <c r="J615" s="156">
        <v>1</v>
      </c>
      <c r="K615">
        <v>1</v>
      </c>
      <c r="L615">
        <v>1</v>
      </c>
      <c r="M615">
        <v>1</v>
      </c>
      <c r="N615">
        <v>0.98774899999999999</v>
      </c>
    </row>
    <row r="616" spans="1:14" x14ac:dyDescent="0.35">
      <c r="A616" s="156" t="s">
        <v>542</v>
      </c>
      <c r="B616" s="52">
        <v>43528</v>
      </c>
      <c r="C616" s="156" t="s">
        <v>531</v>
      </c>
      <c r="D616" s="156" t="s">
        <v>531</v>
      </c>
      <c r="E616">
        <v>2164673</v>
      </c>
      <c r="F616">
        <v>407563.53860000003</v>
      </c>
      <c r="G616">
        <v>188.31200000000001</v>
      </c>
      <c r="H616">
        <v>0.97058199999999994</v>
      </c>
      <c r="I616">
        <v>1</v>
      </c>
      <c r="J616" s="156">
        <v>1</v>
      </c>
      <c r="K616">
        <v>1</v>
      </c>
      <c r="L616">
        <v>1</v>
      </c>
      <c r="M616">
        <v>1</v>
      </c>
      <c r="N616">
        <v>0.97058199999999994</v>
      </c>
    </row>
    <row r="617" spans="1:14" x14ac:dyDescent="0.35">
      <c r="A617" s="156" t="s">
        <v>542</v>
      </c>
      <c r="B617" s="52">
        <v>43529</v>
      </c>
      <c r="C617" s="156" t="s">
        <v>531</v>
      </c>
      <c r="D617" s="156" t="s">
        <v>531</v>
      </c>
      <c r="E617">
        <v>993073</v>
      </c>
      <c r="F617">
        <v>188849.56229999999</v>
      </c>
      <c r="G617">
        <v>190.12639999999999</v>
      </c>
      <c r="H617">
        <v>1.0097689999999999</v>
      </c>
      <c r="I617">
        <v>1</v>
      </c>
      <c r="J617" s="156">
        <v>1</v>
      </c>
      <c r="K617">
        <v>1</v>
      </c>
      <c r="L617">
        <v>1</v>
      </c>
      <c r="M617">
        <v>1</v>
      </c>
      <c r="N617">
        <v>1.0097689999999999</v>
      </c>
    </row>
    <row r="618" spans="1:14" x14ac:dyDescent="0.35">
      <c r="A618" s="156" t="s">
        <v>542</v>
      </c>
      <c r="B618" s="52">
        <v>43530</v>
      </c>
      <c r="C618" s="156" t="s">
        <v>531</v>
      </c>
      <c r="D618" s="156" t="s">
        <v>531</v>
      </c>
      <c r="E618">
        <v>1311632</v>
      </c>
      <c r="F618">
        <v>245091.0673</v>
      </c>
      <c r="G618">
        <v>186.8623</v>
      </c>
      <c r="H618">
        <v>0.97448100000000004</v>
      </c>
      <c r="I618">
        <v>1</v>
      </c>
      <c r="J618" s="156">
        <v>1</v>
      </c>
      <c r="K618">
        <v>1</v>
      </c>
      <c r="L618">
        <v>1</v>
      </c>
      <c r="M618">
        <v>1</v>
      </c>
      <c r="N618">
        <v>0.97448100000000004</v>
      </c>
    </row>
    <row r="619" spans="1:14" x14ac:dyDescent="0.35">
      <c r="A619" s="156" t="s">
        <v>542</v>
      </c>
      <c r="B619" s="52">
        <v>43531</v>
      </c>
      <c r="C619" s="156" t="s">
        <v>531</v>
      </c>
      <c r="D619" s="156" t="s">
        <v>531</v>
      </c>
      <c r="E619">
        <v>1388657</v>
      </c>
      <c r="F619">
        <v>261397.45439999999</v>
      </c>
      <c r="G619">
        <v>188.25120000000001</v>
      </c>
      <c r="H619">
        <v>1.013147</v>
      </c>
      <c r="I619">
        <v>1</v>
      </c>
      <c r="J619" s="156">
        <v>1</v>
      </c>
      <c r="K619">
        <v>1</v>
      </c>
      <c r="L619">
        <v>1</v>
      </c>
      <c r="M619">
        <v>1</v>
      </c>
      <c r="N619">
        <v>1.013147</v>
      </c>
    </row>
    <row r="620" spans="1:14" x14ac:dyDescent="0.35">
      <c r="A620" s="156" t="s">
        <v>542</v>
      </c>
      <c r="B620" s="52">
        <v>43532</v>
      </c>
      <c r="C620" s="156" t="s">
        <v>531</v>
      </c>
      <c r="D620" s="156" t="s">
        <v>531</v>
      </c>
      <c r="E620">
        <v>1682239</v>
      </c>
      <c r="F620">
        <v>321909.21429999999</v>
      </c>
      <c r="G620">
        <v>191.33590000000001</v>
      </c>
      <c r="H620">
        <v>1.029396</v>
      </c>
      <c r="I620">
        <v>1</v>
      </c>
      <c r="J620" s="156">
        <v>1</v>
      </c>
      <c r="K620">
        <v>1</v>
      </c>
      <c r="L620">
        <v>1</v>
      </c>
      <c r="M620">
        <v>1</v>
      </c>
      <c r="N620">
        <v>1.029396</v>
      </c>
    </row>
    <row r="621" spans="1:14" x14ac:dyDescent="0.35">
      <c r="A621" s="156" t="s">
        <v>542</v>
      </c>
      <c r="B621" s="52">
        <v>43535</v>
      </c>
      <c r="C621" s="156" t="s">
        <v>531</v>
      </c>
      <c r="D621" s="156" t="s">
        <v>531</v>
      </c>
      <c r="E621">
        <v>2327306</v>
      </c>
      <c r="F621">
        <v>469797.55</v>
      </c>
      <c r="G621">
        <v>202.33279999999999</v>
      </c>
      <c r="H621">
        <v>1.0516080000000001</v>
      </c>
      <c r="I621">
        <v>1</v>
      </c>
      <c r="J621" s="156">
        <v>1</v>
      </c>
      <c r="K621">
        <v>1</v>
      </c>
      <c r="L621">
        <v>1</v>
      </c>
      <c r="M621">
        <v>1</v>
      </c>
      <c r="N621">
        <v>1.0516080000000001</v>
      </c>
    </row>
    <row r="622" spans="1:14" x14ac:dyDescent="0.35">
      <c r="A622" s="156" t="s">
        <v>542</v>
      </c>
      <c r="B622" s="52">
        <v>43536</v>
      </c>
      <c r="C622" s="156" t="s">
        <v>531</v>
      </c>
      <c r="D622" s="156" t="s">
        <v>531</v>
      </c>
      <c r="E622">
        <v>1266472</v>
      </c>
      <c r="F622">
        <v>260945.41699999999</v>
      </c>
      <c r="G622">
        <v>206.01169999999999</v>
      </c>
      <c r="H622">
        <v>1.016734</v>
      </c>
      <c r="I622">
        <v>1</v>
      </c>
      <c r="J622" s="156">
        <v>1</v>
      </c>
      <c r="K622">
        <v>1</v>
      </c>
      <c r="L622">
        <v>1</v>
      </c>
      <c r="M622">
        <v>1</v>
      </c>
      <c r="N622">
        <v>1.016734</v>
      </c>
    </row>
    <row r="623" spans="1:14" x14ac:dyDescent="0.35">
      <c r="A623" s="156" t="s">
        <v>542</v>
      </c>
      <c r="B623" s="52">
        <v>43537</v>
      </c>
      <c r="C623" s="156" t="s">
        <v>531</v>
      </c>
      <c r="D623" s="156" t="s">
        <v>531</v>
      </c>
      <c r="E623">
        <v>1216565</v>
      </c>
      <c r="F623">
        <v>249619.4449</v>
      </c>
      <c r="G623">
        <v>205.17140000000001</v>
      </c>
      <c r="H623">
        <v>0.98743999999999998</v>
      </c>
      <c r="I623">
        <v>1</v>
      </c>
      <c r="J623" s="156">
        <v>1</v>
      </c>
      <c r="K623">
        <v>1</v>
      </c>
      <c r="L623">
        <v>1</v>
      </c>
      <c r="M623">
        <v>1</v>
      </c>
      <c r="N623">
        <v>0.98743999999999998</v>
      </c>
    </row>
    <row r="624" spans="1:14" x14ac:dyDescent="0.35">
      <c r="A624" s="156" t="s">
        <v>542</v>
      </c>
      <c r="B624" s="52">
        <v>43538</v>
      </c>
      <c r="C624" s="156" t="s">
        <v>531</v>
      </c>
      <c r="D624" s="156" t="s">
        <v>531</v>
      </c>
      <c r="E624">
        <v>977815</v>
      </c>
      <c r="F624">
        <v>202492.87090000001</v>
      </c>
      <c r="G624">
        <v>207.03550000000001</v>
      </c>
      <c r="H624">
        <v>1.0148159999999999</v>
      </c>
      <c r="I624">
        <v>1</v>
      </c>
      <c r="J624" s="156">
        <v>1</v>
      </c>
      <c r="K624">
        <v>1</v>
      </c>
      <c r="L624">
        <v>1</v>
      </c>
      <c r="M624">
        <v>1</v>
      </c>
      <c r="N624">
        <v>1.0148159999999999</v>
      </c>
    </row>
    <row r="625" spans="1:14" x14ac:dyDescent="0.35">
      <c r="A625" s="156" t="s">
        <v>542</v>
      </c>
      <c r="B625" s="52">
        <v>43539</v>
      </c>
      <c r="C625" s="156" t="s">
        <v>531</v>
      </c>
      <c r="D625" s="156" t="s">
        <v>531</v>
      </c>
      <c r="E625">
        <v>1166781</v>
      </c>
      <c r="F625">
        <v>243960.1275</v>
      </c>
      <c r="G625">
        <v>209.0804</v>
      </c>
      <c r="H625">
        <v>0.994093</v>
      </c>
      <c r="I625">
        <v>1</v>
      </c>
      <c r="J625" s="156">
        <v>1</v>
      </c>
      <c r="K625">
        <v>1</v>
      </c>
      <c r="L625">
        <v>1</v>
      </c>
      <c r="M625">
        <v>1</v>
      </c>
      <c r="N625">
        <v>0.994093</v>
      </c>
    </row>
    <row r="626" spans="1:14" x14ac:dyDescent="0.35">
      <c r="A626" s="156" t="s">
        <v>542</v>
      </c>
      <c r="B626" s="52">
        <v>43542</v>
      </c>
      <c r="C626" s="156" t="s">
        <v>531</v>
      </c>
      <c r="D626" s="156" t="s">
        <v>531</v>
      </c>
      <c r="E626">
        <v>1652767</v>
      </c>
      <c r="F626">
        <v>337021.19339999999</v>
      </c>
      <c r="G626">
        <v>203.87860000000001</v>
      </c>
      <c r="H626">
        <v>0.98429999999999995</v>
      </c>
      <c r="I626">
        <v>1</v>
      </c>
      <c r="J626" s="156">
        <v>1</v>
      </c>
      <c r="K626">
        <v>1</v>
      </c>
      <c r="L626">
        <v>1</v>
      </c>
      <c r="M626">
        <v>1</v>
      </c>
      <c r="N626">
        <v>0.98429999999999995</v>
      </c>
    </row>
    <row r="627" spans="1:14" x14ac:dyDescent="0.35">
      <c r="A627" s="156" t="s">
        <v>542</v>
      </c>
      <c r="B627" s="52">
        <v>43543</v>
      </c>
      <c r="C627" s="156" t="s">
        <v>531</v>
      </c>
      <c r="D627" s="156" t="s">
        <v>531</v>
      </c>
      <c r="E627">
        <v>748002</v>
      </c>
      <c r="F627">
        <v>153062.60690000001</v>
      </c>
      <c r="G627">
        <v>204.52</v>
      </c>
      <c r="H627">
        <v>1.009423</v>
      </c>
      <c r="I627">
        <v>1</v>
      </c>
      <c r="J627" s="156">
        <v>1</v>
      </c>
      <c r="K627">
        <v>1</v>
      </c>
      <c r="L627">
        <v>1</v>
      </c>
      <c r="M627">
        <v>1</v>
      </c>
      <c r="N627">
        <v>1.009423</v>
      </c>
    </row>
    <row r="628" spans="1:14" x14ac:dyDescent="0.35">
      <c r="A628" s="156" t="s">
        <v>542</v>
      </c>
      <c r="B628" s="52">
        <v>43544</v>
      </c>
      <c r="C628" s="156" t="s">
        <v>531</v>
      </c>
      <c r="D628" s="156" t="s">
        <v>531</v>
      </c>
      <c r="E628">
        <v>840656</v>
      </c>
      <c r="F628">
        <v>172364.4387</v>
      </c>
      <c r="G628">
        <v>205.0513</v>
      </c>
      <c r="H628">
        <v>1.0014099999999999</v>
      </c>
      <c r="I628">
        <v>1</v>
      </c>
      <c r="J628" s="156">
        <v>1</v>
      </c>
      <c r="K628">
        <v>1</v>
      </c>
      <c r="L628">
        <v>1</v>
      </c>
      <c r="M628">
        <v>1</v>
      </c>
      <c r="N628">
        <v>1.0014099999999999</v>
      </c>
    </row>
    <row r="629" spans="1:14" x14ac:dyDescent="0.35">
      <c r="A629" s="156" t="s">
        <v>542</v>
      </c>
      <c r="B629" s="52">
        <v>43545</v>
      </c>
      <c r="C629" s="156" t="s">
        <v>531</v>
      </c>
      <c r="D629" s="156" t="s">
        <v>531</v>
      </c>
      <c r="E629">
        <v>1125794</v>
      </c>
      <c r="F629">
        <v>238836.91409999999</v>
      </c>
      <c r="G629">
        <v>212.14830000000001</v>
      </c>
      <c r="H629">
        <v>1.0369489999999999</v>
      </c>
      <c r="I629">
        <v>1</v>
      </c>
      <c r="J629" s="156">
        <v>1</v>
      </c>
      <c r="K629">
        <v>1</v>
      </c>
      <c r="L629">
        <v>1</v>
      </c>
      <c r="M629">
        <v>1</v>
      </c>
      <c r="N629">
        <v>1.0369489999999999</v>
      </c>
    </row>
    <row r="630" spans="1:14" x14ac:dyDescent="0.35">
      <c r="A630" s="156" t="s">
        <v>542</v>
      </c>
      <c r="B630" s="52">
        <v>43546</v>
      </c>
      <c r="C630" s="156" t="s">
        <v>531</v>
      </c>
      <c r="D630" s="156" t="s">
        <v>531</v>
      </c>
      <c r="E630">
        <v>1497816</v>
      </c>
      <c r="F630">
        <v>308368.0135</v>
      </c>
      <c r="G630">
        <v>205.9547</v>
      </c>
      <c r="H630">
        <v>0.95008700000000001</v>
      </c>
      <c r="I630">
        <v>1</v>
      </c>
      <c r="J630" s="156">
        <v>1</v>
      </c>
      <c r="K630">
        <v>1</v>
      </c>
      <c r="L630">
        <v>1</v>
      </c>
      <c r="M630">
        <v>1</v>
      </c>
      <c r="N630">
        <v>0.95008700000000001</v>
      </c>
    </row>
    <row r="631" spans="1:14" x14ac:dyDescent="0.35">
      <c r="A631" s="156" t="s">
        <v>542</v>
      </c>
      <c r="B631" s="52">
        <v>43549</v>
      </c>
      <c r="C631" s="156" t="s">
        <v>531</v>
      </c>
      <c r="D631" s="156" t="s">
        <v>531</v>
      </c>
      <c r="E631">
        <v>1680228</v>
      </c>
      <c r="F631">
        <v>334005.68219999998</v>
      </c>
      <c r="G631">
        <v>198.80420000000001</v>
      </c>
      <c r="H631">
        <v>0.97107100000000002</v>
      </c>
      <c r="I631">
        <v>1</v>
      </c>
      <c r="J631" s="156">
        <v>1</v>
      </c>
      <c r="K631">
        <v>1</v>
      </c>
      <c r="L631">
        <v>1</v>
      </c>
      <c r="M631">
        <v>1</v>
      </c>
      <c r="N631">
        <v>0.97107100000000002</v>
      </c>
    </row>
    <row r="632" spans="1:14" x14ac:dyDescent="0.35">
      <c r="A632" s="156" t="s">
        <v>542</v>
      </c>
      <c r="B632" s="52">
        <v>43550</v>
      </c>
      <c r="C632" s="156" t="s">
        <v>531</v>
      </c>
      <c r="D632" s="156" t="s">
        <v>531</v>
      </c>
      <c r="E632">
        <v>3159042</v>
      </c>
      <c r="F632">
        <v>598375.52639999997</v>
      </c>
      <c r="G632">
        <v>189.40940000000001</v>
      </c>
      <c r="H632">
        <v>0.94874100000000006</v>
      </c>
      <c r="I632">
        <v>1</v>
      </c>
      <c r="J632" s="156">
        <v>1</v>
      </c>
      <c r="K632">
        <v>1</v>
      </c>
      <c r="L632">
        <v>1</v>
      </c>
      <c r="M632">
        <v>1</v>
      </c>
      <c r="N632">
        <v>0.94874100000000006</v>
      </c>
    </row>
    <row r="633" spans="1:14" x14ac:dyDescent="0.35">
      <c r="A633" s="156" t="s">
        <v>542</v>
      </c>
      <c r="B633" s="52">
        <v>43551</v>
      </c>
      <c r="C633" s="156" t="s">
        <v>531</v>
      </c>
      <c r="D633" s="156" t="s">
        <v>531</v>
      </c>
      <c r="E633">
        <v>2328197</v>
      </c>
      <c r="F633">
        <v>423542.83970000001</v>
      </c>
      <c r="G633">
        <v>181.9118</v>
      </c>
      <c r="H633">
        <v>0.96490900000000002</v>
      </c>
      <c r="I633">
        <v>1</v>
      </c>
      <c r="J633" s="156">
        <v>1</v>
      </c>
      <c r="K633">
        <v>1</v>
      </c>
      <c r="L633">
        <v>1</v>
      </c>
      <c r="M633">
        <v>1</v>
      </c>
      <c r="N633">
        <v>0.96490900000000002</v>
      </c>
    </row>
    <row r="634" spans="1:14" x14ac:dyDescent="0.35">
      <c r="A634" s="156" t="s">
        <v>542</v>
      </c>
      <c r="B634" s="52">
        <v>43552</v>
      </c>
      <c r="C634" s="156" t="s">
        <v>531</v>
      </c>
      <c r="D634" s="156" t="s">
        <v>531</v>
      </c>
      <c r="E634">
        <v>2078450</v>
      </c>
      <c r="F634">
        <v>387169.22979999997</v>
      </c>
      <c r="G634">
        <v>186.27600000000001</v>
      </c>
      <c r="H634">
        <v>1.033984</v>
      </c>
      <c r="I634">
        <v>1</v>
      </c>
      <c r="J634" s="156">
        <v>1</v>
      </c>
      <c r="K634">
        <v>1</v>
      </c>
      <c r="L634">
        <v>1</v>
      </c>
      <c r="M634">
        <v>1</v>
      </c>
      <c r="N634">
        <v>1.033984</v>
      </c>
    </row>
    <row r="635" spans="1:14" x14ac:dyDescent="0.35">
      <c r="A635" s="156" t="s">
        <v>542</v>
      </c>
      <c r="B635" s="52">
        <v>43553</v>
      </c>
      <c r="C635" s="156" t="s">
        <v>531</v>
      </c>
      <c r="D635" s="156" t="s">
        <v>531</v>
      </c>
      <c r="E635">
        <v>2297992</v>
      </c>
      <c r="F635">
        <v>450369.99969999999</v>
      </c>
      <c r="G635">
        <v>196.0257</v>
      </c>
      <c r="H635">
        <v>1.061337</v>
      </c>
      <c r="I635">
        <v>1</v>
      </c>
      <c r="J635" s="156">
        <v>1</v>
      </c>
      <c r="K635">
        <v>1</v>
      </c>
      <c r="L635">
        <v>1</v>
      </c>
      <c r="M635">
        <v>1</v>
      </c>
      <c r="N635">
        <v>1.061337</v>
      </c>
    </row>
    <row r="636" spans="1:14" x14ac:dyDescent="0.35">
      <c r="A636" s="156" t="s">
        <v>542</v>
      </c>
      <c r="B636" s="52">
        <v>43556</v>
      </c>
      <c r="C636" s="156" t="s">
        <v>531</v>
      </c>
      <c r="D636" s="156" t="s">
        <v>531</v>
      </c>
      <c r="E636">
        <v>2139692</v>
      </c>
      <c r="F636">
        <v>433010.79080000002</v>
      </c>
      <c r="G636">
        <v>202.3494</v>
      </c>
      <c r="H636">
        <v>1.0413239999999999</v>
      </c>
      <c r="I636">
        <v>1</v>
      </c>
      <c r="J636" s="156">
        <v>1</v>
      </c>
      <c r="K636">
        <v>1</v>
      </c>
      <c r="L636">
        <v>1</v>
      </c>
      <c r="M636">
        <v>1</v>
      </c>
      <c r="N636">
        <v>1.0413239999999999</v>
      </c>
    </row>
    <row r="637" spans="1:14" x14ac:dyDescent="0.35">
      <c r="A637" s="156" t="s">
        <v>542</v>
      </c>
      <c r="B637" s="52">
        <v>43557</v>
      </c>
      <c r="C637" s="156" t="s">
        <v>531</v>
      </c>
      <c r="D637" s="156" t="s">
        <v>531</v>
      </c>
      <c r="E637">
        <v>1141808</v>
      </c>
      <c r="F637">
        <v>234109.9258</v>
      </c>
      <c r="G637">
        <v>204.98169999999999</v>
      </c>
      <c r="H637">
        <v>1.003444</v>
      </c>
      <c r="I637">
        <v>1</v>
      </c>
      <c r="J637" s="156">
        <v>1</v>
      </c>
      <c r="K637">
        <v>1</v>
      </c>
      <c r="L637">
        <v>1</v>
      </c>
      <c r="M637">
        <v>1</v>
      </c>
      <c r="N637">
        <v>1.003444</v>
      </c>
    </row>
    <row r="638" spans="1:14" x14ac:dyDescent="0.35">
      <c r="A638" s="156" t="s">
        <v>542</v>
      </c>
      <c r="B638" s="52">
        <v>43558</v>
      </c>
      <c r="C638" s="156" t="s">
        <v>531</v>
      </c>
      <c r="D638" s="156" t="s">
        <v>531</v>
      </c>
      <c r="E638">
        <v>1363888</v>
      </c>
      <c r="F638">
        <v>281978.11249999999</v>
      </c>
      <c r="G638">
        <v>206.6763</v>
      </c>
      <c r="H638">
        <v>1.001789</v>
      </c>
      <c r="I638">
        <v>1</v>
      </c>
      <c r="J638" s="156">
        <v>1</v>
      </c>
      <c r="K638">
        <v>1</v>
      </c>
      <c r="L638">
        <v>1</v>
      </c>
      <c r="M638">
        <v>1</v>
      </c>
      <c r="N638">
        <v>1.001789</v>
      </c>
    </row>
    <row r="639" spans="1:14" x14ac:dyDescent="0.35">
      <c r="A639" s="156" t="s">
        <v>542</v>
      </c>
      <c r="B639" s="52">
        <v>43559</v>
      </c>
      <c r="C639" s="156" t="s">
        <v>531</v>
      </c>
      <c r="D639" s="156" t="s">
        <v>531</v>
      </c>
      <c r="E639">
        <v>1704288</v>
      </c>
      <c r="F639">
        <v>336888.0527</v>
      </c>
      <c r="G639">
        <v>197.72659999999999</v>
      </c>
      <c r="H639">
        <v>0.95555199999999996</v>
      </c>
      <c r="I639">
        <v>1</v>
      </c>
      <c r="J639" s="156">
        <v>1</v>
      </c>
      <c r="K639">
        <v>1</v>
      </c>
      <c r="L639">
        <v>1</v>
      </c>
      <c r="M639">
        <v>1</v>
      </c>
      <c r="N639">
        <v>0.95555199999999996</v>
      </c>
    </row>
    <row r="640" spans="1:14" x14ac:dyDescent="0.35">
      <c r="A640" s="156" t="s">
        <v>542</v>
      </c>
      <c r="B640" s="52">
        <v>43560</v>
      </c>
      <c r="C640" s="156" t="s">
        <v>531</v>
      </c>
      <c r="D640" s="156" t="s">
        <v>531</v>
      </c>
      <c r="E640">
        <v>1007050</v>
      </c>
      <c r="F640">
        <v>197952.5349</v>
      </c>
      <c r="G640">
        <v>196.60400000000001</v>
      </c>
      <c r="H640">
        <v>0.99252499999999999</v>
      </c>
      <c r="I640">
        <v>1</v>
      </c>
      <c r="J640" s="156">
        <v>1</v>
      </c>
      <c r="K640">
        <v>1</v>
      </c>
      <c r="L640">
        <v>1</v>
      </c>
      <c r="M640">
        <v>1</v>
      </c>
      <c r="N640">
        <v>0.99252499999999999</v>
      </c>
    </row>
    <row r="641" spans="1:14" x14ac:dyDescent="0.35">
      <c r="A641" s="156" t="s">
        <v>542</v>
      </c>
      <c r="B641" s="52">
        <v>43563</v>
      </c>
      <c r="C641" s="156" t="s">
        <v>531</v>
      </c>
      <c r="D641" s="156" t="s">
        <v>531</v>
      </c>
      <c r="E641">
        <v>1003549</v>
      </c>
      <c r="F641">
        <v>195426.80840000001</v>
      </c>
      <c r="G641">
        <v>194.73679999999999</v>
      </c>
      <c r="H641">
        <v>1.0049870000000001</v>
      </c>
      <c r="I641">
        <v>1</v>
      </c>
      <c r="J641" s="156">
        <v>1</v>
      </c>
      <c r="K641">
        <v>1</v>
      </c>
      <c r="L641">
        <v>1</v>
      </c>
      <c r="M641">
        <v>1</v>
      </c>
      <c r="N641">
        <v>1.0049870000000001</v>
      </c>
    </row>
    <row r="642" spans="1:14" x14ac:dyDescent="0.35">
      <c r="A642" s="156" t="s">
        <v>542</v>
      </c>
      <c r="B642" s="52">
        <v>43564</v>
      </c>
      <c r="C642" s="156" t="s">
        <v>531</v>
      </c>
      <c r="D642" s="156" t="s">
        <v>531</v>
      </c>
      <c r="E642">
        <v>757945</v>
      </c>
      <c r="F642">
        <v>149032.50899999999</v>
      </c>
      <c r="G642">
        <v>196.62819999999999</v>
      </c>
      <c r="H642">
        <v>0.98643000000000003</v>
      </c>
      <c r="I642">
        <v>1</v>
      </c>
      <c r="J642" s="156">
        <v>1</v>
      </c>
      <c r="K642">
        <v>1</v>
      </c>
      <c r="L642">
        <v>1</v>
      </c>
      <c r="M642">
        <v>1</v>
      </c>
      <c r="N642">
        <v>0.98643000000000003</v>
      </c>
    </row>
    <row r="643" spans="1:14" x14ac:dyDescent="0.35">
      <c r="A643" s="156" t="s">
        <v>542</v>
      </c>
      <c r="B643" s="52">
        <v>43565</v>
      </c>
      <c r="C643" s="156" t="s">
        <v>531</v>
      </c>
      <c r="D643" s="156" t="s">
        <v>531</v>
      </c>
      <c r="E643">
        <v>1654693</v>
      </c>
      <c r="F643">
        <v>331992.29820000002</v>
      </c>
      <c r="G643">
        <v>200.6421</v>
      </c>
      <c r="H643">
        <v>1.025973</v>
      </c>
      <c r="I643">
        <v>1</v>
      </c>
      <c r="J643" s="156">
        <v>1</v>
      </c>
      <c r="K643">
        <v>1</v>
      </c>
      <c r="L643">
        <v>1</v>
      </c>
      <c r="M643">
        <v>1</v>
      </c>
      <c r="N643">
        <v>1.025973</v>
      </c>
    </row>
    <row r="644" spans="1:14" x14ac:dyDescent="0.35">
      <c r="A644" s="156" t="s">
        <v>542</v>
      </c>
      <c r="B644" s="52">
        <v>43566</v>
      </c>
      <c r="C644" s="156" t="s">
        <v>531</v>
      </c>
      <c r="D644" s="156" t="s">
        <v>531</v>
      </c>
      <c r="E644">
        <v>695935</v>
      </c>
      <c r="F644">
        <v>140063.6697</v>
      </c>
      <c r="G644">
        <v>201.24809999999999</v>
      </c>
      <c r="H644">
        <v>1.0024010000000001</v>
      </c>
      <c r="I644">
        <v>1</v>
      </c>
      <c r="J644" s="156">
        <v>1</v>
      </c>
      <c r="K644">
        <v>1</v>
      </c>
      <c r="L644">
        <v>1</v>
      </c>
      <c r="M644">
        <v>1</v>
      </c>
      <c r="N644">
        <v>1.0024010000000001</v>
      </c>
    </row>
    <row r="645" spans="1:14" x14ac:dyDescent="0.35">
      <c r="A645" s="156" t="s">
        <v>542</v>
      </c>
      <c r="B645" s="52">
        <v>43567</v>
      </c>
      <c r="C645" s="156" t="s">
        <v>531</v>
      </c>
      <c r="D645" s="156" t="s">
        <v>531</v>
      </c>
      <c r="E645">
        <v>890444</v>
      </c>
      <c r="F645">
        <v>179933.35550000001</v>
      </c>
      <c r="G645">
        <v>202.1216</v>
      </c>
      <c r="H645">
        <v>1.000699</v>
      </c>
      <c r="I645">
        <v>1</v>
      </c>
      <c r="J645" s="156">
        <v>1</v>
      </c>
      <c r="K645">
        <v>1</v>
      </c>
      <c r="L645">
        <v>1</v>
      </c>
      <c r="M645">
        <v>1</v>
      </c>
      <c r="N645">
        <v>1.000699</v>
      </c>
    </row>
    <row r="646" spans="1:14" x14ac:dyDescent="0.35">
      <c r="A646" s="156" t="s">
        <v>542</v>
      </c>
      <c r="B646" s="52">
        <v>43570</v>
      </c>
      <c r="C646" s="156" t="s">
        <v>531</v>
      </c>
      <c r="D646" s="156" t="s">
        <v>531</v>
      </c>
      <c r="E646">
        <v>715830</v>
      </c>
      <c r="F646">
        <v>142943.92449999999</v>
      </c>
      <c r="G646">
        <v>199.61799999999999</v>
      </c>
      <c r="H646">
        <v>1.0082789999999999</v>
      </c>
      <c r="I646">
        <v>1</v>
      </c>
      <c r="J646" s="156">
        <v>1</v>
      </c>
      <c r="K646">
        <v>1</v>
      </c>
      <c r="L646">
        <v>1</v>
      </c>
      <c r="M646">
        <v>1</v>
      </c>
      <c r="N646">
        <v>1.0082789999999999</v>
      </c>
    </row>
    <row r="647" spans="1:14" x14ac:dyDescent="0.35">
      <c r="A647" s="156" t="s">
        <v>542</v>
      </c>
      <c r="B647" s="52">
        <v>43571</v>
      </c>
      <c r="C647" s="156" t="s">
        <v>531</v>
      </c>
      <c r="D647" s="156" t="s">
        <v>531</v>
      </c>
      <c r="E647">
        <v>1016085</v>
      </c>
      <c r="F647">
        <v>208610.4081</v>
      </c>
      <c r="G647">
        <v>205.30940000000001</v>
      </c>
      <c r="H647">
        <v>1.005441</v>
      </c>
      <c r="I647">
        <v>1</v>
      </c>
      <c r="J647" s="156">
        <v>1</v>
      </c>
      <c r="K647">
        <v>1</v>
      </c>
      <c r="L647">
        <v>1</v>
      </c>
      <c r="M647">
        <v>1</v>
      </c>
      <c r="N647">
        <v>1.005441</v>
      </c>
    </row>
    <row r="648" spans="1:14" x14ac:dyDescent="0.35">
      <c r="A648" s="156" t="s">
        <v>542</v>
      </c>
      <c r="B648" s="52">
        <v>43572</v>
      </c>
      <c r="C648" s="156" t="s">
        <v>531</v>
      </c>
      <c r="D648" s="156" t="s">
        <v>531</v>
      </c>
      <c r="E648">
        <v>780825</v>
      </c>
      <c r="F648">
        <v>155850.83809999999</v>
      </c>
      <c r="G648">
        <v>199.66419999999999</v>
      </c>
      <c r="H648">
        <v>0.97800799999999999</v>
      </c>
      <c r="I648">
        <v>1</v>
      </c>
      <c r="J648" s="156">
        <v>1</v>
      </c>
      <c r="K648">
        <v>1</v>
      </c>
      <c r="L648">
        <v>1</v>
      </c>
      <c r="M648">
        <v>1</v>
      </c>
      <c r="N648">
        <v>0.97800799999999999</v>
      </c>
    </row>
    <row r="649" spans="1:14" x14ac:dyDescent="0.35">
      <c r="A649" s="156" t="s">
        <v>542</v>
      </c>
      <c r="B649" s="52">
        <v>43573</v>
      </c>
      <c r="C649" s="156" t="s">
        <v>531</v>
      </c>
      <c r="D649" s="156" t="s">
        <v>531</v>
      </c>
      <c r="E649">
        <v>725435</v>
      </c>
      <c r="F649">
        <v>143282.07699999999</v>
      </c>
      <c r="G649">
        <v>197.4649</v>
      </c>
      <c r="H649">
        <v>0.999749</v>
      </c>
      <c r="I649">
        <v>1</v>
      </c>
      <c r="J649" s="156">
        <v>1</v>
      </c>
      <c r="K649">
        <v>1</v>
      </c>
      <c r="L649">
        <v>1</v>
      </c>
      <c r="M649">
        <v>1</v>
      </c>
      <c r="N649">
        <v>0.999749</v>
      </c>
    </row>
    <row r="650" spans="1:14" x14ac:dyDescent="0.35">
      <c r="A650" s="156" t="s">
        <v>542</v>
      </c>
      <c r="B650" s="52">
        <v>43577</v>
      </c>
      <c r="C650" s="156" t="s">
        <v>531</v>
      </c>
      <c r="D650" s="156" t="s">
        <v>531</v>
      </c>
      <c r="E650">
        <v>1506536</v>
      </c>
      <c r="F650">
        <v>313695.60940000002</v>
      </c>
      <c r="G650">
        <v>208.13079999999999</v>
      </c>
      <c r="H650">
        <v>1.0618399999999999</v>
      </c>
      <c r="I650">
        <v>1</v>
      </c>
      <c r="J650" s="156">
        <v>1</v>
      </c>
      <c r="K650">
        <v>1</v>
      </c>
      <c r="L650">
        <v>1</v>
      </c>
      <c r="M650">
        <v>1</v>
      </c>
      <c r="N650">
        <v>1.0618399999999999</v>
      </c>
    </row>
    <row r="651" spans="1:14" x14ac:dyDescent="0.35">
      <c r="A651" s="156" t="s">
        <v>542</v>
      </c>
      <c r="B651" s="52">
        <v>43578</v>
      </c>
      <c r="C651" s="156" t="s">
        <v>531</v>
      </c>
      <c r="D651" s="156" t="s">
        <v>531</v>
      </c>
      <c r="E651">
        <v>994052</v>
      </c>
      <c r="F651">
        <v>208878.7268</v>
      </c>
      <c r="G651">
        <v>210.10759999999999</v>
      </c>
      <c r="H651">
        <v>0.99857799999999997</v>
      </c>
      <c r="I651">
        <v>1</v>
      </c>
      <c r="J651" s="156">
        <v>1</v>
      </c>
      <c r="K651">
        <v>1</v>
      </c>
      <c r="L651">
        <v>1</v>
      </c>
      <c r="M651">
        <v>1</v>
      </c>
      <c r="N651">
        <v>0.99857799999999997</v>
      </c>
    </row>
    <row r="652" spans="1:14" x14ac:dyDescent="0.35">
      <c r="A652" s="156" t="s">
        <v>542</v>
      </c>
      <c r="B652" s="52">
        <v>43579</v>
      </c>
      <c r="C652" s="156" t="s">
        <v>531</v>
      </c>
      <c r="D652" s="156" t="s">
        <v>531</v>
      </c>
      <c r="E652">
        <v>725314</v>
      </c>
      <c r="F652">
        <v>151684.47640000001</v>
      </c>
      <c r="G652">
        <v>209.13679999999999</v>
      </c>
      <c r="H652">
        <v>0.98604800000000004</v>
      </c>
      <c r="I652">
        <v>1</v>
      </c>
      <c r="J652" s="156">
        <v>1</v>
      </c>
      <c r="K652">
        <v>1</v>
      </c>
      <c r="L652">
        <v>1</v>
      </c>
      <c r="M652">
        <v>1</v>
      </c>
      <c r="N652">
        <v>0.98604800000000004</v>
      </c>
    </row>
    <row r="653" spans="1:14" x14ac:dyDescent="0.35">
      <c r="A653" s="156" t="s">
        <v>542</v>
      </c>
      <c r="B653" s="52">
        <v>43580</v>
      </c>
      <c r="C653" s="156" t="s">
        <v>531</v>
      </c>
      <c r="D653" s="156" t="s">
        <v>531</v>
      </c>
      <c r="E653">
        <v>1026549</v>
      </c>
      <c r="F653">
        <v>218846.76800000001</v>
      </c>
      <c r="G653">
        <v>213.15029999999999</v>
      </c>
      <c r="H653">
        <v>1.0334950000000001</v>
      </c>
      <c r="I653">
        <v>1</v>
      </c>
      <c r="J653" s="156">
        <v>1</v>
      </c>
      <c r="K653">
        <v>1</v>
      </c>
      <c r="L653">
        <v>1</v>
      </c>
      <c r="M653">
        <v>1</v>
      </c>
      <c r="N653">
        <v>1.0334950000000001</v>
      </c>
    </row>
    <row r="654" spans="1:14" x14ac:dyDescent="0.35">
      <c r="A654" s="156" t="s">
        <v>542</v>
      </c>
      <c r="B654" s="52">
        <v>43581</v>
      </c>
      <c r="C654" s="156" t="s">
        <v>531</v>
      </c>
      <c r="D654" s="156" t="s">
        <v>531</v>
      </c>
      <c r="E654">
        <v>849119</v>
      </c>
      <c r="F654">
        <v>182188.89869999999</v>
      </c>
      <c r="G654">
        <v>214.59889999999999</v>
      </c>
      <c r="H654">
        <v>1.0022819999999999</v>
      </c>
      <c r="I654">
        <v>1</v>
      </c>
      <c r="J654" s="156">
        <v>1</v>
      </c>
      <c r="K654">
        <v>1</v>
      </c>
      <c r="L654">
        <v>1</v>
      </c>
      <c r="M654">
        <v>1</v>
      </c>
      <c r="N654">
        <v>1.0022819999999999</v>
      </c>
    </row>
    <row r="655" spans="1:14" x14ac:dyDescent="0.35">
      <c r="A655" s="156" t="s">
        <v>542</v>
      </c>
      <c r="B655" s="52">
        <v>43584</v>
      </c>
      <c r="C655" s="156" t="s">
        <v>531</v>
      </c>
      <c r="D655" s="156" t="s">
        <v>531</v>
      </c>
      <c r="E655">
        <v>1562633</v>
      </c>
      <c r="F655">
        <v>349374.36229999998</v>
      </c>
      <c r="G655">
        <v>223.5532</v>
      </c>
      <c r="H655">
        <v>1.04948</v>
      </c>
      <c r="I655">
        <v>1</v>
      </c>
      <c r="J655" s="156">
        <v>1</v>
      </c>
      <c r="K655">
        <v>1</v>
      </c>
      <c r="L655">
        <v>1</v>
      </c>
      <c r="M655">
        <v>1</v>
      </c>
      <c r="N655">
        <v>1.04948</v>
      </c>
    </row>
    <row r="656" spans="1:14" x14ac:dyDescent="0.35">
      <c r="A656" s="156" t="s">
        <v>542</v>
      </c>
      <c r="B656" s="52">
        <v>43585</v>
      </c>
      <c r="C656" s="156" t="s">
        <v>531</v>
      </c>
      <c r="D656" s="156" t="s">
        <v>531</v>
      </c>
      <c r="E656">
        <v>1720577</v>
      </c>
      <c r="F656">
        <v>378695.86810000002</v>
      </c>
      <c r="G656">
        <v>220.09559999999999</v>
      </c>
      <c r="H656">
        <v>0.98047700000000004</v>
      </c>
      <c r="I656">
        <v>1</v>
      </c>
      <c r="J656" s="156">
        <v>1</v>
      </c>
      <c r="K656">
        <v>1</v>
      </c>
      <c r="L656">
        <v>1</v>
      </c>
      <c r="M656">
        <v>1</v>
      </c>
      <c r="N656">
        <v>0.98047700000000004</v>
      </c>
    </row>
    <row r="657" spans="1:14" x14ac:dyDescent="0.35">
      <c r="A657" s="156" t="s">
        <v>542</v>
      </c>
      <c r="B657" s="52">
        <v>43586</v>
      </c>
      <c r="C657" s="156" t="s">
        <v>531</v>
      </c>
      <c r="D657" s="156" t="s">
        <v>531</v>
      </c>
      <c r="E657">
        <v>1033194</v>
      </c>
      <c r="F657">
        <v>230173.50380000001</v>
      </c>
      <c r="G657">
        <v>222.79159999999999</v>
      </c>
      <c r="H657">
        <v>0.99882599999999999</v>
      </c>
      <c r="I657">
        <v>1</v>
      </c>
      <c r="J657" s="156">
        <v>1</v>
      </c>
      <c r="K657">
        <v>1</v>
      </c>
      <c r="L657">
        <v>1</v>
      </c>
      <c r="M657">
        <v>1</v>
      </c>
      <c r="N657">
        <v>0.99882599999999999</v>
      </c>
    </row>
    <row r="658" spans="1:14" x14ac:dyDescent="0.35">
      <c r="A658" s="156" t="s">
        <v>542</v>
      </c>
      <c r="B658" s="52">
        <v>43587</v>
      </c>
      <c r="C658" s="156" t="s">
        <v>531</v>
      </c>
      <c r="D658" s="156" t="s">
        <v>531</v>
      </c>
      <c r="E658">
        <v>1100647</v>
      </c>
      <c r="F658">
        <v>246944.69889999999</v>
      </c>
      <c r="G658">
        <v>224.39699999999999</v>
      </c>
      <c r="H658">
        <v>1.0178100000000001</v>
      </c>
      <c r="I658">
        <v>1</v>
      </c>
      <c r="J658" s="156">
        <v>1</v>
      </c>
      <c r="K658">
        <v>1</v>
      </c>
      <c r="L658">
        <v>1</v>
      </c>
      <c r="M658">
        <v>1</v>
      </c>
      <c r="N658">
        <v>1.0178100000000001</v>
      </c>
    </row>
    <row r="659" spans="1:14" x14ac:dyDescent="0.35">
      <c r="A659" s="156" t="s">
        <v>542</v>
      </c>
      <c r="B659" s="52">
        <v>43588</v>
      </c>
      <c r="C659" s="156" t="s">
        <v>531</v>
      </c>
      <c r="D659" s="156" t="s">
        <v>531</v>
      </c>
      <c r="E659">
        <v>1316982</v>
      </c>
      <c r="F659">
        <v>302871.77899999998</v>
      </c>
      <c r="G659">
        <v>229.98050000000001</v>
      </c>
      <c r="H659">
        <v>1.0302009999999999</v>
      </c>
      <c r="I659">
        <v>1</v>
      </c>
      <c r="J659" s="156">
        <v>1</v>
      </c>
      <c r="K659">
        <v>1</v>
      </c>
      <c r="L659">
        <v>1</v>
      </c>
      <c r="M659">
        <v>1</v>
      </c>
      <c r="N659">
        <v>1.0302009999999999</v>
      </c>
    </row>
    <row r="660" spans="1:14" x14ac:dyDescent="0.35">
      <c r="A660" s="156" t="s">
        <v>542</v>
      </c>
      <c r="B660" s="52">
        <v>43591</v>
      </c>
      <c r="C660" s="156" t="s">
        <v>531</v>
      </c>
      <c r="D660" s="156" t="s">
        <v>531</v>
      </c>
      <c r="E660">
        <v>1746455</v>
      </c>
      <c r="F660">
        <v>393667.96240000002</v>
      </c>
      <c r="G660">
        <v>225.41370000000001</v>
      </c>
      <c r="H660">
        <v>0.97253800000000001</v>
      </c>
      <c r="I660">
        <v>1</v>
      </c>
      <c r="J660" s="156">
        <v>1</v>
      </c>
      <c r="K660">
        <v>1</v>
      </c>
      <c r="L660">
        <v>1</v>
      </c>
      <c r="M660">
        <v>1</v>
      </c>
      <c r="N660">
        <v>0.97253800000000001</v>
      </c>
    </row>
    <row r="661" spans="1:14" x14ac:dyDescent="0.35">
      <c r="A661" s="156" t="s">
        <v>542</v>
      </c>
      <c r="B661" s="52">
        <v>43592</v>
      </c>
      <c r="C661" s="156" t="s">
        <v>531</v>
      </c>
      <c r="D661" s="156" t="s">
        <v>531</v>
      </c>
      <c r="E661">
        <v>1690068</v>
      </c>
      <c r="F661">
        <v>367913.1384</v>
      </c>
      <c r="G661">
        <v>217.75280000000001</v>
      </c>
      <c r="H661">
        <v>0.96480299999999997</v>
      </c>
      <c r="I661">
        <v>1</v>
      </c>
      <c r="J661" s="156">
        <v>1</v>
      </c>
      <c r="K661">
        <v>1</v>
      </c>
      <c r="L661">
        <v>1</v>
      </c>
      <c r="M661">
        <v>1</v>
      </c>
      <c r="N661">
        <v>0.96480299999999997</v>
      </c>
    </row>
    <row r="662" spans="1:14" x14ac:dyDescent="0.35">
      <c r="A662" s="156" t="s">
        <v>542</v>
      </c>
      <c r="B662" s="52">
        <v>43593</v>
      </c>
      <c r="C662" s="156" t="s">
        <v>531</v>
      </c>
      <c r="D662" s="156" t="s">
        <v>531</v>
      </c>
      <c r="E662">
        <v>1642792</v>
      </c>
      <c r="F662">
        <v>366109.3921</v>
      </c>
      <c r="G662">
        <v>222.82419999999999</v>
      </c>
      <c r="H662">
        <v>1.020492</v>
      </c>
      <c r="I662">
        <v>1</v>
      </c>
      <c r="J662" s="156">
        <v>1</v>
      </c>
      <c r="K662">
        <v>1</v>
      </c>
      <c r="L662">
        <v>1</v>
      </c>
      <c r="M662">
        <v>1</v>
      </c>
      <c r="N662">
        <v>1.020492</v>
      </c>
    </row>
    <row r="663" spans="1:14" x14ac:dyDescent="0.35">
      <c r="A663" s="156" t="s">
        <v>542</v>
      </c>
      <c r="B663" s="52">
        <v>43594</v>
      </c>
      <c r="C663" s="156" t="s">
        <v>531</v>
      </c>
      <c r="D663" s="156" t="s">
        <v>531</v>
      </c>
      <c r="E663">
        <v>8963552</v>
      </c>
      <c r="F663">
        <v>1721238.0142999999</v>
      </c>
      <c r="G663">
        <v>191.88390000000001</v>
      </c>
      <c r="H663">
        <v>0.85507200000000005</v>
      </c>
      <c r="I663">
        <v>1</v>
      </c>
      <c r="J663" s="156">
        <v>1</v>
      </c>
      <c r="K663">
        <v>1</v>
      </c>
      <c r="L663">
        <v>1</v>
      </c>
      <c r="M663">
        <v>1</v>
      </c>
      <c r="N663">
        <v>0.85507200000000005</v>
      </c>
    </row>
    <row r="664" spans="1:14" x14ac:dyDescent="0.35">
      <c r="A664" s="156" t="s">
        <v>542</v>
      </c>
      <c r="B664" s="52">
        <v>43595</v>
      </c>
      <c r="C664" s="156" t="s">
        <v>531</v>
      </c>
      <c r="D664" s="156" t="s">
        <v>531</v>
      </c>
      <c r="E664">
        <v>3720332</v>
      </c>
      <c r="F664">
        <v>688732.03330000001</v>
      </c>
      <c r="G664">
        <v>185.185</v>
      </c>
      <c r="H664">
        <v>0.96624900000000002</v>
      </c>
      <c r="I664">
        <v>1</v>
      </c>
      <c r="J664" s="156">
        <v>1</v>
      </c>
      <c r="K664">
        <v>1</v>
      </c>
      <c r="L664">
        <v>1</v>
      </c>
      <c r="M664">
        <v>1</v>
      </c>
      <c r="N664">
        <v>0.96624900000000002</v>
      </c>
    </row>
    <row r="665" spans="1:14" x14ac:dyDescent="0.35">
      <c r="A665" s="156" t="s">
        <v>542</v>
      </c>
      <c r="B665" s="52">
        <v>43598</v>
      </c>
      <c r="C665" s="156" t="s">
        <v>531</v>
      </c>
      <c r="D665" s="156" t="s">
        <v>531</v>
      </c>
      <c r="E665">
        <v>2094526</v>
      </c>
      <c r="F665">
        <v>371689.70120000001</v>
      </c>
      <c r="G665">
        <v>177.47069999999999</v>
      </c>
      <c r="H665">
        <v>0.96321699999999999</v>
      </c>
      <c r="I665">
        <v>1</v>
      </c>
      <c r="J665" s="156">
        <v>1</v>
      </c>
      <c r="K665">
        <v>1</v>
      </c>
      <c r="L665">
        <v>1</v>
      </c>
      <c r="M665">
        <v>1</v>
      </c>
      <c r="N665">
        <v>0.96321699999999999</v>
      </c>
    </row>
    <row r="666" spans="1:14" x14ac:dyDescent="0.35">
      <c r="A666" s="156" t="s">
        <v>542</v>
      </c>
      <c r="B666" s="52">
        <v>43599</v>
      </c>
      <c r="C666" s="156" t="s">
        <v>531</v>
      </c>
      <c r="D666" s="156" t="s">
        <v>531</v>
      </c>
      <c r="E666">
        <v>2228148</v>
      </c>
      <c r="F666">
        <v>409183.84</v>
      </c>
      <c r="G666">
        <v>183.6275</v>
      </c>
      <c r="H666">
        <v>1.0480879999999999</v>
      </c>
      <c r="I666">
        <v>1</v>
      </c>
      <c r="J666" s="156">
        <v>1</v>
      </c>
      <c r="K666">
        <v>1</v>
      </c>
      <c r="L666">
        <v>1</v>
      </c>
      <c r="M666">
        <v>1</v>
      </c>
      <c r="N666">
        <v>1.0480879999999999</v>
      </c>
    </row>
    <row r="667" spans="1:14" x14ac:dyDescent="0.35">
      <c r="A667" s="156" t="s">
        <v>542</v>
      </c>
      <c r="B667" s="52">
        <v>43600</v>
      </c>
      <c r="C667" s="156" t="s">
        <v>531</v>
      </c>
      <c r="D667" s="156" t="s">
        <v>531</v>
      </c>
      <c r="E667">
        <v>3502851</v>
      </c>
      <c r="F667">
        <v>685869.35959999997</v>
      </c>
      <c r="G667">
        <v>195.7962</v>
      </c>
      <c r="H667">
        <v>1.078916</v>
      </c>
      <c r="I667">
        <v>1</v>
      </c>
      <c r="J667" s="156">
        <v>1</v>
      </c>
      <c r="K667">
        <v>1</v>
      </c>
      <c r="L667">
        <v>1</v>
      </c>
      <c r="M667">
        <v>1</v>
      </c>
      <c r="N667">
        <v>1.078916</v>
      </c>
    </row>
    <row r="668" spans="1:14" x14ac:dyDescent="0.35">
      <c r="A668" s="156" t="s">
        <v>542</v>
      </c>
      <c r="B668" s="52">
        <v>43601</v>
      </c>
      <c r="C668" s="156" t="s">
        <v>531</v>
      </c>
      <c r="D668" s="156" t="s">
        <v>531</v>
      </c>
      <c r="E668">
        <v>3275164</v>
      </c>
      <c r="F668">
        <v>667845.37600000005</v>
      </c>
      <c r="G668">
        <v>203.8776</v>
      </c>
      <c r="H668">
        <v>1.0108060000000001</v>
      </c>
      <c r="I668">
        <v>1</v>
      </c>
      <c r="J668" s="156">
        <v>1</v>
      </c>
      <c r="K668">
        <v>1</v>
      </c>
      <c r="L668">
        <v>1</v>
      </c>
      <c r="M668">
        <v>1</v>
      </c>
      <c r="N668">
        <v>1.0108060000000001</v>
      </c>
    </row>
    <row r="669" spans="1:14" x14ac:dyDescent="0.35">
      <c r="A669" s="156" t="s">
        <v>542</v>
      </c>
      <c r="B669" s="52">
        <v>43602</v>
      </c>
      <c r="C669" s="156" t="s">
        <v>531</v>
      </c>
      <c r="D669" s="156" t="s">
        <v>531</v>
      </c>
      <c r="E669">
        <v>1497381</v>
      </c>
      <c r="F669">
        <v>298122.99890000001</v>
      </c>
      <c r="G669">
        <v>199.0855</v>
      </c>
      <c r="H669">
        <v>0.98010299999999995</v>
      </c>
      <c r="I669">
        <v>1</v>
      </c>
      <c r="J669" s="156">
        <v>1</v>
      </c>
      <c r="K669">
        <v>1</v>
      </c>
      <c r="L669">
        <v>1</v>
      </c>
      <c r="M669">
        <v>1</v>
      </c>
      <c r="N669">
        <v>0.98010299999999995</v>
      </c>
    </row>
    <row r="670" spans="1:14" x14ac:dyDescent="0.35">
      <c r="A670" s="156" t="s">
        <v>542</v>
      </c>
      <c r="B670" s="52">
        <v>43605</v>
      </c>
      <c r="C670" s="156" t="s">
        <v>531</v>
      </c>
      <c r="D670" s="156" t="s">
        <v>531</v>
      </c>
      <c r="E670">
        <v>1389981</v>
      </c>
      <c r="F670">
        <v>273182.99459999998</v>
      </c>
      <c r="G670">
        <v>196.5265</v>
      </c>
      <c r="H670">
        <v>1.0007569999999999</v>
      </c>
      <c r="I670">
        <v>1</v>
      </c>
      <c r="J670" s="156">
        <v>1</v>
      </c>
      <c r="K670">
        <v>1</v>
      </c>
      <c r="L670">
        <v>1</v>
      </c>
      <c r="M670">
        <v>1</v>
      </c>
      <c r="N670">
        <v>1.0007569999999999</v>
      </c>
    </row>
    <row r="671" spans="1:14" x14ac:dyDescent="0.35">
      <c r="A671" s="156" t="s">
        <v>542</v>
      </c>
      <c r="B671" s="52">
        <v>43606</v>
      </c>
      <c r="C671" s="156" t="s">
        <v>531</v>
      </c>
      <c r="D671" s="156" t="s">
        <v>531</v>
      </c>
      <c r="E671">
        <v>1782182</v>
      </c>
      <c r="F671">
        <v>362234.79340000002</v>
      </c>
      <c r="G671">
        <v>203.35329999999999</v>
      </c>
      <c r="H671">
        <v>1.00434</v>
      </c>
      <c r="I671">
        <v>1</v>
      </c>
      <c r="J671" s="156">
        <v>1</v>
      </c>
      <c r="K671">
        <v>1</v>
      </c>
      <c r="L671">
        <v>1</v>
      </c>
      <c r="M671">
        <v>1</v>
      </c>
      <c r="N671">
        <v>1.00434</v>
      </c>
    </row>
    <row r="672" spans="1:14" x14ac:dyDescent="0.35">
      <c r="A672" s="156" t="s">
        <v>542</v>
      </c>
      <c r="B672" s="52">
        <v>43607</v>
      </c>
      <c r="C672" s="156" t="s">
        <v>531</v>
      </c>
      <c r="D672" s="156" t="s">
        <v>531</v>
      </c>
      <c r="E672">
        <v>1266955</v>
      </c>
      <c r="F672">
        <v>255324.78419999999</v>
      </c>
      <c r="G672">
        <v>201.56610000000001</v>
      </c>
      <c r="H672">
        <v>0.99934699999999999</v>
      </c>
      <c r="I672">
        <v>1</v>
      </c>
      <c r="J672" s="156">
        <v>1</v>
      </c>
      <c r="K672">
        <v>1</v>
      </c>
      <c r="L672">
        <v>1</v>
      </c>
      <c r="M672">
        <v>1</v>
      </c>
      <c r="N672">
        <v>0.99934699999999999</v>
      </c>
    </row>
    <row r="673" spans="1:14" x14ac:dyDescent="0.35">
      <c r="A673" s="156" t="s">
        <v>542</v>
      </c>
      <c r="B673" s="52">
        <v>43608</v>
      </c>
      <c r="C673" s="156" t="s">
        <v>531</v>
      </c>
      <c r="D673" s="156" t="s">
        <v>531</v>
      </c>
      <c r="E673">
        <v>1484660</v>
      </c>
      <c r="F673">
        <v>289097.02840000001</v>
      </c>
      <c r="G673">
        <v>194.7183</v>
      </c>
      <c r="H673">
        <v>0.98185</v>
      </c>
      <c r="I673">
        <v>1</v>
      </c>
      <c r="J673" s="156">
        <v>1</v>
      </c>
      <c r="K673">
        <v>1</v>
      </c>
      <c r="L673">
        <v>1</v>
      </c>
      <c r="M673">
        <v>1</v>
      </c>
      <c r="N673">
        <v>0.98185</v>
      </c>
    </row>
    <row r="674" spans="1:14" x14ac:dyDescent="0.35">
      <c r="A674" s="156" t="s">
        <v>542</v>
      </c>
      <c r="B674" s="52">
        <v>43609</v>
      </c>
      <c r="C674" s="156" t="s">
        <v>531</v>
      </c>
      <c r="D674" s="156" t="s">
        <v>531</v>
      </c>
      <c r="E674">
        <v>1220201</v>
      </c>
      <c r="F674">
        <v>239508.11689999999</v>
      </c>
      <c r="G674">
        <v>196.33949999999999</v>
      </c>
      <c r="H674">
        <v>1.0031239999999999</v>
      </c>
      <c r="I674">
        <v>1</v>
      </c>
      <c r="J674" s="156">
        <v>1</v>
      </c>
      <c r="K674">
        <v>1</v>
      </c>
      <c r="L674">
        <v>1</v>
      </c>
      <c r="M674">
        <v>1</v>
      </c>
      <c r="N674">
        <v>1.0031239999999999</v>
      </c>
    </row>
    <row r="675" spans="1:14" x14ac:dyDescent="0.35">
      <c r="A675" s="156" t="s">
        <v>542</v>
      </c>
      <c r="B675" s="52">
        <v>43613</v>
      </c>
      <c r="C675" s="156" t="s">
        <v>531</v>
      </c>
      <c r="D675" s="156" t="s">
        <v>531</v>
      </c>
      <c r="E675">
        <v>1689867</v>
      </c>
      <c r="F675">
        <v>339475.92460000003</v>
      </c>
      <c r="G675">
        <v>200.86449999999999</v>
      </c>
      <c r="H675">
        <v>1.031598</v>
      </c>
      <c r="I675">
        <v>1</v>
      </c>
      <c r="J675" s="156">
        <v>1</v>
      </c>
      <c r="K675">
        <v>1</v>
      </c>
      <c r="L675">
        <v>1</v>
      </c>
      <c r="M675">
        <v>1</v>
      </c>
      <c r="N675">
        <v>1.031598</v>
      </c>
    </row>
    <row r="676" spans="1:14" x14ac:dyDescent="0.35">
      <c r="A676" s="156" t="s">
        <v>542</v>
      </c>
      <c r="B676" s="52">
        <v>43614</v>
      </c>
      <c r="C676" s="156" t="s">
        <v>531</v>
      </c>
      <c r="D676" s="156" t="s">
        <v>531</v>
      </c>
      <c r="E676">
        <v>1519227</v>
      </c>
      <c r="F676">
        <v>306391.65019999997</v>
      </c>
      <c r="G676">
        <v>201.69130000000001</v>
      </c>
      <c r="H676">
        <v>0.99683299999999997</v>
      </c>
      <c r="I676">
        <v>1</v>
      </c>
      <c r="J676" s="156">
        <v>1</v>
      </c>
      <c r="K676">
        <v>1</v>
      </c>
      <c r="L676">
        <v>1</v>
      </c>
      <c r="M676">
        <v>1</v>
      </c>
      <c r="N676">
        <v>0.99683299999999997</v>
      </c>
    </row>
    <row r="677" spans="1:14" x14ac:dyDescent="0.35">
      <c r="A677" s="156" t="s">
        <v>542</v>
      </c>
      <c r="B677" s="52">
        <v>43615</v>
      </c>
      <c r="C677" s="156" t="s">
        <v>531</v>
      </c>
      <c r="D677" s="156" t="s">
        <v>531</v>
      </c>
      <c r="E677">
        <v>1155421</v>
      </c>
      <c r="F677">
        <v>233532.6349</v>
      </c>
      <c r="G677">
        <v>202.37799999999999</v>
      </c>
      <c r="H677">
        <v>1.002184</v>
      </c>
      <c r="I677">
        <v>1</v>
      </c>
      <c r="J677" s="156">
        <v>1</v>
      </c>
      <c r="K677">
        <v>1</v>
      </c>
      <c r="L677">
        <v>1</v>
      </c>
      <c r="M677">
        <v>1</v>
      </c>
      <c r="N677">
        <v>1.002184</v>
      </c>
    </row>
    <row r="678" spans="1:14" x14ac:dyDescent="0.35">
      <c r="A678" s="156" t="s">
        <v>542</v>
      </c>
      <c r="B678" s="52">
        <v>43616</v>
      </c>
      <c r="C678" s="156" t="s">
        <v>531</v>
      </c>
      <c r="D678" s="156" t="s">
        <v>531</v>
      </c>
      <c r="E678">
        <v>988370</v>
      </c>
      <c r="F678">
        <v>196724.11869999999</v>
      </c>
      <c r="G678">
        <v>199.0256</v>
      </c>
      <c r="H678">
        <v>0.98474399999999995</v>
      </c>
      <c r="I678">
        <v>1</v>
      </c>
      <c r="J678" s="156">
        <v>1</v>
      </c>
      <c r="K678">
        <v>1</v>
      </c>
      <c r="L678">
        <v>1</v>
      </c>
      <c r="M678">
        <v>1</v>
      </c>
      <c r="N678">
        <v>0.98474399999999995</v>
      </c>
    </row>
    <row r="679" spans="1:14" x14ac:dyDescent="0.35">
      <c r="A679" s="156" t="s">
        <v>542</v>
      </c>
      <c r="B679" s="52">
        <v>43619</v>
      </c>
      <c r="C679" s="156" t="s">
        <v>531</v>
      </c>
      <c r="D679" s="156" t="s">
        <v>531</v>
      </c>
      <c r="E679">
        <v>1704634</v>
      </c>
      <c r="F679">
        <v>339465.94939999998</v>
      </c>
      <c r="G679">
        <v>199.11580000000001</v>
      </c>
      <c r="H679">
        <v>0.993008</v>
      </c>
      <c r="I679">
        <v>1</v>
      </c>
      <c r="J679" s="156">
        <v>1</v>
      </c>
      <c r="K679">
        <v>1</v>
      </c>
      <c r="L679">
        <v>1</v>
      </c>
      <c r="M679">
        <v>1</v>
      </c>
      <c r="N679">
        <v>0.993008</v>
      </c>
    </row>
    <row r="680" spans="1:14" x14ac:dyDescent="0.35">
      <c r="A680" s="156" t="s">
        <v>542</v>
      </c>
      <c r="B680" s="52">
        <v>43620</v>
      </c>
      <c r="C680" s="156" t="s">
        <v>531</v>
      </c>
      <c r="D680" s="156" t="s">
        <v>531</v>
      </c>
      <c r="E680">
        <v>3084173</v>
      </c>
      <c r="F680">
        <v>660496.26859999995</v>
      </c>
      <c r="G680">
        <v>213.95249999999999</v>
      </c>
      <c r="H680">
        <v>1.129116</v>
      </c>
      <c r="I680">
        <v>1</v>
      </c>
      <c r="J680" s="156">
        <v>1</v>
      </c>
      <c r="K680">
        <v>1</v>
      </c>
      <c r="L680">
        <v>1</v>
      </c>
      <c r="M680">
        <v>1</v>
      </c>
      <c r="N680">
        <v>1.129116</v>
      </c>
    </row>
    <row r="681" spans="1:14" x14ac:dyDescent="0.35">
      <c r="A681" s="156" t="s">
        <v>542</v>
      </c>
      <c r="B681" s="52">
        <v>43621</v>
      </c>
      <c r="C681" s="156" t="s">
        <v>531</v>
      </c>
      <c r="D681" s="156" t="s">
        <v>531</v>
      </c>
      <c r="E681">
        <v>2709933</v>
      </c>
      <c r="F681">
        <v>623863.68310000002</v>
      </c>
      <c r="G681">
        <v>230.20070000000001</v>
      </c>
      <c r="H681">
        <v>1.042125</v>
      </c>
      <c r="I681">
        <v>1</v>
      </c>
      <c r="J681" s="156">
        <v>1</v>
      </c>
      <c r="K681">
        <v>1</v>
      </c>
      <c r="L681">
        <v>1</v>
      </c>
      <c r="M681">
        <v>1</v>
      </c>
      <c r="N681">
        <v>1.042125</v>
      </c>
    </row>
    <row r="682" spans="1:14" x14ac:dyDescent="0.35">
      <c r="A682" s="156" t="s">
        <v>542</v>
      </c>
      <c r="B682" s="52">
        <v>43622</v>
      </c>
      <c r="C682" s="156" t="s">
        <v>531</v>
      </c>
      <c r="D682" s="156" t="s">
        <v>531</v>
      </c>
      <c r="E682">
        <v>1979161</v>
      </c>
      <c r="F682">
        <v>461554.24910000002</v>
      </c>
      <c r="G682">
        <v>233.0891</v>
      </c>
      <c r="H682">
        <v>1.021352</v>
      </c>
      <c r="I682">
        <v>1</v>
      </c>
      <c r="J682" s="156">
        <v>1</v>
      </c>
      <c r="K682">
        <v>1</v>
      </c>
      <c r="L682">
        <v>1</v>
      </c>
      <c r="M682">
        <v>1</v>
      </c>
      <c r="N682">
        <v>1.021352</v>
      </c>
    </row>
    <row r="683" spans="1:14" x14ac:dyDescent="0.35">
      <c r="A683" s="156" t="s">
        <v>542</v>
      </c>
      <c r="B683" s="52">
        <v>43623</v>
      </c>
      <c r="C683" s="156" t="s">
        <v>531</v>
      </c>
      <c r="D683" s="156" t="s">
        <v>531</v>
      </c>
      <c r="E683">
        <v>1943741</v>
      </c>
      <c r="F683">
        <v>477914.5257</v>
      </c>
      <c r="G683">
        <v>245.87350000000001</v>
      </c>
      <c r="H683">
        <v>1.032791</v>
      </c>
      <c r="I683">
        <v>1</v>
      </c>
      <c r="J683" s="156">
        <v>1</v>
      </c>
      <c r="K683">
        <v>1</v>
      </c>
      <c r="L683">
        <v>1</v>
      </c>
      <c r="M683">
        <v>1</v>
      </c>
      <c r="N683">
        <v>1.032791</v>
      </c>
    </row>
    <row r="684" spans="1:14" x14ac:dyDescent="0.35">
      <c r="A684" s="156" t="s">
        <v>542</v>
      </c>
      <c r="B684" s="52">
        <v>43626</v>
      </c>
      <c r="C684" s="156" t="s">
        <v>531</v>
      </c>
      <c r="D684" s="156" t="s">
        <v>531</v>
      </c>
      <c r="E684">
        <v>1822411</v>
      </c>
      <c r="F684">
        <v>458533.60489999998</v>
      </c>
      <c r="G684">
        <v>251.60239999999999</v>
      </c>
      <c r="H684">
        <v>1.019752</v>
      </c>
      <c r="I684">
        <v>1</v>
      </c>
      <c r="J684" s="156">
        <v>1</v>
      </c>
      <c r="K684">
        <v>1</v>
      </c>
      <c r="L684">
        <v>1</v>
      </c>
      <c r="M684">
        <v>1</v>
      </c>
      <c r="N684">
        <v>1.019752</v>
      </c>
    </row>
    <row r="685" spans="1:14" x14ac:dyDescent="0.35">
      <c r="A685" s="156" t="s">
        <v>542</v>
      </c>
      <c r="B685" s="52">
        <v>43627</v>
      </c>
      <c r="C685" s="156" t="s">
        <v>531</v>
      </c>
      <c r="D685" s="156" t="s">
        <v>531</v>
      </c>
      <c r="E685">
        <v>1523495</v>
      </c>
      <c r="F685">
        <v>381059.23830000003</v>
      </c>
      <c r="G685">
        <v>250.167</v>
      </c>
      <c r="H685">
        <v>0.997919</v>
      </c>
      <c r="I685">
        <v>1</v>
      </c>
      <c r="J685" s="156">
        <v>1</v>
      </c>
      <c r="K685">
        <v>1</v>
      </c>
      <c r="L685">
        <v>1</v>
      </c>
      <c r="M685">
        <v>1</v>
      </c>
      <c r="N685">
        <v>0.997919</v>
      </c>
    </row>
    <row r="686" spans="1:14" x14ac:dyDescent="0.35">
      <c r="A686" s="156" t="s">
        <v>542</v>
      </c>
      <c r="B686" s="52">
        <v>43628</v>
      </c>
      <c r="C686" s="156" t="s">
        <v>531</v>
      </c>
      <c r="D686" s="156" t="s">
        <v>531</v>
      </c>
      <c r="E686">
        <v>2527072</v>
      </c>
      <c r="F686">
        <v>609419.60789999994</v>
      </c>
      <c r="G686">
        <v>241.22649999999999</v>
      </c>
      <c r="H686">
        <v>0.97128599999999998</v>
      </c>
      <c r="I686">
        <v>1</v>
      </c>
      <c r="J686" s="156">
        <v>1</v>
      </c>
      <c r="K686">
        <v>1</v>
      </c>
      <c r="L686">
        <v>1</v>
      </c>
      <c r="M686">
        <v>1</v>
      </c>
      <c r="N686">
        <v>0.97128599999999998</v>
      </c>
    </row>
    <row r="687" spans="1:14" x14ac:dyDescent="0.35">
      <c r="A687" s="156" t="s">
        <v>542</v>
      </c>
      <c r="B687" s="52">
        <v>43629</v>
      </c>
      <c r="C687" s="156" t="s">
        <v>531</v>
      </c>
      <c r="D687" s="156" t="s">
        <v>531</v>
      </c>
      <c r="E687">
        <v>1080879</v>
      </c>
      <c r="F687">
        <v>265662.15090000001</v>
      </c>
      <c r="G687">
        <v>245.73140000000001</v>
      </c>
      <c r="H687">
        <v>1.019323</v>
      </c>
      <c r="I687">
        <v>1</v>
      </c>
      <c r="J687" s="156">
        <v>1</v>
      </c>
      <c r="K687">
        <v>1</v>
      </c>
      <c r="L687">
        <v>1</v>
      </c>
      <c r="M687">
        <v>1</v>
      </c>
      <c r="N687">
        <v>1.019323</v>
      </c>
    </row>
    <row r="688" spans="1:14" x14ac:dyDescent="0.35">
      <c r="A688" s="156" t="s">
        <v>542</v>
      </c>
      <c r="B688" s="52">
        <v>43630</v>
      </c>
      <c r="C688" s="156" t="s">
        <v>531</v>
      </c>
      <c r="D688" s="156" t="s">
        <v>531</v>
      </c>
      <c r="E688">
        <v>1123210</v>
      </c>
      <c r="F688">
        <v>274184.78950000001</v>
      </c>
      <c r="G688">
        <v>244.10130000000001</v>
      </c>
      <c r="H688">
        <v>0.99214199999999997</v>
      </c>
      <c r="I688">
        <v>1</v>
      </c>
      <c r="J688" s="156">
        <v>1</v>
      </c>
      <c r="K688">
        <v>1</v>
      </c>
      <c r="L688">
        <v>1</v>
      </c>
      <c r="M688">
        <v>1</v>
      </c>
      <c r="N688">
        <v>0.99214199999999997</v>
      </c>
    </row>
    <row r="689" spans="1:14" x14ac:dyDescent="0.35">
      <c r="A689" s="156" t="s">
        <v>542</v>
      </c>
      <c r="B689" s="52">
        <v>43633</v>
      </c>
      <c r="C689" s="156" t="s">
        <v>531</v>
      </c>
      <c r="D689" s="156" t="s">
        <v>531</v>
      </c>
      <c r="E689">
        <v>985321</v>
      </c>
      <c r="F689">
        <v>245563.56020000001</v>
      </c>
      <c r="G689">
        <v>249.2199</v>
      </c>
      <c r="H689">
        <v>1.012942</v>
      </c>
      <c r="I689">
        <v>1</v>
      </c>
      <c r="J689" s="156">
        <v>1</v>
      </c>
      <c r="K689">
        <v>1</v>
      </c>
      <c r="L689">
        <v>1</v>
      </c>
      <c r="M689">
        <v>1</v>
      </c>
      <c r="N689">
        <v>1.012942</v>
      </c>
    </row>
    <row r="690" spans="1:14" x14ac:dyDescent="0.35">
      <c r="A690" s="156" t="s">
        <v>542</v>
      </c>
      <c r="B690" s="52">
        <v>43634</v>
      </c>
      <c r="C690" s="156" t="s">
        <v>531</v>
      </c>
      <c r="D690" s="156" t="s">
        <v>531</v>
      </c>
      <c r="E690">
        <v>1062164</v>
      </c>
      <c r="F690">
        <v>263852.98910000001</v>
      </c>
      <c r="G690">
        <v>248.4692</v>
      </c>
      <c r="H690">
        <v>0.98819100000000004</v>
      </c>
      <c r="I690">
        <v>1</v>
      </c>
      <c r="J690" s="156">
        <v>1</v>
      </c>
      <c r="K690">
        <v>1</v>
      </c>
      <c r="L690">
        <v>1</v>
      </c>
      <c r="M690">
        <v>1</v>
      </c>
      <c r="N690">
        <v>0.98819100000000004</v>
      </c>
    </row>
    <row r="691" spans="1:14" x14ac:dyDescent="0.35">
      <c r="A691" s="156" t="s">
        <v>542</v>
      </c>
      <c r="B691" s="52">
        <v>43635</v>
      </c>
      <c r="C691" s="156" t="s">
        <v>531</v>
      </c>
      <c r="D691" s="156" t="s">
        <v>531</v>
      </c>
      <c r="E691">
        <v>814887</v>
      </c>
      <c r="F691">
        <v>202294.6109</v>
      </c>
      <c r="G691">
        <v>248.321</v>
      </c>
      <c r="H691">
        <v>1.024961</v>
      </c>
      <c r="I691">
        <v>1</v>
      </c>
      <c r="J691" s="156">
        <v>1</v>
      </c>
      <c r="K691">
        <v>1</v>
      </c>
      <c r="L691">
        <v>1</v>
      </c>
      <c r="M691">
        <v>1</v>
      </c>
      <c r="N691">
        <v>1.024961</v>
      </c>
    </row>
    <row r="692" spans="1:14" x14ac:dyDescent="0.35">
      <c r="A692" s="156" t="s">
        <v>542</v>
      </c>
      <c r="B692" s="52">
        <v>43636</v>
      </c>
      <c r="C692" s="156" t="s">
        <v>531</v>
      </c>
      <c r="D692" s="156" t="s">
        <v>531</v>
      </c>
      <c r="E692">
        <v>1131181</v>
      </c>
      <c r="F692">
        <v>284621.9314</v>
      </c>
      <c r="G692">
        <v>251.64750000000001</v>
      </c>
      <c r="H692">
        <v>0.99916400000000005</v>
      </c>
      <c r="I692">
        <v>1</v>
      </c>
      <c r="J692" s="156">
        <v>1</v>
      </c>
      <c r="K692">
        <v>1</v>
      </c>
      <c r="L692">
        <v>1</v>
      </c>
      <c r="M692">
        <v>1</v>
      </c>
      <c r="N692">
        <v>0.99916400000000005</v>
      </c>
    </row>
    <row r="693" spans="1:14" x14ac:dyDescent="0.35">
      <c r="A693" s="156" t="s">
        <v>542</v>
      </c>
      <c r="B693" s="52">
        <v>43637</v>
      </c>
      <c r="C693" s="156" t="s">
        <v>531</v>
      </c>
      <c r="D693" s="156" t="s">
        <v>531</v>
      </c>
      <c r="E693">
        <v>1636292</v>
      </c>
      <c r="F693">
        <v>396211.56849999999</v>
      </c>
      <c r="G693">
        <v>242.1566</v>
      </c>
      <c r="H693">
        <v>0.96116899999999994</v>
      </c>
      <c r="I693">
        <v>1</v>
      </c>
      <c r="J693" s="156">
        <v>1</v>
      </c>
      <c r="K693">
        <v>1</v>
      </c>
      <c r="L693">
        <v>1</v>
      </c>
      <c r="M693">
        <v>1</v>
      </c>
      <c r="N693">
        <v>0.96116899999999994</v>
      </c>
    </row>
    <row r="694" spans="1:14" x14ac:dyDescent="0.35">
      <c r="A694" s="156" t="s">
        <v>542</v>
      </c>
      <c r="B694" s="52">
        <v>43640</v>
      </c>
      <c r="C694" s="156" t="s">
        <v>531</v>
      </c>
      <c r="D694" s="156" t="s">
        <v>531</v>
      </c>
      <c r="E694">
        <v>1232483</v>
      </c>
      <c r="F694">
        <v>289425.00780000002</v>
      </c>
      <c r="G694">
        <v>234.8871</v>
      </c>
      <c r="H694">
        <v>0.97078799999999998</v>
      </c>
      <c r="I694">
        <v>1</v>
      </c>
      <c r="J694" s="156">
        <v>1</v>
      </c>
      <c r="K694">
        <v>1</v>
      </c>
      <c r="L694">
        <v>1</v>
      </c>
      <c r="M694">
        <v>1</v>
      </c>
      <c r="N694">
        <v>0.97078799999999998</v>
      </c>
    </row>
    <row r="695" spans="1:14" x14ac:dyDescent="0.35">
      <c r="A695" s="156" t="s">
        <v>542</v>
      </c>
      <c r="B695" s="52">
        <v>43641</v>
      </c>
      <c r="C695" s="156" t="s">
        <v>531</v>
      </c>
      <c r="D695" s="156" t="s">
        <v>531</v>
      </c>
      <c r="E695">
        <v>1115129</v>
      </c>
      <c r="F695">
        <v>255301.79180000001</v>
      </c>
      <c r="G695">
        <v>228.99959999999999</v>
      </c>
      <c r="H695">
        <v>0.96837300000000004</v>
      </c>
      <c r="I695">
        <v>1</v>
      </c>
      <c r="J695" s="156">
        <v>1</v>
      </c>
      <c r="K695">
        <v>1</v>
      </c>
      <c r="L695">
        <v>1</v>
      </c>
      <c r="M695">
        <v>1</v>
      </c>
      <c r="N695">
        <v>0.96837300000000004</v>
      </c>
    </row>
    <row r="696" spans="1:14" x14ac:dyDescent="0.35">
      <c r="A696" s="156" t="s">
        <v>542</v>
      </c>
      <c r="B696" s="52">
        <v>43642</v>
      </c>
      <c r="C696" s="156" t="s">
        <v>531</v>
      </c>
      <c r="D696" s="156" t="s">
        <v>531</v>
      </c>
      <c r="E696">
        <v>1212570</v>
      </c>
      <c r="F696">
        <v>275859.66800000001</v>
      </c>
      <c r="G696">
        <v>227.59139999999999</v>
      </c>
      <c r="H696">
        <v>0.99590100000000004</v>
      </c>
      <c r="I696">
        <v>1</v>
      </c>
      <c r="J696" s="156">
        <v>1</v>
      </c>
      <c r="K696">
        <v>1</v>
      </c>
      <c r="L696">
        <v>1</v>
      </c>
      <c r="M696">
        <v>1</v>
      </c>
      <c r="N696">
        <v>0.99590100000000004</v>
      </c>
    </row>
    <row r="697" spans="1:14" x14ac:dyDescent="0.35">
      <c r="A697" s="156" t="s">
        <v>542</v>
      </c>
      <c r="B697" s="52">
        <v>43643</v>
      </c>
      <c r="C697" s="156" t="s">
        <v>531</v>
      </c>
      <c r="D697" s="156" t="s">
        <v>531</v>
      </c>
      <c r="E697">
        <v>773280</v>
      </c>
      <c r="F697">
        <v>178155.86249999999</v>
      </c>
      <c r="G697">
        <v>230.34309999999999</v>
      </c>
      <c r="H697">
        <v>1.0243420000000001</v>
      </c>
      <c r="I697">
        <v>1</v>
      </c>
      <c r="J697" s="156">
        <v>1</v>
      </c>
      <c r="K697">
        <v>1</v>
      </c>
      <c r="L697">
        <v>1</v>
      </c>
      <c r="M697">
        <v>1</v>
      </c>
      <c r="N697">
        <v>1.0243420000000001</v>
      </c>
    </row>
    <row r="698" spans="1:14" x14ac:dyDescent="0.35">
      <c r="A698" s="156" t="s">
        <v>542</v>
      </c>
      <c r="B698" s="52">
        <v>43644</v>
      </c>
      <c r="C698" s="156" t="s">
        <v>531</v>
      </c>
      <c r="D698" s="156" t="s">
        <v>531</v>
      </c>
      <c r="E698">
        <v>4773292</v>
      </c>
      <c r="F698">
        <v>1089704.8898</v>
      </c>
      <c r="G698">
        <v>228.2431</v>
      </c>
      <c r="H698">
        <v>0.98414299999999999</v>
      </c>
      <c r="I698">
        <v>1</v>
      </c>
      <c r="J698" s="156">
        <v>1</v>
      </c>
      <c r="K698">
        <v>1</v>
      </c>
      <c r="L698">
        <v>1</v>
      </c>
      <c r="M698">
        <v>1</v>
      </c>
      <c r="N698">
        <v>0.98414299999999999</v>
      </c>
    </row>
    <row r="699" spans="1:14" x14ac:dyDescent="0.35">
      <c r="A699" s="156" t="s">
        <v>542</v>
      </c>
      <c r="B699" s="52">
        <v>43647</v>
      </c>
      <c r="C699" s="156" t="s">
        <v>531</v>
      </c>
      <c r="D699" s="156" t="s">
        <v>531</v>
      </c>
      <c r="E699">
        <v>1217485</v>
      </c>
      <c r="F699">
        <v>284369.52960000001</v>
      </c>
      <c r="G699">
        <v>233.6002</v>
      </c>
      <c r="H699">
        <v>1.026297</v>
      </c>
      <c r="I699">
        <v>1</v>
      </c>
      <c r="J699" s="156">
        <v>1</v>
      </c>
      <c r="K699">
        <v>1</v>
      </c>
      <c r="L699">
        <v>1</v>
      </c>
      <c r="M699">
        <v>1</v>
      </c>
      <c r="N699">
        <v>1.026297</v>
      </c>
    </row>
    <row r="700" spans="1:14" x14ac:dyDescent="0.35">
      <c r="A700" s="156" t="s">
        <v>542</v>
      </c>
      <c r="B700" s="52">
        <v>43648</v>
      </c>
      <c r="C700" s="156" t="s">
        <v>531</v>
      </c>
      <c r="D700" s="156" t="s">
        <v>531</v>
      </c>
      <c r="E700">
        <v>1307153</v>
      </c>
      <c r="F700">
        <v>301254.49209999997</v>
      </c>
      <c r="G700">
        <v>230.42349999999999</v>
      </c>
      <c r="H700">
        <v>1.0018819999999999</v>
      </c>
      <c r="I700">
        <v>1</v>
      </c>
      <c r="J700" s="156">
        <v>1</v>
      </c>
      <c r="K700">
        <v>1</v>
      </c>
      <c r="L700">
        <v>1</v>
      </c>
      <c r="M700">
        <v>1</v>
      </c>
      <c r="N700">
        <v>1.0018819999999999</v>
      </c>
    </row>
    <row r="701" spans="1:14" x14ac:dyDescent="0.35">
      <c r="A701" s="156" t="s">
        <v>542</v>
      </c>
      <c r="B701" s="52">
        <v>43649</v>
      </c>
      <c r="C701" s="156" t="s">
        <v>531</v>
      </c>
      <c r="D701" s="156" t="s">
        <v>531</v>
      </c>
      <c r="E701">
        <v>530403</v>
      </c>
      <c r="F701">
        <v>123405.3276</v>
      </c>
      <c r="G701">
        <v>232.70339999999999</v>
      </c>
      <c r="H701">
        <v>0.99837799999999999</v>
      </c>
      <c r="I701">
        <v>1</v>
      </c>
      <c r="J701" s="156">
        <v>1</v>
      </c>
      <c r="K701">
        <v>1</v>
      </c>
      <c r="L701">
        <v>1</v>
      </c>
      <c r="M701">
        <v>1</v>
      </c>
      <c r="N701">
        <v>0.99837799999999999</v>
      </c>
    </row>
    <row r="702" spans="1:14" x14ac:dyDescent="0.35">
      <c r="A702" s="156" t="s">
        <v>542</v>
      </c>
      <c r="B702" s="52">
        <v>43651</v>
      </c>
      <c r="C702" s="156" t="s">
        <v>531</v>
      </c>
      <c r="D702" s="156" t="s">
        <v>531</v>
      </c>
      <c r="E702">
        <v>927606</v>
      </c>
      <c r="F702">
        <v>218112.1477</v>
      </c>
      <c r="G702">
        <v>235.08449999999999</v>
      </c>
      <c r="H702">
        <v>1.01685</v>
      </c>
      <c r="I702">
        <v>1</v>
      </c>
      <c r="J702" s="156">
        <v>1</v>
      </c>
      <c r="K702">
        <v>1</v>
      </c>
      <c r="L702">
        <v>1</v>
      </c>
      <c r="M702">
        <v>1</v>
      </c>
      <c r="N702">
        <v>1.01685</v>
      </c>
    </row>
    <row r="703" spans="1:14" x14ac:dyDescent="0.35">
      <c r="A703" s="156" t="s">
        <v>542</v>
      </c>
      <c r="B703" s="52">
        <v>43654</v>
      </c>
      <c r="C703" s="156" t="s">
        <v>531</v>
      </c>
      <c r="D703" s="156" t="s">
        <v>531</v>
      </c>
      <c r="E703">
        <v>1045258</v>
      </c>
      <c r="F703">
        <v>249747.08</v>
      </c>
      <c r="G703">
        <v>238.94200000000001</v>
      </c>
      <c r="H703">
        <v>1.008033</v>
      </c>
      <c r="I703">
        <v>1</v>
      </c>
      <c r="J703" s="156">
        <v>1</v>
      </c>
      <c r="K703">
        <v>1</v>
      </c>
      <c r="L703">
        <v>1</v>
      </c>
      <c r="M703">
        <v>1</v>
      </c>
      <c r="N703">
        <v>1.008033</v>
      </c>
    </row>
    <row r="704" spans="1:14" x14ac:dyDescent="0.35">
      <c r="A704" s="156" t="s">
        <v>542</v>
      </c>
      <c r="B704" s="52">
        <v>43655</v>
      </c>
      <c r="C704" s="156" t="s">
        <v>531</v>
      </c>
      <c r="D704" s="156" t="s">
        <v>531</v>
      </c>
      <c r="E704">
        <v>1196724</v>
      </c>
      <c r="F704">
        <v>285309.68160000001</v>
      </c>
      <c r="G704">
        <v>238.34829999999999</v>
      </c>
      <c r="H704">
        <v>1.0062169999999999</v>
      </c>
      <c r="I704">
        <v>1</v>
      </c>
      <c r="J704" s="156">
        <v>1</v>
      </c>
      <c r="K704">
        <v>1</v>
      </c>
      <c r="L704">
        <v>1</v>
      </c>
      <c r="M704">
        <v>1</v>
      </c>
      <c r="N704">
        <v>1.0062169999999999</v>
      </c>
    </row>
    <row r="705" spans="1:14" x14ac:dyDescent="0.35">
      <c r="A705" s="156" t="s">
        <v>542</v>
      </c>
      <c r="B705" s="52">
        <v>43656</v>
      </c>
      <c r="C705" s="156" t="s">
        <v>531</v>
      </c>
      <c r="D705" s="156" t="s">
        <v>531</v>
      </c>
      <c r="E705">
        <v>1075805</v>
      </c>
      <c r="F705">
        <v>261499.1281</v>
      </c>
      <c r="G705">
        <v>243.14240000000001</v>
      </c>
      <c r="H705">
        <v>0.99278500000000003</v>
      </c>
      <c r="I705">
        <v>1</v>
      </c>
      <c r="J705" s="156">
        <v>1</v>
      </c>
      <c r="K705">
        <v>1</v>
      </c>
      <c r="L705">
        <v>1</v>
      </c>
      <c r="M705">
        <v>1</v>
      </c>
      <c r="N705">
        <v>0.99278500000000003</v>
      </c>
    </row>
    <row r="706" spans="1:14" x14ac:dyDescent="0.35">
      <c r="A706" s="156" t="s">
        <v>542</v>
      </c>
      <c r="B706" s="52">
        <v>43657</v>
      </c>
      <c r="C706" s="156" t="s">
        <v>531</v>
      </c>
      <c r="D706" s="156" t="s">
        <v>531</v>
      </c>
      <c r="E706">
        <v>530336</v>
      </c>
      <c r="F706">
        <v>127481.3982</v>
      </c>
      <c r="G706">
        <v>240.4392</v>
      </c>
      <c r="H706">
        <v>1.0056799999999999</v>
      </c>
      <c r="I706">
        <v>1</v>
      </c>
      <c r="J706" s="156">
        <v>1</v>
      </c>
      <c r="K706">
        <v>1</v>
      </c>
      <c r="L706">
        <v>1</v>
      </c>
      <c r="M706">
        <v>1</v>
      </c>
      <c r="N706">
        <v>1.0056799999999999</v>
      </c>
    </row>
    <row r="707" spans="1:14" x14ac:dyDescent="0.35">
      <c r="A707" s="156" t="s">
        <v>542</v>
      </c>
      <c r="B707" s="52">
        <v>43658</v>
      </c>
      <c r="C707" s="156" t="s">
        <v>531</v>
      </c>
      <c r="D707" s="156" t="s">
        <v>531</v>
      </c>
      <c r="E707">
        <v>847597</v>
      </c>
      <c r="F707">
        <v>205039.36869999999</v>
      </c>
      <c r="G707">
        <v>241.81379999999999</v>
      </c>
      <c r="H707">
        <v>1.013539</v>
      </c>
      <c r="I707">
        <v>1</v>
      </c>
      <c r="J707" s="156">
        <v>1</v>
      </c>
      <c r="K707">
        <v>1</v>
      </c>
      <c r="L707">
        <v>1</v>
      </c>
      <c r="M707">
        <v>1</v>
      </c>
      <c r="N707">
        <v>1.013539</v>
      </c>
    </row>
    <row r="708" spans="1:14" x14ac:dyDescent="0.35">
      <c r="A708" s="156" t="s">
        <v>542</v>
      </c>
      <c r="B708" s="52">
        <v>43661</v>
      </c>
      <c r="C708" s="156" t="s">
        <v>531</v>
      </c>
      <c r="D708" s="156" t="s">
        <v>531</v>
      </c>
      <c r="E708">
        <v>839440</v>
      </c>
      <c r="F708">
        <v>207809.0062</v>
      </c>
      <c r="G708">
        <v>247.6011</v>
      </c>
      <c r="H708">
        <v>1.0168410000000001</v>
      </c>
      <c r="I708">
        <v>1</v>
      </c>
      <c r="J708" s="156">
        <v>1</v>
      </c>
      <c r="K708">
        <v>1</v>
      </c>
      <c r="L708">
        <v>1</v>
      </c>
      <c r="M708">
        <v>1</v>
      </c>
      <c r="N708">
        <v>1.0168410000000001</v>
      </c>
    </row>
    <row r="709" spans="1:14" x14ac:dyDescent="0.35">
      <c r="A709" s="156" t="s">
        <v>542</v>
      </c>
      <c r="B709" s="52">
        <v>43662</v>
      </c>
      <c r="C709" s="156" t="s">
        <v>531</v>
      </c>
      <c r="D709" s="156" t="s">
        <v>531</v>
      </c>
      <c r="E709">
        <v>687128</v>
      </c>
      <c r="F709">
        <v>168561.56969999999</v>
      </c>
      <c r="G709">
        <v>245.34200000000001</v>
      </c>
      <c r="H709">
        <v>0.98138300000000001</v>
      </c>
      <c r="I709">
        <v>1</v>
      </c>
      <c r="J709" s="156">
        <v>1</v>
      </c>
      <c r="K709">
        <v>1</v>
      </c>
      <c r="L709">
        <v>1</v>
      </c>
      <c r="M709">
        <v>1</v>
      </c>
      <c r="N709">
        <v>0.98138300000000001</v>
      </c>
    </row>
    <row r="710" spans="1:14" x14ac:dyDescent="0.35">
      <c r="A710" s="156" t="s">
        <v>542</v>
      </c>
      <c r="B710" s="52">
        <v>43663</v>
      </c>
      <c r="C710" s="156" t="s">
        <v>531</v>
      </c>
      <c r="D710" s="156" t="s">
        <v>531</v>
      </c>
      <c r="E710">
        <v>725628</v>
      </c>
      <c r="F710">
        <v>177773.4829</v>
      </c>
      <c r="G710">
        <v>244.98320000000001</v>
      </c>
      <c r="H710">
        <v>1.0026280000000001</v>
      </c>
      <c r="I710">
        <v>1</v>
      </c>
      <c r="J710" s="156">
        <v>1</v>
      </c>
      <c r="K710">
        <v>1</v>
      </c>
      <c r="L710">
        <v>1</v>
      </c>
      <c r="M710">
        <v>1</v>
      </c>
      <c r="N710">
        <v>1.0026280000000001</v>
      </c>
    </row>
    <row r="711" spans="1:14" x14ac:dyDescent="0.35">
      <c r="A711" s="156" t="s">
        <v>542</v>
      </c>
      <c r="B711" s="52">
        <v>43664</v>
      </c>
      <c r="C711" s="156" t="s">
        <v>531</v>
      </c>
      <c r="D711" s="156" t="s">
        <v>531</v>
      </c>
      <c r="E711">
        <v>2052586</v>
      </c>
      <c r="F711">
        <v>486199.0895</v>
      </c>
      <c r="G711">
        <v>236.84450000000001</v>
      </c>
      <c r="H711">
        <v>0.98926999999999998</v>
      </c>
      <c r="I711">
        <v>1</v>
      </c>
      <c r="J711" s="156">
        <v>1</v>
      </c>
      <c r="K711">
        <v>1</v>
      </c>
      <c r="L711">
        <v>1</v>
      </c>
      <c r="M711">
        <v>1</v>
      </c>
      <c r="N711">
        <v>0.98926999999999998</v>
      </c>
    </row>
    <row r="712" spans="1:14" x14ac:dyDescent="0.35">
      <c r="A712" s="156" t="s">
        <v>542</v>
      </c>
      <c r="B712" s="52">
        <v>43665</v>
      </c>
      <c r="C712" s="156" t="s">
        <v>531</v>
      </c>
      <c r="D712" s="156" t="s">
        <v>531</v>
      </c>
      <c r="E712">
        <v>824015</v>
      </c>
      <c r="F712">
        <v>197068.5796</v>
      </c>
      <c r="G712">
        <v>239.34520000000001</v>
      </c>
      <c r="H712">
        <v>0.97412699999999997</v>
      </c>
      <c r="I712">
        <v>1</v>
      </c>
      <c r="J712" s="156">
        <v>1</v>
      </c>
      <c r="K712">
        <v>1</v>
      </c>
      <c r="L712">
        <v>1</v>
      </c>
      <c r="M712">
        <v>1</v>
      </c>
      <c r="N712">
        <v>0.97412699999999997</v>
      </c>
    </row>
    <row r="713" spans="1:14" x14ac:dyDescent="0.35">
      <c r="A713" s="156" t="s">
        <v>542</v>
      </c>
      <c r="B713" s="52">
        <v>43668</v>
      </c>
      <c r="C713" s="156" t="s">
        <v>531</v>
      </c>
      <c r="D713" s="156" t="s">
        <v>531</v>
      </c>
      <c r="E713">
        <v>1451344</v>
      </c>
      <c r="F713">
        <v>356788.30080000003</v>
      </c>
      <c r="G713">
        <v>245.7561</v>
      </c>
      <c r="H713">
        <v>1.058306</v>
      </c>
      <c r="I713">
        <v>1</v>
      </c>
      <c r="J713" s="156">
        <v>1</v>
      </c>
      <c r="K713">
        <v>1</v>
      </c>
      <c r="L713">
        <v>1</v>
      </c>
      <c r="M713">
        <v>1</v>
      </c>
      <c r="N713">
        <v>1.058306</v>
      </c>
    </row>
    <row r="714" spans="1:14" x14ac:dyDescent="0.35">
      <c r="A714" s="156" t="s">
        <v>542</v>
      </c>
      <c r="B714" s="52">
        <v>43669</v>
      </c>
      <c r="C714" s="156" t="s">
        <v>531</v>
      </c>
      <c r="D714" s="156" t="s">
        <v>531</v>
      </c>
      <c r="E714">
        <v>1036139</v>
      </c>
      <c r="F714">
        <v>253089.47870000001</v>
      </c>
      <c r="G714">
        <v>244.2757</v>
      </c>
      <c r="H714">
        <v>0.98554399999999998</v>
      </c>
      <c r="I714">
        <v>1</v>
      </c>
      <c r="J714" s="156">
        <v>1</v>
      </c>
      <c r="K714">
        <v>1</v>
      </c>
      <c r="L714">
        <v>1</v>
      </c>
      <c r="M714">
        <v>1</v>
      </c>
      <c r="N714">
        <v>0.98554399999999998</v>
      </c>
    </row>
    <row r="715" spans="1:14" x14ac:dyDescent="0.35">
      <c r="A715" s="156" t="s">
        <v>542</v>
      </c>
      <c r="B715" s="52">
        <v>43670</v>
      </c>
      <c r="C715" s="156" t="s">
        <v>531</v>
      </c>
      <c r="D715" s="156" t="s">
        <v>531</v>
      </c>
      <c r="E715">
        <v>1270899</v>
      </c>
      <c r="F715">
        <v>309148.56339999998</v>
      </c>
      <c r="G715">
        <v>243.21100000000001</v>
      </c>
      <c r="H715">
        <v>1.0120199999999999</v>
      </c>
      <c r="I715">
        <v>1</v>
      </c>
      <c r="J715" s="156">
        <v>1</v>
      </c>
      <c r="K715">
        <v>1</v>
      </c>
      <c r="L715">
        <v>1</v>
      </c>
      <c r="M715">
        <v>1</v>
      </c>
      <c r="N715">
        <v>1.0120199999999999</v>
      </c>
    </row>
    <row r="716" spans="1:14" x14ac:dyDescent="0.35">
      <c r="A716" s="156" t="s">
        <v>542</v>
      </c>
      <c r="B716" s="52">
        <v>43671</v>
      </c>
      <c r="C716" s="156" t="s">
        <v>531</v>
      </c>
      <c r="D716" s="156" t="s">
        <v>531</v>
      </c>
      <c r="E716">
        <v>1225112</v>
      </c>
      <c r="F716">
        <v>311156.32130000001</v>
      </c>
      <c r="G716">
        <v>253.8998</v>
      </c>
      <c r="H716">
        <v>1.0275380000000001</v>
      </c>
      <c r="I716">
        <v>1</v>
      </c>
      <c r="J716" s="156">
        <v>1</v>
      </c>
      <c r="K716">
        <v>1</v>
      </c>
      <c r="L716">
        <v>1</v>
      </c>
      <c r="M716">
        <v>1</v>
      </c>
      <c r="N716">
        <v>1.0275380000000001</v>
      </c>
    </row>
    <row r="717" spans="1:14" x14ac:dyDescent="0.35">
      <c r="A717" s="156" t="s">
        <v>542</v>
      </c>
      <c r="B717" s="52">
        <v>43672</v>
      </c>
      <c r="C717" s="156" t="s">
        <v>531</v>
      </c>
      <c r="D717" s="156" t="s">
        <v>531</v>
      </c>
      <c r="E717">
        <v>2629865</v>
      </c>
      <c r="F717">
        <v>711772.77220000001</v>
      </c>
      <c r="G717">
        <v>270.79790000000003</v>
      </c>
      <c r="H717">
        <v>1.0914109999999999</v>
      </c>
      <c r="I717">
        <v>1</v>
      </c>
      <c r="J717" s="156">
        <v>1</v>
      </c>
      <c r="K717">
        <v>1</v>
      </c>
      <c r="L717">
        <v>1</v>
      </c>
      <c r="M717">
        <v>1</v>
      </c>
      <c r="N717">
        <v>1.0914109999999999</v>
      </c>
    </row>
    <row r="718" spans="1:14" x14ac:dyDescent="0.35">
      <c r="A718" s="156" t="s">
        <v>542</v>
      </c>
      <c r="B718" s="52">
        <v>43675</v>
      </c>
      <c r="C718" s="156" t="s">
        <v>531</v>
      </c>
      <c r="D718" s="156" t="s">
        <v>531</v>
      </c>
      <c r="E718">
        <v>2833091</v>
      </c>
      <c r="F718">
        <v>746134.44200000004</v>
      </c>
      <c r="G718">
        <v>263.41590000000002</v>
      </c>
      <c r="H718">
        <v>0.93469800000000003</v>
      </c>
      <c r="I718">
        <v>1</v>
      </c>
      <c r="J718" s="156">
        <v>1</v>
      </c>
      <c r="K718">
        <v>1</v>
      </c>
      <c r="L718">
        <v>1</v>
      </c>
      <c r="M718">
        <v>1</v>
      </c>
      <c r="N718">
        <v>0.93469800000000003</v>
      </c>
    </row>
    <row r="719" spans="1:14" x14ac:dyDescent="0.35">
      <c r="A719" s="156" t="s">
        <v>542</v>
      </c>
      <c r="B719" s="52">
        <v>43676</v>
      </c>
      <c r="C719" s="156" t="s">
        <v>531</v>
      </c>
      <c r="D719" s="156" t="s">
        <v>531</v>
      </c>
      <c r="E719">
        <v>1330845</v>
      </c>
      <c r="F719">
        <v>353155.52419999999</v>
      </c>
      <c r="G719">
        <v>265.3766</v>
      </c>
      <c r="H719">
        <v>1.018321</v>
      </c>
      <c r="I719">
        <v>1</v>
      </c>
      <c r="J719" s="156">
        <v>1</v>
      </c>
      <c r="K719">
        <v>1</v>
      </c>
      <c r="L719">
        <v>1</v>
      </c>
      <c r="M719">
        <v>1</v>
      </c>
      <c r="N719">
        <v>1.018321</v>
      </c>
    </row>
    <row r="720" spans="1:14" x14ac:dyDescent="0.35">
      <c r="A720" s="156" t="s">
        <v>542</v>
      </c>
      <c r="B720" s="52">
        <v>43677</v>
      </c>
      <c r="C720" s="156" t="s">
        <v>531</v>
      </c>
      <c r="D720" s="156" t="s">
        <v>531</v>
      </c>
      <c r="E720">
        <v>1190775</v>
      </c>
      <c r="F720">
        <v>317702.28690000001</v>
      </c>
      <c r="G720">
        <v>266.76369999999997</v>
      </c>
      <c r="H720">
        <v>0.99313499999999999</v>
      </c>
      <c r="I720">
        <v>1</v>
      </c>
      <c r="J720" s="156">
        <v>1</v>
      </c>
      <c r="K720">
        <v>1</v>
      </c>
      <c r="L720">
        <v>1</v>
      </c>
      <c r="M720">
        <v>1</v>
      </c>
      <c r="N720">
        <v>0.99313499999999999</v>
      </c>
    </row>
    <row r="721" spans="1:14" x14ac:dyDescent="0.35">
      <c r="A721" s="156" t="s">
        <v>542</v>
      </c>
      <c r="B721" s="52">
        <v>43678</v>
      </c>
      <c r="C721" s="156" t="s">
        <v>531</v>
      </c>
      <c r="D721" s="156" t="s">
        <v>531</v>
      </c>
      <c r="E721">
        <v>1327846</v>
      </c>
      <c r="F721">
        <v>355663.38219999999</v>
      </c>
      <c r="G721">
        <v>267.75799999999998</v>
      </c>
      <c r="H721">
        <v>1.0050509999999999</v>
      </c>
      <c r="I721">
        <v>1</v>
      </c>
      <c r="J721" s="156">
        <v>1</v>
      </c>
      <c r="K721">
        <v>1</v>
      </c>
      <c r="L721">
        <v>1</v>
      </c>
      <c r="M721">
        <v>1</v>
      </c>
      <c r="N721">
        <v>1.0050509999999999</v>
      </c>
    </row>
    <row r="722" spans="1:14" x14ac:dyDescent="0.35">
      <c r="A722" s="156" t="s">
        <v>542</v>
      </c>
      <c r="B722" s="52">
        <v>43679</v>
      </c>
      <c r="C722" s="156" t="s">
        <v>531</v>
      </c>
      <c r="D722" s="156" t="s">
        <v>531</v>
      </c>
      <c r="E722">
        <v>1194895</v>
      </c>
      <c r="F722">
        <v>311254.72159999999</v>
      </c>
      <c r="G722">
        <v>260.51260000000002</v>
      </c>
      <c r="H722">
        <v>0.98616999999999999</v>
      </c>
      <c r="I722">
        <v>1</v>
      </c>
      <c r="J722" s="156">
        <v>1</v>
      </c>
      <c r="K722">
        <v>1</v>
      </c>
      <c r="L722">
        <v>1</v>
      </c>
      <c r="M722">
        <v>1</v>
      </c>
      <c r="N722">
        <v>0.98616999999999999</v>
      </c>
    </row>
    <row r="723" spans="1:14" x14ac:dyDescent="0.35">
      <c r="A723" s="156" t="s">
        <v>542</v>
      </c>
      <c r="B723" s="52">
        <v>43682</v>
      </c>
      <c r="C723" s="156" t="s">
        <v>531</v>
      </c>
      <c r="D723" s="156" t="s">
        <v>531</v>
      </c>
      <c r="E723">
        <v>1990158</v>
      </c>
      <c r="F723">
        <v>495599.25199999998</v>
      </c>
      <c r="G723">
        <v>249.03299999999999</v>
      </c>
      <c r="H723">
        <v>0.95708499999999996</v>
      </c>
      <c r="I723">
        <v>1</v>
      </c>
      <c r="J723" s="156">
        <v>1</v>
      </c>
      <c r="K723">
        <v>1</v>
      </c>
      <c r="L723">
        <v>1</v>
      </c>
      <c r="M723">
        <v>1</v>
      </c>
      <c r="N723">
        <v>0.95708499999999996</v>
      </c>
    </row>
    <row r="724" spans="1:14" x14ac:dyDescent="0.35">
      <c r="A724" s="156" t="s">
        <v>542</v>
      </c>
      <c r="B724" s="52">
        <v>43683</v>
      </c>
      <c r="C724" s="156" t="s">
        <v>531</v>
      </c>
      <c r="D724" s="156" t="s">
        <v>531</v>
      </c>
      <c r="E724">
        <v>1273684</v>
      </c>
      <c r="F724">
        <v>320547.86739999999</v>
      </c>
      <c r="G724">
        <v>251.64599999999999</v>
      </c>
      <c r="H724">
        <v>1.008367</v>
      </c>
      <c r="I724">
        <v>1</v>
      </c>
      <c r="J724" s="156">
        <v>1</v>
      </c>
      <c r="K724">
        <v>1</v>
      </c>
      <c r="L724">
        <v>1</v>
      </c>
      <c r="M724">
        <v>1</v>
      </c>
      <c r="N724">
        <v>1.008367</v>
      </c>
    </row>
    <row r="725" spans="1:14" x14ac:dyDescent="0.35">
      <c r="A725" s="156" t="s">
        <v>542</v>
      </c>
      <c r="B725" s="52">
        <v>43684</v>
      </c>
      <c r="C725" s="156" t="s">
        <v>531</v>
      </c>
      <c r="D725" s="156" t="s">
        <v>531</v>
      </c>
      <c r="E725">
        <v>998846</v>
      </c>
      <c r="F725">
        <v>254617.1857</v>
      </c>
      <c r="G725">
        <v>254.8177</v>
      </c>
      <c r="H725">
        <v>1.0212810000000001</v>
      </c>
      <c r="I725">
        <v>1</v>
      </c>
      <c r="J725" s="156">
        <v>1</v>
      </c>
      <c r="K725">
        <v>1</v>
      </c>
      <c r="L725">
        <v>1</v>
      </c>
      <c r="M725">
        <v>1</v>
      </c>
      <c r="N725">
        <v>1.0212810000000001</v>
      </c>
    </row>
    <row r="726" spans="1:14" x14ac:dyDescent="0.35">
      <c r="A726" s="156" t="s">
        <v>542</v>
      </c>
      <c r="B726" s="52">
        <v>43685</v>
      </c>
      <c r="C726" s="156" t="s">
        <v>531</v>
      </c>
      <c r="D726" s="156" t="s">
        <v>531</v>
      </c>
      <c r="E726">
        <v>3374965</v>
      </c>
      <c r="F726">
        <v>904800.84140000003</v>
      </c>
      <c r="G726">
        <v>268.15440000000001</v>
      </c>
      <c r="H726">
        <v>1.063912</v>
      </c>
      <c r="I726">
        <v>1</v>
      </c>
      <c r="J726" s="156">
        <v>1</v>
      </c>
      <c r="K726">
        <v>1</v>
      </c>
      <c r="L726">
        <v>1</v>
      </c>
      <c r="M726">
        <v>1</v>
      </c>
      <c r="N726">
        <v>1.063912</v>
      </c>
    </row>
    <row r="727" spans="1:14" x14ac:dyDescent="0.35">
      <c r="A727" s="156" t="s">
        <v>542</v>
      </c>
      <c r="B727" s="52">
        <v>43686</v>
      </c>
      <c r="C727" s="156" t="s">
        <v>531</v>
      </c>
      <c r="D727" s="156" t="s">
        <v>531</v>
      </c>
      <c r="E727">
        <v>3569895</v>
      </c>
      <c r="F727">
        <v>993019.84030000004</v>
      </c>
      <c r="G727">
        <v>278.17919999999998</v>
      </c>
      <c r="H727">
        <v>0.99367799999999995</v>
      </c>
      <c r="I727">
        <v>1</v>
      </c>
      <c r="J727" s="156">
        <v>1</v>
      </c>
      <c r="K727">
        <v>1</v>
      </c>
      <c r="L727">
        <v>1</v>
      </c>
      <c r="M727">
        <v>1</v>
      </c>
      <c r="N727">
        <v>0.99367799999999995</v>
      </c>
    </row>
    <row r="728" spans="1:14" x14ac:dyDescent="0.35">
      <c r="A728" s="156" t="s">
        <v>542</v>
      </c>
      <c r="B728" s="52">
        <v>43689</v>
      </c>
      <c r="C728" s="156" t="s">
        <v>531</v>
      </c>
      <c r="D728" s="156" t="s">
        <v>531</v>
      </c>
      <c r="E728">
        <v>2200360</v>
      </c>
      <c r="F728">
        <v>573182.54</v>
      </c>
      <c r="G728">
        <v>260.64659999999998</v>
      </c>
      <c r="H728">
        <v>0.93800099999999997</v>
      </c>
      <c r="I728">
        <v>1</v>
      </c>
      <c r="J728" s="156">
        <v>1</v>
      </c>
      <c r="K728">
        <v>1</v>
      </c>
      <c r="L728">
        <v>1</v>
      </c>
      <c r="M728">
        <v>1</v>
      </c>
      <c r="N728">
        <v>0.93800099999999997</v>
      </c>
    </row>
    <row r="729" spans="1:14" x14ac:dyDescent="0.35">
      <c r="A729" s="156" t="s">
        <v>542</v>
      </c>
      <c r="B729" s="52">
        <v>43690</v>
      </c>
      <c r="C729" s="156" t="s">
        <v>531</v>
      </c>
      <c r="D729" s="156" t="s">
        <v>531</v>
      </c>
      <c r="E729">
        <v>1953806</v>
      </c>
      <c r="F729">
        <v>511227.70240000001</v>
      </c>
      <c r="G729">
        <v>261.62240000000003</v>
      </c>
      <c r="H729">
        <v>1.0374779999999999</v>
      </c>
      <c r="I729">
        <v>1</v>
      </c>
      <c r="J729" s="156">
        <v>1</v>
      </c>
      <c r="K729">
        <v>1</v>
      </c>
      <c r="L729">
        <v>1</v>
      </c>
      <c r="M729">
        <v>1</v>
      </c>
      <c r="N729">
        <v>1.0374779999999999</v>
      </c>
    </row>
    <row r="730" spans="1:14" x14ac:dyDescent="0.35">
      <c r="A730" s="156" t="s">
        <v>542</v>
      </c>
      <c r="B730" s="52">
        <v>43691</v>
      </c>
      <c r="C730" s="156" t="s">
        <v>531</v>
      </c>
      <c r="D730" s="156" t="s">
        <v>531</v>
      </c>
      <c r="E730">
        <v>1692045</v>
      </c>
      <c r="F730">
        <v>426069.886</v>
      </c>
      <c r="G730">
        <v>251.8546</v>
      </c>
      <c r="H730">
        <v>0.94615300000000002</v>
      </c>
      <c r="I730">
        <v>1</v>
      </c>
      <c r="J730" s="156">
        <v>1</v>
      </c>
      <c r="K730">
        <v>1</v>
      </c>
      <c r="L730">
        <v>1</v>
      </c>
      <c r="M730">
        <v>1</v>
      </c>
      <c r="N730">
        <v>0.94615300000000002</v>
      </c>
    </row>
    <row r="731" spans="1:14" x14ac:dyDescent="0.35">
      <c r="A731" s="156" t="s">
        <v>542</v>
      </c>
      <c r="B731" s="52">
        <v>43692</v>
      </c>
      <c r="C731" s="156" t="s">
        <v>531</v>
      </c>
      <c r="D731" s="156" t="s">
        <v>531</v>
      </c>
      <c r="E731">
        <v>1514471</v>
      </c>
      <c r="F731">
        <v>372267.26360000001</v>
      </c>
      <c r="G731">
        <v>245.8674</v>
      </c>
      <c r="H731">
        <v>0.97256299999999996</v>
      </c>
      <c r="I731">
        <v>1</v>
      </c>
      <c r="J731" s="156">
        <v>1</v>
      </c>
      <c r="K731">
        <v>1</v>
      </c>
      <c r="L731">
        <v>1</v>
      </c>
      <c r="M731">
        <v>1</v>
      </c>
      <c r="N731">
        <v>0.97256299999999996</v>
      </c>
    </row>
    <row r="732" spans="1:14" x14ac:dyDescent="0.35">
      <c r="A732" s="156" t="s">
        <v>542</v>
      </c>
      <c r="B732" s="52">
        <v>43693</v>
      </c>
      <c r="C732" s="156" t="s">
        <v>531</v>
      </c>
      <c r="D732" s="156" t="s">
        <v>531</v>
      </c>
      <c r="E732">
        <v>1087517</v>
      </c>
      <c r="F732">
        <v>269747.59860000003</v>
      </c>
      <c r="G732">
        <v>248.0027</v>
      </c>
      <c r="H732">
        <v>1.0209429999999999</v>
      </c>
      <c r="I732">
        <v>1</v>
      </c>
      <c r="J732" s="156">
        <v>1</v>
      </c>
      <c r="K732">
        <v>1</v>
      </c>
      <c r="L732">
        <v>1</v>
      </c>
      <c r="M732">
        <v>1</v>
      </c>
      <c r="N732">
        <v>1.0209429999999999</v>
      </c>
    </row>
    <row r="733" spans="1:14" x14ac:dyDescent="0.35">
      <c r="A733" s="156" t="s">
        <v>542</v>
      </c>
      <c r="B733" s="52">
        <v>43696</v>
      </c>
      <c r="C733" s="156" t="s">
        <v>531</v>
      </c>
      <c r="D733" s="156" t="s">
        <v>531</v>
      </c>
      <c r="E733">
        <v>1392398</v>
      </c>
      <c r="F733">
        <v>345558.39010000002</v>
      </c>
      <c r="G733">
        <v>248.37</v>
      </c>
      <c r="H733">
        <v>0.97707299999999997</v>
      </c>
      <c r="I733">
        <v>1</v>
      </c>
      <c r="J733" s="156">
        <v>1</v>
      </c>
      <c r="K733">
        <v>1</v>
      </c>
      <c r="L733">
        <v>1</v>
      </c>
      <c r="M733">
        <v>1</v>
      </c>
      <c r="N733">
        <v>0.97707299999999997</v>
      </c>
    </row>
    <row r="734" spans="1:14" x14ac:dyDescent="0.35">
      <c r="A734" s="156" t="s">
        <v>542</v>
      </c>
      <c r="B734" s="52">
        <v>43697</v>
      </c>
      <c r="C734" s="156" t="s">
        <v>531</v>
      </c>
      <c r="D734" s="156" t="s">
        <v>531</v>
      </c>
      <c r="E734">
        <v>1392113</v>
      </c>
      <c r="F734">
        <v>345700.98100000003</v>
      </c>
      <c r="G734">
        <v>248.29679999999999</v>
      </c>
      <c r="H734">
        <v>1.029639</v>
      </c>
      <c r="I734">
        <v>1</v>
      </c>
      <c r="J734" s="156">
        <v>1</v>
      </c>
      <c r="K734">
        <v>1</v>
      </c>
      <c r="L734">
        <v>1</v>
      </c>
      <c r="M734">
        <v>1</v>
      </c>
      <c r="N734">
        <v>1.029639</v>
      </c>
    </row>
    <row r="735" spans="1:14" x14ac:dyDescent="0.35">
      <c r="A735" s="156" t="s">
        <v>542</v>
      </c>
      <c r="B735" s="52">
        <v>43698</v>
      </c>
      <c r="C735" s="156" t="s">
        <v>531</v>
      </c>
      <c r="D735" s="156" t="s">
        <v>531</v>
      </c>
      <c r="E735">
        <v>1660945</v>
      </c>
      <c r="F735">
        <v>432474.01169999997</v>
      </c>
      <c r="G735">
        <v>260.45760000000001</v>
      </c>
      <c r="H735">
        <v>1.039941</v>
      </c>
      <c r="I735">
        <v>1</v>
      </c>
      <c r="J735" s="156">
        <v>1</v>
      </c>
      <c r="K735">
        <v>1</v>
      </c>
      <c r="L735">
        <v>1</v>
      </c>
      <c r="M735">
        <v>1</v>
      </c>
      <c r="N735">
        <v>1.039941</v>
      </c>
    </row>
    <row r="736" spans="1:14" x14ac:dyDescent="0.35">
      <c r="A736" s="156" t="s">
        <v>542</v>
      </c>
      <c r="B736" s="52">
        <v>43699</v>
      </c>
      <c r="C736" s="156" t="s">
        <v>531</v>
      </c>
      <c r="D736" s="156" t="s">
        <v>531</v>
      </c>
      <c r="E736">
        <v>1903931</v>
      </c>
      <c r="F736">
        <v>495095.87790000002</v>
      </c>
      <c r="G736">
        <v>260.13740000000001</v>
      </c>
      <c r="H736">
        <v>0.99915399999999999</v>
      </c>
      <c r="I736">
        <v>1</v>
      </c>
      <c r="J736" s="156">
        <v>1</v>
      </c>
      <c r="K736">
        <v>1</v>
      </c>
      <c r="L736">
        <v>1</v>
      </c>
      <c r="M736">
        <v>1</v>
      </c>
      <c r="N736">
        <v>0.99915399999999999</v>
      </c>
    </row>
    <row r="737" spans="1:14" x14ac:dyDescent="0.35">
      <c r="A737" s="156" t="s">
        <v>542</v>
      </c>
      <c r="B737" s="52">
        <v>43700</v>
      </c>
      <c r="C737" s="156" t="s">
        <v>531</v>
      </c>
      <c r="D737" s="156" t="s">
        <v>531</v>
      </c>
      <c r="E737">
        <v>1480347</v>
      </c>
      <c r="F737">
        <v>377869.12410000002</v>
      </c>
      <c r="G737">
        <v>255.65989999999999</v>
      </c>
      <c r="H737">
        <v>0.94820899999999997</v>
      </c>
      <c r="I737">
        <v>1</v>
      </c>
      <c r="J737" s="156">
        <v>1</v>
      </c>
      <c r="K737">
        <v>1</v>
      </c>
      <c r="L737">
        <v>1</v>
      </c>
      <c r="M737">
        <v>1</v>
      </c>
      <c r="N737">
        <v>0.94820899999999997</v>
      </c>
    </row>
    <row r="738" spans="1:14" x14ac:dyDescent="0.35">
      <c r="A738" s="156" t="s">
        <v>542</v>
      </c>
      <c r="B738" s="52">
        <v>43703</v>
      </c>
      <c r="C738" s="156" t="s">
        <v>531</v>
      </c>
      <c r="D738" s="156" t="s">
        <v>531</v>
      </c>
      <c r="E738">
        <v>1208114</v>
      </c>
      <c r="F738">
        <v>300244.57520000002</v>
      </c>
      <c r="G738">
        <v>248.62739999999999</v>
      </c>
      <c r="H738">
        <v>1.0179769999999999</v>
      </c>
      <c r="I738">
        <v>1</v>
      </c>
      <c r="J738" s="156">
        <v>1</v>
      </c>
      <c r="K738">
        <v>1</v>
      </c>
      <c r="L738">
        <v>1</v>
      </c>
      <c r="M738">
        <v>1</v>
      </c>
      <c r="N738">
        <v>1.0179769999999999</v>
      </c>
    </row>
    <row r="739" spans="1:14" x14ac:dyDescent="0.35">
      <c r="A739" s="156" t="s">
        <v>542</v>
      </c>
      <c r="B739" s="52">
        <v>43704</v>
      </c>
      <c r="C739" s="156" t="s">
        <v>531</v>
      </c>
      <c r="D739" s="156" t="s">
        <v>531</v>
      </c>
      <c r="E739">
        <v>952261</v>
      </c>
      <c r="F739">
        <v>236315.1931</v>
      </c>
      <c r="G739">
        <v>248.1944</v>
      </c>
      <c r="H739">
        <v>0.98106499999999996</v>
      </c>
      <c r="I739">
        <v>1</v>
      </c>
      <c r="J739" s="156">
        <v>1</v>
      </c>
      <c r="K739">
        <v>1</v>
      </c>
      <c r="L739">
        <v>1</v>
      </c>
      <c r="M739">
        <v>1</v>
      </c>
      <c r="N739">
        <v>0.98106499999999996</v>
      </c>
    </row>
    <row r="740" spans="1:14" x14ac:dyDescent="0.35">
      <c r="A740" s="156" t="s">
        <v>542</v>
      </c>
      <c r="B740" s="52">
        <v>43705</v>
      </c>
      <c r="C740" s="156" t="s">
        <v>531</v>
      </c>
      <c r="D740" s="156" t="s">
        <v>531</v>
      </c>
      <c r="E740">
        <v>707698</v>
      </c>
      <c r="F740">
        <v>174339.0974</v>
      </c>
      <c r="G740">
        <v>246.25479999999999</v>
      </c>
      <c r="H740">
        <v>1.0092639999999999</v>
      </c>
      <c r="I740">
        <v>1</v>
      </c>
      <c r="J740" s="156">
        <v>1</v>
      </c>
      <c r="K740">
        <v>1</v>
      </c>
      <c r="L740">
        <v>1</v>
      </c>
      <c r="M740">
        <v>1</v>
      </c>
      <c r="N740">
        <v>1.0092639999999999</v>
      </c>
    </row>
    <row r="741" spans="1:14" x14ac:dyDescent="0.35">
      <c r="A741" s="156" t="s">
        <v>542</v>
      </c>
      <c r="B741" s="52">
        <v>43706</v>
      </c>
      <c r="C741" s="156" t="s">
        <v>531</v>
      </c>
      <c r="D741" s="156" t="s">
        <v>531</v>
      </c>
      <c r="E741">
        <v>876055</v>
      </c>
      <c r="F741">
        <v>220086.46979999999</v>
      </c>
      <c r="G741">
        <v>251.27080000000001</v>
      </c>
      <c r="H741">
        <v>1.006764</v>
      </c>
      <c r="I741">
        <v>1</v>
      </c>
      <c r="J741" s="156">
        <v>1</v>
      </c>
      <c r="K741">
        <v>1</v>
      </c>
      <c r="L741">
        <v>1</v>
      </c>
      <c r="M741">
        <v>1</v>
      </c>
      <c r="N741">
        <v>1.006764</v>
      </c>
    </row>
    <row r="742" spans="1:14" x14ac:dyDescent="0.35">
      <c r="A742" s="156" t="s">
        <v>542</v>
      </c>
      <c r="B742" s="52">
        <v>43707</v>
      </c>
      <c r="C742" s="156" t="s">
        <v>531</v>
      </c>
      <c r="D742" s="156" t="s">
        <v>531</v>
      </c>
      <c r="E742">
        <v>797361</v>
      </c>
      <c r="F742">
        <v>196357.11079999999</v>
      </c>
      <c r="G742">
        <v>246.48599999999999</v>
      </c>
      <c r="H742">
        <v>0.98280500000000004</v>
      </c>
      <c r="I742">
        <v>1</v>
      </c>
      <c r="J742" s="156">
        <v>1</v>
      </c>
      <c r="K742">
        <v>1</v>
      </c>
      <c r="L742">
        <v>1</v>
      </c>
      <c r="M742">
        <v>1</v>
      </c>
      <c r="N742">
        <v>0.98280500000000004</v>
      </c>
    </row>
    <row r="743" spans="1:14" x14ac:dyDescent="0.35">
      <c r="A743" s="156" t="s">
        <v>542</v>
      </c>
      <c r="B743" s="52">
        <v>43711</v>
      </c>
      <c r="C743" s="156" t="s">
        <v>531</v>
      </c>
      <c r="D743" s="156" t="s">
        <v>531</v>
      </c>
      <c r="E743">
        <v>1281478</v>
      </c>
      <c r="F743">
        <v>305287.01289999997</v>
      </c>
      <c r="G743">
        <v>238.29560000000001</v>
      </c>
      <c r="H743">
        <v>0.95609699999999997</v>
      </c>
      <c r="I743">
        <v>1</v>
      </c>
      <c r="J743" s="156">
        <v>1</v>
      </c>
      <c r="K743">
        <v>1</v>
      </c>
      <c r="L743">
        <v>1</v>
      </c>
      <c r="M743">
        <v>1</v>
      </c>
      <c r="N743">
        <v>0.95609699999999997</v>
      </c>
    </row>
    <row r="744" spans="1:14" x14ac:dyDescent="0.35">
      <c r="A744" s="156" t="s">
        <v>542</v>
      </c>
      <c r="B744" s="52">
        <v>43712</v>
      </c>
      <c r="C744" s="156" t="s">
        <v>531</v>
      </c>
      <c r="D744" s="156" t="s">
        <v>531</v>
      </c>
      <c r="E744">
        <v>990522</v>
      </c>
      <c r="F744">
        <v>238221.33749999999</v>
      </c>
      <c r="G744">
        <v>240.51499999999999</v>
      </c>
      <c r="H744">
        <v>1.0221720000000001</v>
      </c>
      <c r="I744">
        <v>1</v>
      </c>
      <c r="J744" s="156">
        <v>1</v>
      </c>
      <c r="K744">
        <v>1</v>
      </c>
      <c r="L744">
        <v>1</v>
      </c>
      <c r="M744">
        <v>1</v>
      </c>
      <c r="N744">
        <v>1.0221720000000001</v>
      </c>
    </row>
    <row r="745" spans="1:14" x14ac:dyDescent="0.35">
      <c r="A745" s="156" t="s">
        <v>542</v>
      </c>
      <c r="B745" s="52">
        <v>43713</v>
      </c>
      <c r="C745" s="156" t="s">
        <v>531</v>
      </c>
      <c r="D745" s="156" t="s">
        <v>531</v>
      </c>
      <c r="E745">
        <v>930864</v>
      </c>
      <c r="F745">
        <v>225002.3119</v>
      </c>
      <c r="G745">
        <v>241.7303</v>
      </c>
      <c r="H745">
        <v>1.0146550000000001</v>
      </c>
      <c r="I745">
        <v>1</v>
      </c>
      <c r="J745" s="156">
        <v>1</v>
      </c>
      <c r="K745">
        <v>1</v>
      </c>
      <c r="L745">
        <v>1</v>
      </c>
      <c r="M745">
        <v>1</v>
      </c>
      <c r="N745">
        <v>1.0146550000000001</v>
      </c>
    </row>
    <row r="746" spans="1:14" x14ac:dyDescent="0.35">
      <c r="A746" s="156" t="s">
        <v>542</v>
      </c>
      <c r="B746" s="52">
        <v>43714</v>
      </c>
      <c r="C746" s="156" t="s">
        <v>531</v>
      </c>
      <c r="D746" s="156" t="s">
        <v>531</v>
      </c>
      <c r="E746">
        <v>992673</v>
      </c>
      <c r="F746">
        <v>237538.37969999999</v>
      </c>
      <c r="G746">
        <v>239.2809</v>
      </c>
      <c r="H746">
        <v>0.95658799999999999</v>
      </c>
      <c r="I746">
        <v>1</v>
      </c>
      <c r="J746" s="156">
        <v>1</v>
      </c>
      <c r="K746">
        <v>1</v>
      </c>
      <c r="L746">
        <v>1</v>
      </c>
      <c r="M746">
        <v>1</v>
      </c>
      <c r="N746">
        <v>0.95658799999999999</v>
      </c>
    </row>
    <row r="747" spans="1:14" x14ac:dyDescent="0.35">
      <c r="A747" s="156" t="s">
        <v>542</v>
      </c>
      <c r="B747" s="52">
        <v>43717</v>
      </c>
      <c r="C747" s="156" t="s">
        <v>531</v>
      </c>
      <c r="D747" s="156" t="s">
        <v>531</v>
      </c>
      <c r="E747">
        <v>3507509</v>
      </c>
      <c r="F747">
        <v>756547.99010000005</v>
      </c>
      <c r="G747">
        <v>215.5821</v>
      </c>
      <c r="H747">
        <v>0.91652699999999998</v>
      </c>
      <c r="I747">
        <v>1</v>
      </c>
      <c r="J747" s="156">
        <v>1</v>
      </c>
      <c r="K747">
        <v>1</v>
      </c>
      <c r="L747">
        <v>1</v>
      </c>
      <c r="M747">
        <v>1</v>
      </c>
      <c r="N747">
        <v>0.91652699999999998</v>
      </c>
    </row>
    <row r="748" spans="1:14" x14ac:dyDescent="0.35">
      <c r="A748" s="156" t="s">
        <v>542</v>
      </c>
      <c r="B748" s="52">
        <v>43718</v>
      </c>
      <c r="C748" s="156" t="s">
        <v>531</v>
      </c>
      <c r="D748" s="156" t="s">
        <v>531</v>
      </c>
      <c r="E748">
        <v>2352567</v>
      </c>
      <c r="F748">
        <v>495177.04399999999</v>
      </c>
      <c r="G748">
        <v>210.51089999999999</v>
      </c>
      <c r="H748">
        <v>0.98310500000000001</v>
      </c>
      <c r="I748">
        <v>1</v>
      </c>
      <c r="J748" s="156">
        <v>1</v>
      </c>
      <c r="K748">
        <v>1</v>
      </c>
      <c r="L748">
        <v>1</v>
      </c>
      <c r="M748">
        <v>1</v>
      </c>
      <c r="N748">
        <v>0.98310500000000001</v>
      </c>
    </row>
    <row r="749" spans="1:14" x14ac:dyDescent="0.35">
      <c r="A749" s="156" t="s">
        <v>542</v>
      </c>
      <c r="B749" s="52">
        <v>43719</v>
      </c>
      <c r="C749" s="156" t="s">
        <v>531</v>
      </c>
      <c r="D749" s="156" t="s">
        <v>531</v>
      </c>
      <c r="E749">
        <v>1500882</v>
      </c>
      <c r="F749">
        <v>318054.31640000001</v>
      </c>
      <c r="G749">
        <v>212.04580000000001</v>
      </c>
      <c r="H749">
        <v>1.0078549999999999</v>
      </c>
      <c r="I749">
        <v>1</v>
      </c>
      <c r="J749" s="156">
        <v>1</v>
      </c>
      <c r="K749">
        <v>1</v>
      </c>
      <c r="L749">
        <v>1</v>
      </c>
      <c r="M749">
        <v>1</v>
      </c>
      <c r="N749">
        <v>1.0078549999999999</v>
      </c>
    </row>
    <row r="750" spans="1:14" x14ac:dyDescent="0.35">
      <c r="A750" s="156" t="s">
        <v>542</v>
      </c>
      <c r="B750" s="52">
        <v>43720</v>
      </c>
      <c r="C750" s="156" t="s">
        <v>531</v>
      </c>
      <c r="D750" s="156" t="s">
        <v>531</v>
      </c>
      <c r="E750">
        <v>1210868</v>
      </c>
      <c r="F750">
        <v>261503.23379999999</v>
      </c>
      <c r="G750">
        <v>215.95099999999999</v>
      </c>
      <c r="H750">
        <v>1.010297</v>
      </c>
      <c r="I750">
        <v>1</v>
      </c>
      <c r="J750" s="156">
        <v>1</v>
      </c>
      <c r="K750">
        <v>1</v>
      </c>
      <c r="L750">
        <v>1</v>
      </c>
      <c r="M750">
        <v>1</v>
      </c>
      <c r="N750">
        <v>1.010297</v>
      </c>
    </row>
    <row r="751" spans="1:14" x14ac:dyDescent="0.35">
      <c r="A751" s="156" t="s">
        <v>542</v>
      </c>
      <c r="B751" s="52">
        <v>43721</v>
      </c>
      <c r="C751" s="156" t="s">
        <v>531</v>
      </c>
      <c r="D751" s="156" t="s">
        <v>531</v>
      </c>
      <c r="E751">
        <v>1356255</v>
      </c>
      <c r="F751">
        <v>283047.22690000001</v>
      </c>
      <c r="G751">
        <v>208.7647</v>
      </c>
      <c r="H751">
        <v>0.970078</v>
      </c>
      <c r="I751">
        <v>1</v>
      </c>
      <c r="J751" s="156">
        <v>1</v>
      </c>
      <c r="K751">
        <v>1</v>
      </c>
      <c r="L751">
        <v>1</v>
      </c>
      <c r="M751">
        <v>1</v>
      </c>
      <c r="N751">
        <v>0.970078</v>
      </c>
    </row>
    <row r="752" spans="1:14" x14ac:dyDescent="0.35">
      <c r="A752" s="156" t="s">
        <v>542</v>
      </c>
      <c r="B752" s="52">
        <v>43724</v>
      </c>
      <c r="C752" s="156" t="s">
        <v>531</v>
      </c>
      <c r="D752" s="156" t="s">
        <v>531</v>
      </c>
      <c r="E752">
        <v>846320</v>
      </c>
      <c r="F752">
        <v>177329.8971</v>
      </c>
      <c r="G752">
        <v>209.50970000000001</v>
      </c>
      <c r="H752">
        <v>1.016194</v>
      </c>
      <c r="I752">
        <v>1</v>
      </c>
      <c r="J752" s="156">
        <v>1</v>
      </c>
      <c r="K752">
        <v>1</v>
      </c>
      <c r="L752">
        <v>1</v>
      </c>
      <c r="M752">
        <v>1</v>
      </c>
      <c r="N752">
        <v>1.016194</v>
      </c>
    </row>
    <row r="753" spans="1:14" x14ac:dyDescent="0.35">
      <c r="A753" s="156" t="s">
        <v>542</v>
      </c>
      <c r="B753" s="52">
        <v>43725</v>
      </c>
      <c r="C753" s="156" t="s">
        <v>531</v>
      </c>
      <c r="D753" s="156" t="s">
        <v>531</v>
      </c>
      <c r="E753">
        <v>929164</v>
      </c>
      <c r="F753">
        <v>198483.7126</v>
      </c>
      <c r="G753">
        <v>213.61359999999999</v>
      </c>
      <c r="H753">
        <v>1.011382</v>
      </c>
      <c r="I753">
        <v>1</v>
      </c>
      <c r="J753" s="156">
        <v>1</v>
      </c>
      <c r="K753">
        <v>1</v>
      </c>
      <c r="L753">
        <v>1</v>
      </c>
      <c r="M753">
        <v>1</v>
      </c>
      <c r="N753">
        <v>1.011382</v>
      </c>
    </row>
    <row r="754" spans="1:14" x14ac:dyDescent="0.35">
      <c r="A754" s="156" t="s">
        <v>542</v>
      </c>
      <c r="B754" s="52">
        <v>43726</v>
      </c>
      <c r="C754" s="156" t="s">
        <v>531</v>
      </c>
      <c r="D754" s="156" t="s">
        <v>531</v>
      </c>
      <c r="E754">
        <v>1498072</v>
      </c>
      <c r="F754">
        <v>313745.24190000002</v>
      </c>
      <c r="G754">
        <v>209.3759</v>
      </c>
      <c r="H754">
        <v>0.97594400000000003</v>
      </c>
      <c r="I754">
        <v>1</v>
      </c>
      <c r="J754" s="156">
        <v>1</v>
      </c>
      <c r="K754">
        <v>1</v>
      </c>
      <c r="L754">
        <v>1</v>
      </c>
      <c r="M754">
        <v>1</v>
      </c>
      <c r="N754">
        <v>0.97594400000000003</v>
      </c>
    </row>
    <row r="755" spans="1:14" x14ac:dyDescent="0.35">
      <c r="A755" s="156" t="s">
        <v>542</v>
      </c>
      <c r="B755" s="52">
        <v>43727</v>
      </c>
      <c r="C755" s="156" t="s">
        <v>531</v>
      </c>
      <c r="D755" s="156" t="s">
        <v>531</v>
      </c>
      <c r="E755">
        <v>1092475</v>
      </c>
      <c r="F755">
        <v>229946.26560000001</v>
      </c>
      <c r="G755">
        <v>210.5035</v>
      </c>
      <c r="H755">
        <v>1.010859</v>
      </c>
      <c r="I755">
        <v>1</v>
      </c>
      <c r="J755" s="156">
        <v>1</v>
      </c>
      <c r="K755">
        <v>1</v>
      </c>
      <c r="L755">
        <v>1</v>
      </c>
      <c r="M755">
        <v>1</v>
      </c>
      <c r="N755">
        <v>1.010859</v>
      </c>
    </row>
    <row r="756" spans="1:14" x14ac:dyDescent="0.35">
      <c r="A756" s="156" t="s">
        <v>542</v>
      </c>
      <c r="B756" s="52">
        <v>43728</v>
      </c>
      <c r="C756" s="156" t="s">
        <v>531</v>
      </c>
      <c r="D756" s="156" t="s">
        <v>531</v>
      </c>
      <c r="E756">
        <v>1813863</v>
      </c>
      <c r="F756">
        <v>373746.7941</v>
      </c>
      <c r="G756">
        <v>206.20400000000001</v>
      </c>
      <c r="H756">
        <v>0.98417100000000002</v>
      </c>
      <c r="I756">
        <v>1</v>
      </c>
      <c r="J756" s="156">
        <v>1</v>
      </c>
      <c r="K756">
        <v>1</v>
      </c>
      <c r="L756">
        <v>1</v>
      </c>
      <c r="M756">
        <v>1</v>
      </c>
      <c r="N756">
        <v>0.98417100000000002</v>
      </c>
    </row>
    <row r="757" spans="1:14" x14ac:dyDescent="0.35">
      <c r="A757" s="156" t="s">
        <v>542</v>
      </c>
      <c r="B757" s="52">
        <v>43731</v>
      </c>
      <c r="C757" s="156" t="s">
        <v>531</v>
      </c>
      <c r="D757" s="156" t="s">
        <v>531</v>
      </c>
      <c r="E757">
        <v>1311979</v>
      </c>
      <c r="F757">
        <v>267651.42139999999</v>
      </c>
      <c r="G757">
        <v>204.0034</v>
      </c>
      <c r="H757">
        <v>0.98005299999999995</v>
      </c>
      <c r="I757">
        <v>1</v>
      </c>
      <c r="J757" s="156">
        <v>1</v>
      </c>
      <c r="K757">
        <v>1</v>
      </c>
      <c r="L757">
        <v>1</v>
      </c>
      <c r="M757">
        <v>1</v>
      </c>
      <c r="N757">
        <v>0.98005299999999995</v>
      </c>
    </row>
    <row r="758" spans="1:14" x14ac:dyDescent="0.35">
      <c r="A758" s="156" t="s">
        <v>542</v>
      </c>
      <c r="B758" s="52">
        <v>43732</v>
      </c>
      <c r="C758" s="156" t="s">
        <v>531</v>
      </c>
      <c r="D758" s="156" t="s">
        <v>531</v>
      </c>
      <c r="E758">
        <v>2540106</v>
      </c>
      <c r="F758">
        <v>494453.76280000003</v>
      </c>
      <c r="G758">
        <v>194.6841</v>
      </c>
      <c r="H758">
        <v>0.94919200000000004</v>
      </c>
      <c r="I758">
        <v>1</v>
      </c>
      <c r="J758" s="156">
        <v>1</v>
      </c>
      <c r="K758">
        <v>1</v>
      </c>
      <c r="L758">
        <v>1</v>
      </c>
      <c r="M758">
        <v>1</v>
      </c>
      <c r="N758">
        <v>0.94919200000000004</v>
      </c>
    </row>
    <row r="759" spans="1:14" x14ac:dyDescent="0.35">
      <c r="A759" s="156" t="s">
        <v>542</v>
      </c>
      <c r="B759" s="52">
        <v>43733</v>
      </c>
      <c r="C759" s="156" t="s">
        <v>531</v>
      </c>
      <c r="D759" s="156" t="s">
        <v>531</v>
      </c>
      <c r="E759">
        <v>2804734</v>
      </c>
      <c r="F759">
        <v>533041.23849999998</v>
      </c>
      <c r="G759">
        <v>190.06700000000001</v>
      </c>
      <c r="H759">
        <v>1.0102279999999999</v>
      </c>
      <c r="I759">
        <v>1</v>
      </c>
      <c r="J759" s="156">
        <v>1</v>
      </c>
      <c r="K759">
        <v>1</v>
      </c>
      <c r="L759">
        <v>1</v>
      </c>
      <c r="M759">
        <v>1</v>
      </c>
      <c r="N759">
        <v>1.0102279999999999</v>
      </c>
    </row>
    <row r="760" spans="1:14" x14ac:dyDescent="0.35">
      <c r="A760" s="156" t="s">
        <v>542</v>
      </c>
      <c r="B760" s="52">
        <v>43734</v>
      </c>
      <c r="C760" s="156" t="s">
        <v>531</v>
      </c>
      <c r="D760" s="156" t="s">
        <v>531</v>
      </c>
      <c r="E760">
        <v>1294320</v>
      </c>
      <c r="F760">
        <v>251563.51560000001</v>
      </c>
      <c r="G760">
        <v>194.37190000000001</v>
      </c>
      <c r="H760">
        <v>0.99907500000000005</v>
      </c>
      <c r="I760">
        <v>1</v>
      </c>
      <c r="J760" s="156">
        <v>1</v>
      </c>
      <c r="K760">
        <v>1</v>
      </c>
      <c r="L760">
        <v>1</v>
      </c>
      <c r="M760">
        <v>1</v>
      </c>
      <c r="N760">
        <v>0.99907500000000005</v>
      </c>
    </row>
    <row r="761" spans="1:14" x14ac:dyDescent="0.35">
      <c r="A761" s="156" t="s">
        <v>542</v>
      </c>
      <c r="B761" s="52">
        <v>43735</v>
      </c>
      <c r="C761" s="156" t="s">
        <v>531</v>
      </c>
      <c r="D761" s="156" t="s">
        <v>531</v>
      </c>
      <c r="E761">
        <v>1993827</v>
      </c>
      <c r="F761">
        <v>371114.92469999997</v>
      </c>
      <c r="G761">
        <v>186.22739999999999</v>
      </c>
      <c r="H761">
        <v>0.95041200000000003</v>
      </c>
      <c r="I761">
        <v>1</v>
      </c>
      <c r="J761" s="156">
        <v>1</v>
      </c>
      <c r="K761">
        <v>1</v>
      </c>
      <c r="L761">
        <v>1</v>
      </c>
      <c r="M761">
        <v>1</v>
      </c>
      <c r="N761">
        <v>0.95041200000000003</v>
      </c>
    </row>
    <row r="762" spans="1:14" x14ac:dyDescent="0.35">
      <c r="A762" s="156" t="s">
        <v>542</v>
      </c>
      <c r="B762" s="52">
        <v>43738</v>
      </c>
      <c r="C762" s="156" t="s">
        <v>531</v>
      </c>
      <c r="D762" s="156" t="s">
        <v>531</v>
      </c>
      <c r="E762">
        <v>1374426</v>
      </c>
      <c r="F762">
        <v>255338.9173</v>
      </c>
      <c r="G762">
        <v>185.75370000000001</v>
      </c>
      <c r="H762">
        <v>1.015101</v>
      </c>
      <c r="I762">
        <v>1</v>
      </c>
      <c r="J762" s="156">
        <v>1</v>
      </c>
      <c r="K762">
        <v>1</v>
      </c>
      <c r="L762">
        <v>1</v>
      </c>
      <c r="M762">
        <v>1</v>
      </c>
      <c r="N762">
        <v>1.015101</v>
      </c>
    </row>
    <row r="763" spans="1:14" x14ac:dyDescent="0.35">
      <c r="A763" s="156" t="s">
        <v>542</v>
      </c>
      <c r="B763" s="52">
        <v>43739</v>
      </c>
      <c r="C763" s="156" t="s">
        <v>531</v>
      </c>
      <c r="D763" s="156" t="s">
        <v>531</v>
      </c>
      <c r="E763">
        <v>1383733</v>
      </c>
      <c r="F763">
        <v>256859.29070000001</v>
      </c>
      <c r="G763">
        <v>185.6961</v>
      </c>
      <c r="H763">
        <v>0.97888600000000003</v>
      </c>
      <c r="I763">
        <v>1</v>
      </c>
      <c r="J763" s="156">
        <v>1</v>
      </c>
      <c r="K763">
        <v>1</v>
      </c>
      <c r="L763">
        <v>1</v>
      </c>
      <c r="M763">
        <v>1</v>
      </c>
      <c r="N763">
        <v>0.97888600000000003</v>
      </c>
    </row>
    <row r="764" spans="1:14" x14ac:dyDescent="0.35">
      <c r="A764" s="156" t="s">
        <v>542</v>
      </c>
      <c r="B764" s="52">
        <v>43740</v>
      </c>
      <c r="C764" s="156" t="s">
        <v>531</v>
      </c>
      <c r="D764" s="156" t="s">
        <v>531</v>
      </c>
      <c r="E764">
        <v>1301972</v>
      </c>
      <c r="F764">
        <v>238943.44639999999</v>
      </c>
      <c r="G764">
        <v>183.768</v>
      </c>
      <c r="H764">
        <v>1.0021789999999999</v>
      </c>
      <c r="I764">
        <v>1</v>
      </c>
      <c r="J764" s="156">
        <v>1</v>
      </c>
      <c r="K764">
        <v>1</v>
      </c>
      <c r="L764">
        <v>1</v>
      </c>
      <c r="M764">
        <v>1</v>
      </c>
      <c r="N764">
        <v>1.0021789999999999</v>
      </c>
    </row>
    <row r="765" spans="1:14" x14ac:dyDescent="0.35">
      <c r="A765" s="156" t="s">
        <v>542</v>
      </c>
      <c r="B765" s="52">
        <v>43741</v>
      </c>
      <c r="C765" s="156" t="s">
        <v>531</v>
      </c>
      <c r="D765" s="156" t="s">
        <v>531</v>
      </c>
      <c r="E765">
        <v>1339906</v>
      </c>
      <c r="F765">
        <v>251133.32709999999</v>
      </c>
      <c r="G765">
        <v>187.41120000000001</v>
      </c>
      <c r="H765">
        <v>1.0304359999999999</v>
      </c>
      <c r="I765">
        <v>1</v>
      </c>
      <c r="J765" s="156">
        <v>1</v>
      </c>
      <c r="K765">
        <v>1</v>
      </c>
      <c r="L765">
        <v>1</v>
      </c>
      <c r="M765">
        <v>1</v>
      </c>
      <c r="N765">
        <v>1.0304359999999999</v>
      </c>
    </row>
    <row r="766" spans="1:14" x14ac:dyDescent="0.35">
      <c r="A766" s="156" t="s">
        <v>542</v>
      </c>
      <c r="B766" s="52">
        <v>43742</v>
      </c>
      <c r="C766" s="156" t="s">
        <v>531</v>
      </c>
      <c r="D766" s="156" t="s">
        <v>531</v>
      </c>
      <c r="E766">
        <v>1332286</v>
      </c>
      <c r="F766">
        <v>250603.08840000001</v>
      </c>
      <c r="G766">
        <v>188.13290000000001</v>
      </c>
      <c r="H766">
        <v>0.99029500000000004</v>
      </c>
      <c r="I766">
        <v>1</v>
      </c>
      <c r="J766" s="156">
        <v>1</v>
      </c>
      <c r="K766">
        <v>1</v>
      </c>
      <c r="L766">
        <v>1</v>
      </c>
      <c r="M766">
        <v>1</v>
      </c>
      <c r="N766">
        <v>0.99029500000000004</v>
      </c>
    </row>
    <row r="767" spans="1:14" x14ac:dyDescent="0.35">
      <c r="A767" s="156" t="s">
        <v>542</v>
      </c>
      <c r="B767" s="52">
        <v>43745</v>
      </c>
      <c r="C767" s="156" t="s">
        <v>531</v>
      </c>
      <c r="D767" s="156" t="s">
        <v>531</v>
      </c>
      <c r="E767">
        <v>1573645</v>
      </c>
      <c r="F767">
        <v>303072.89620000002</v>
      </c>
      <c r="G767">
        <v>192.60300000000001</v>
      </c>
      <c r="H767">
        <v>1.0335019999999999</v>
      </c>
      <c r="I767">
        <v>1</v>
      </c>
      <c r="J767" s="156">
        <v>1</v>
      </c>
      <c r="K767">
        <v>1</v>
      </c>
      <c r="L767">
        <v>1</v>
      </c>
      <c r="M767">
        <v>1</v>
      </c>
      <c r="N767">
        <v>1.0335019999999999</v>
      </c>
    </row>
    <row r="768" spans="1:14" x14ac:dyDescent="0.35">
      <c r="A768" s="156" t="s">
        <v>542</v>
      </c>
      <c r="B768" s="52">
        <v>43746</v>
      </c>
      <c r="C768" s="156" t="s">
        <v>531</v>
      </c>
      <c r="D768" s="156" t="s">
        <v>531</v>
      </c>
      <c r="E768">
        <v>1292527</v>
      </c>
      <c r="F768">
        <v>247226.27840000001</v>
      </c>
      <c r="G768">
        <v>191.28270000000001</v>
      </c>
      <c r="H768">
        <v>0.98144699999999996</v>
      </c>
      <c r="I768">
        <v>1</v>
      </c>
      <c r="J768" s="156">
        <v>1</v>
      </c>
      <c r="K768">
        <v>1</v>
      </c>
      <c r="L768">
        <v>1</v>
      </c>
      <c r="M768">
        <v>1</v>
      </c>
      <c r="N768">
        <v>0.98144699999999996</v>
      </c>
    </row>
    <row r="769" spans="1:14" x14ac:dyDescent="0.35">
      <c r="A769" s="156" t="s">
        <v>542</v>
      </c>
      <c r="B769" s="52">
        <v>43747</v>
      </c>
      <c r="C769" s="156" t="s">
        <v>531</v>
      </c>
      <c r="D769" s="156" t="s">
        <v>531</v>
      </c>
      <c r="E769">
        <v>667914</v>
      </c>
      <c r="F769">
        <v>127626.5845</v>
      </c>
      <c r="G769">
        <v>191.0951</v>
      </c>
      <c r="H769">
        <v>1.003098</v>
      </c>
      <c r="I769">
        <v>1</v>
      </c>
      <c r="J769" s="156">
        <v>1</v>
      </c>
      <c r="K769">
        <v>1</v>
      </c>
      <c r="L769">
        <v>1</v>
      </c>
      <c r="M769">
        <v>1</v>
      </c>
      <c r="N769">
        <v>1.003098</v>
      </c>
    </row>
    <row r="770" spans="1:14" x14ac:dyDescent="0.35">
      <c r="A770" s="156" t="s">
        <v>542</v>
      </c>
      <c r="B770" s="52">
        <v>43748</v>
      </c>
      <c r="C770" s="156" t="s">
        <v>531</v>
      </c>
      <c r="D770" s="156" t="s">
        <v>531</v>
      </c>
      <c r="E770">
        <v>1123810</v>
      </c>
      <c r="F770">
        <v>212403.41020000001</v>
      </c>
      <c r="G770">
        <v>189.01390000000001</v>
      </c>
      <c r="H770">
        <v>0.97183699999999995</v>
      </c>
      <c r="I770">
        <v>1</v>
      </c>
      <c r="J770" s="156">
        <v>1</v>
      </c>
      <c r="K770">
        <v>1</v>
      </c>
      <c r="L770">
        <v>1</v>
      </c>
      <c r="M770">
        <v>1</v>
      </c>
      <c r="N770">
        <v>0.97183699999999995</v>
      </c>
    </row>
    <row r="771" spans="1:14" x14ac:dyDescent="0.35">
      <c r="A771" s="156" t="s">
        <v>542</v>
      </c>
      <c r="B771" s="52">
        <v>43749</v>
      </c>
      <c r="C771" s="156" t="s">
        <v>531</v>
      </c>
      <c r="D771" s="156" t="s">
        <v>531</v>
      </c>
      <c r="E771">
        <v>2648068</v>
      </c>
      <c r="F771">
        <v>523993.85989999998</v>
      </c>
      <c r="G771">
        <v>197.839</v>
      </c>
      <c r="H771">
        <v>1.0688390000000001</v>
      </c>
      <c r="I771">
        <v>1</v>
      </c>
      <c r="J771" s="156">
        <v>1</v>
      </c>
      <c r="K771">
        <v>1</v>
      </c>
      <c r="L771">
        <v>1</v>
      </c>
      <c r="M771">
        <v>1</v>
      </c>
      <c r="N771">
        <v>1.0688390000000001</v>
      </c>
    </row>
    <row r="772" spans="1:14" x14ac:dyDescent="0.35">
      <c r="A772" s="156" t="s">
        <v>542</v>
      </c>
      <c r="B772" s="52">
        <v>43752</v>
      </c>
      <c r="C772" s="156" t="s">
        <v>531</v>
      </c>
      <c r="D772" s="156" t="s">
        <v>531</v>
      </c>
      <c r="E772">
        <v>819298</v>
      </c>
      <c r="F772">
        <v>163605.2985</v>
      </c>
      <c r="G772">
        <v>199.66720000000001</v>
      </c>
      <c r="H772">
        <v>1.014413</v>
      </c>
      <c r="I772">
        <v>1</v>
      </c>
      <c r="J772" s="156">
        <v>1</v>
      </c>
      <c r="K772">
        <v>1</v>
      </c>
      <c r="L772">
        <v>1</v>
      </c>
      <c r="M772">
        <v>1</v>
      </c>
      <c r="N772">
        <v>1.014413</v>
      </c>
    </row>
    <row r="773" spans="1:14" x14ac:dyDescent="0.35">
      <c r="A773" s="156" t="s">
        <v>542</v>
      </c>
      <c r="B773" s="52">
        <v>43753</v>
      </c>
      <c r="C773" s="156" t="s">
        <v>531</v>
      </c>
      <c r="D773" s="156" t="s">
        <v>531</v>
      </c>
      <c r="E773">
        <v>1738823</v>
      </c>
      <c r="F773">
        <v>363865.12199999997</v>
      </c>
      <c r="G773">
        <v>209.3236</v>
      </c>
      <c r="H773">
        <v>1.053207</v>
      </c>
      <c r="I773">
        <v>1</v>
      </c>
      <c r="J773" s="156">
        <v>1</v>
      </c>
      <c r="K773">
        <v>1</v>
      </c>
      <c r="L773">
        <v>1</v>
      </c>
      <c r="M773">
        <v>1</v>
      </c>
      <c r="N773">
        <v>1.053207</v>
      </c>
    </row>
    <row r="774" spans="1:14" x14ac:dyDescent="0.35">
      <c r="A774" s="156" t="s">
        <v>542</v>
      </c>
      <c r="B774" s="52">
        <v>43754</v>
      </c>
      <c r="C774" s="156" t="s">
        <v>531</v>
      </c>
      <c r="D774" s="156" t="s">
        <v>531</v>
      </c>
      <c r="E774">
        <v>2476139</v>
      </c>
      <c r="F774">
        <v>495670.60720000003</v>
      </c>
      <c r="G774">
        <v>200.233</v>
      </c>
      <c r="H774">
        <v>0.92377399999999998</v>
      </c>
      <c r="I774">
        <v>1</v>
      </c>
      <c r="J774" s="156">
        <v>1</v>
      </c>
      <c r="K774">
        <v>1</v>
      </c>
      <c r="L774">
        <v>1</v>
      </c>
      <c r="M774">
        <v>1</v>
      </c>
      <c r="N774">
        <v>0.92377399999999998</v>
      </c>
    </row>
    <row r="775" spans="1:14" x14ac:dyDescent="0.35">
      <c r="A775" s="156" t="s">
        <v>542</v>
      </c>
      <c r="B775" s="52">
        <v>43755</v>
      </c>
      <c r="C775" s="156" t="s">
        <v>531</v>
      </c>
      <c r="D775" s="156" t="s">
        <v>531</v>
      </c>
      <c r="E775">
        <v>1149319</v>
      </c>
      <c r="F775">
        <v>229365.25649999999</v>
      </c>
      <c r="G775">
        <v>199.37729999999999</v>
      </c>
      <c r="H775">
        <v>1.02885</v>
      </c>
      <c r="I775">
        <v>1</v>
      </c>
      <c r="J775" s="156">
        <v>1</v>
      </c>
      <c r="K775">
        <v>1</v>
      </c>
      <c r="L775">
        <v>1</v>
      </c>
      <c r="M775">
        <v>1</v>
      </c>
      <c r="N775">
        <v>1.02885</v>
      </c>
    </row>
    <row r="776" spans="1:14" x14ac:dyDescent="0.35">
      <c r="A776" s="156" t="s">
        <v>542</v>
      </c>
      <c r="B776" s="52">
        <v>43756</v>
      </c>
      <c r="C776" s="156" t="s">
        <v>531</v>
      </c>
      <c r="D776" s="156" t="s">
        <v>531</v>
      </c>
      <c r="E776">
        <v>2025602</v>
      </c>
      <c r="F776">
        <v>389921.67959999997</v>
      </c>
      <c r="G776">
        <v>192.47659999999999</v>
      </c>
      <c r="H776">
        <v>0.96684700000000001</v>
      </c>
      <c r="I776">
        <v>1</v>
      </c>
      <c r="J776" s="156">
        <v>1</v>
      </c>
      <c r="K776">
        <v>1</v>
      </c>
      <c r="L776">
        <v>1</v>
      </c>
      <c r="M776">
        <v>1</v>
      </c>
      <c r="N776">
        <v>0.96684700000000001</v>
      </c>
    </row>
    <row r="777" spans="1:14" x14ac:dyDescent="0.35">
      <c r="A777" s="156" t="s">
        <v>542</v>
      </c>
      <c r="B777" s="52">
        <v>43759</v>
      </c>
      <c r="C777" s="156" t="s">
        <v>531</v>
      </c>
      <c r="D777" s="156" t="s">
        <v>531</v>
      </c>
      <c r="E777">
        <v>940430</v>
      </c>
      <c r="F777">
        <v>188932.1306</v>
      </c>
      <c r="G777">
        <v>200.7903</v>
      </c>
      <c r="H777">
        <v>1.030953</v>
      </c>
      <c r="I777">
        <v>1</v>
      </c>
      <c r="J777" s="156">
        <v>1</v>
      </c>
      <c r="K777">
        <v>1</v>
      </c>
      <c r="L777">
        <v>1</v>
      </c>
      <c r="M777">
        <v>1</v>
      </c>
      <c r="N777">
        <v>1.030953</v>
      </c>
    </row>
    <row r="778" spans="1:14" x14ac:dyDescent="0.35">
      <c r="A778" s="156" t="s">
        <v>542</v>
      </c>
      <c r="B778" s="52">
        <v>43760</v>
      </c>
      <c r="C778" s="156" t="s">
        <v>531</v>
      </c>
      <c r="D778" s="156" t="s">
        <v>531</v>
      </c>
      <c r="E778">
        <v>1339311</v>
      </c>
      <c r="F778">
        <v>257640.8572</v>
      </c>
      <c r="G778">
        <v>192.42949999999999</v>
      </c>
      <c r="H778">
        <v>0.94508099999999995</v>
      </c>
      <c r="I778">
        <v>1</v>
      </c>
      <c r="J778" s="156">
        <v>1</v>
      </c>
      <c r="K778">
        <v>1</v>
      </c>
      <c r="L778">
        <v>1</v>
      </c>
      <c r="M778">
        <v>1</v>
      </c>
      <c r="N778">
        <v>0.94508099999999995</v>
      </c>
    </row>
    <row r="779" spans="1:14" x14ac:dyDescent="0.35">
      <c r="A779" s="156" t="s">
        <v>542</v>
      </c>
      <c r="B779" s="52">
        <v>43761</v>
      </c>
      <c r="C779" s="156" t="s">
        <v>531</v>
      </c>
      <c r="D779" s="156" t="s">
        <v>531</v>
      </c>
      <c r="E779">
        <v>1063313</v>
      </c>
      <c r="F779">
        <v>204566.51060000001</v>
      </c>
      <c r="G779">
        <v>192.33680000000001</v>
      </c>
      <c r="H779">
        <v>1.0121169999999999</v>
      </c>
      <c r="I779">
        <v>1</v>
      </c>
      <c r="J779" s="156">
        <v>1</v>
      </c>
      <c r="K779">
        <v>1</v>
      </c>
      <c r="L779">
        <v>1</v>
      </c>
      <c r="M779">
        <v>1</v>
      </c>
      <c r="N779">
        <v>1.0121169999999999</v>
      </c>
    </row>
    <row r="780" spans="1:14" x14ac:dyDescent="0.35">
      <c r="A780" s="156" t="s">
        <v>542</v>
      </c>
      <c r="B780" s="52">
        <v>43762</v>
      </c>
      <c r="C780" s="156" t="s">
        <v>531</v>
      </c>
      <c r="D780" s="156" t="s">
        <v>531</v>
      </c>
      <c r="E780">
        <v>1613989</v>
      </c>
      <c r="F780">
        <v>312375.61979999999</v>
      </c>
      <c r="G780">
        <v>193.66159999999999</v>
      </c>
      <c r="H780">
        <v>1.025298</v>
      </c>
      <c r="I780">
        <v>1</v>
      </c>
      <c r="J780" s="156">
        <v>1</v>
      </c>
      <c r="K780">
        <v>1</v>
      </c>
      <c r="L780">
        <v>1</v>
      </c>
      <c r="M780">
        <v>1</v>
      </c>
      <c r="N780">
        <v>1.025298</v>
      </c>
    </row>
    <row r="781" spans="1:14" x14ac:dyDescent="0.35">
      <c r="A781" s="156" t="s">
        <v>542</v>
      </c>
      <c r="B781" s="52">
        <v>43763</v>
      </c>
      <c r="C781" s="156" t="s">
        <v>531</v>
      </c>
      <c r="D781" s="156" t="s">
        <v>531</v>
      </c>
      <c r="E781">
        <v>1534591</v>
      </c>
      <c r="F781">
        <v>307287.96750000003</v>
      </c>
      <c r="G781">
        <v>200.17930000000001</v>
      </c>
      <c r="H781">
        <v>1.0286850000000001</v>
      </c>
      <c r="I781">
        <v>1</v>
      </c>
      <c r="J781" s="156">
        <v>1</v>
      </c>
      <c r="K781">
        <v>1</v>
      </c>
      <c r="L781">
        <v>1</v>
      </c>
      <c r="M781">
        <v>1</v>
      </c>
      <c r="N781">
        <v>1.0286850000000001</v>
      </c>
    </row>
    <row r="782" spans="1:14" x14ac:dyDescent="0.35">
      <c r="A782" s="156" t="s">
        <v>542</v>
      </c>
      <c r="B782" s="52">
        <v>43766</v>
      </c>
      <c r="C782" s="156" t="s">
        <v>531</v>
      </c>
      <c r="D782" s="156" t="s">
        <v>531</v>
      </c>
      <c r="E782">
        <v>3034480</v>
      </c>
      <c r="F782">
        <v>641365.1139</v>
      </c>
      <c r="G782">
        <v>211.5384</v>
      </c>
      <c r="H782">
        <v>1.0362750000000001</v>
      </c>
      <c r="I782">
        <v>1</v>
      </c>
      <c r="J782" s="156">
        <v>1</v>
      </c>
      <c r="K782">
        <v>1</v>
      </c>
      <c r="L782">
        <v>1</v>
      </c>
      <c r="M782">
        <v>1</v>
      </c>
      <c r="N782">
        <v>1.0362750000000001</v>
      </c>
    </row>
    <row r="783" spans="1:14" x14ac:dyDescent="0.35">
      <c r="A783" s="156" t="s">
        <v>542</v>
      </c>
      <c r="B783" s="52">
        <v>43767</v>
      </c>
      <c r="C783" s="156" t="s">
        <v>531</v>
      </c>
      <c r="D783" s="156" t="s">
        <v>531</v>
      </c>
      <c r="E783">
        <v>927114</v>
      </c>
      <c r="F783">
        <v>193048.26639999999</v>
      </c>
      <c r="G783">
        <v>208.15530000000001</v>
      </c>
      <c r="H783">
        <v>0.98733199999999999</v>
      </c>
      <c r="I783">
        <v>1</v>
      </c>
      <c r="J783" s="156">
        <v>1</v>
      </c>
      <c r="K783">
        <v>1</v>
      </c>
      <c r="L783">
        <v>1</v>
      </c>
      <c r="M783">
        <v>1</v>
      </c>
      <c r="N783">
        <v>0.98733199999999999</v>
      </c>
    </row>
    <row r="784" spans="1:14" x14ac:dyDescent="0.35">
      <c r="A784" s="156" t="s">
        <v>542</v>
      </c>
      <c r="B784" s="52">
        <v>43768</v>
      </c>
      <c r="C784" s="156" t="s">
        <v>531</v>
      </c>
      <c r="D784" s="156" t="s">
        <v>531</v>
      </c>
      <c r="E784">
        <v>713716</v>
      </c>
      <c r="F784">
        <v>148788.8787</v>
      </c>
      <c r="G784">
        <v>208.44390000000001</v>
      </c>
      <c r="H784">
        <v>1.011336</v>
      </c>
      <c r="I784">
        <v>1</v>
      </c>
      <c r="J784" s="156">
        <v>1</v>
      </c>
      <c r="K784">
        <v>1</v>
      </c>
      <c r="L784">
        <v>1</v>
      </c>
      <c r="M784">
        <v>1</v>
      </c>
      <c r="N784">
        <v>1.011336</v>
      </c>
    </row>
    <row r="785" spans="1:14" x14ac:dyDescent="0.35">
      <c r="A785" s="156" t="s">
        <v>542</v>
      </c>
      <c r="B785" s="52">
        <v>43769</v>
      </c>
      <c r="C785" s="156" t="s">
        <v>531</v>
      </c>
      <c r="D785" s="156" t="s">
        <v>531</v>
      </c>
      <c r="E785">
        <v>1172279</v>
      </c>
      <c r="F785">
        <v>238533.30290000001</v>
      </c>
      <c r="G785">
        <v>203.51820000000001</v>
      </c>
      <c r="H785">
        <v>0.95774099999999995</v>
      </c>
      <c r="I785">
        <v>1</v>
      </c>
      <c r="J785" s="156">
        <v>1</v>
      </c>
      <c r="K785">
        <v>1</v>
      </c>
      <c r="L785">
        <v>1</v>
      </c>
      <c r="M785">
        <v>1</v>
      </c>
      <c r="N785">
        <v>0.95774099999999995</v>
      </c>
    </row>
    <row r="786" spans="1:14" x14ac:dyDescent="0.35">
      <c r="A786" s="156" t="s">
        <v>542</v>
      </c>
      <c r="B786" s="52">
        <v>43770</v>
      </c>
      <c r="C786" s="156" t="s">
        <v>531</v>
      </c>
      <c r="D786" s="156" t="s">
        <v>531</v>
      </c>
      <c r="E786">
        <v>1006558</v>
      </c>
      <c r="F786">
        <v>204748.75260000001</v>
      </c>
      <c r="G786">
        <v>203.417</v>
      </c>
      <c r="H786">
        <v>1.0114540000000001</v>
      </c>
      <c r="I786">
        <v>1</v>
      </c>
      <c r="J786" s="156">
        <v>1</v>
      </c>
      <c r="K786">
        <v>1</v>
      </c>
      <c r="L786">
        <v>1</v>
      </c>
      <c r="M786">
        <v>1</v>
      </c>
      <c r="N786">
        <v>1.0114540000000001</v>
      </c>
    </row>
    <row r="787" spans="1:14" x14ac:dyDescent="0.35">
      <c r="A787" s="156" t="s">
        <v>542</v>
      </c>
      <c r="B787" s="52">
        <v>43773</v>
      </c>
      <c r="C787" s="156" t="s">
        <v>531</v>
      </c>
      <c r="D787" s="156" t="s">
        <v>531</v>
      </c>
      <c r="E787">
        <v>1271794</v>
      </c>
      <c r="F787">
        <v>256884.84539999999</v>
      </c>
      <c r="G787">
        <v>201.9546</v>
      </c>
      <c r="H787">
        <v>0.99896600000000002</v>
      </c>
      <c r="I787">
        <v>1</v>
      </c>
      <c r="J787" s="156">
        <v>1</v>
      </c>
      <c r="K787">
        <v>1</v>
      </c>
      <c r="L787">
        <v>1</v>
      </c>
      <c r="M787">
        <v>1</v>
      </c>
      <c r="N787">
        <v>0.99896600000000002</v>
      </c>
    </row>
    <row r="788" spans="1:14" x14ac:dyDescent="0.35">
      <c r="A788" s="156" t="s">
        <v>542</v>
      </c>
      <c r="B788" s="52">
        <v>43774</v>
      </c>
      <c r="C788" s="156" t="s">
        <v>531</v>
      </c>
      <c r="D788" s="156" t="s">
        <v>531</v>
      </c>
      <c r="E788">
        <v>1041152</v>
      </c>
      <c r="F788">
        <v>208812.43530000001</v>
      </c>
      <c r="G788">
        <v>200.63200000000001</v>
      </c>
      <c r="H788">
        <v>0.98343899999999995</v>
      </c>
      <c r="I788">
        <v>1</v>
      </c>
      <c r="J788" s="156">
        <v>1</v>
      </c>
      <c r="K788">
        <v>1</v>
      </c>
      <c r="L788">
        <v>1</v>
      </c>
      <c r="M788">
        <v>1</v>
      </c>
      <c r="N788">
        <v>0.98343899999999995</v>
      </c>
    </row>
    <row r="789" spans="1:14" x14ac:dyDescent="0.35">
      <c r="A789" s="156" t="s">
        <v>542</v>
      </c>
      <c r="B789" s="52">
        <v>43775</v>
      </c>
      <c r="C789" s="156" t="s">
        <v>531</v>
      </c>
      <c r="D789" s="156" t="s">
        <v>531</v>
      </c>
      <c r="E789">
        <v>1436055</v>
      </c>
      <c r="F789">
        <v>280059.24229999998</v>
      </c>
      <c r="G789">
        <v>195.09639999999999</v>
      </c>
      <c r="H789">
        <v>0.97438999999999998</v>
      </c>
      <c r="I789">
        <v>1</v>
      </c>
      <c r="J789" s="156">
        <v>1</v>
      </c>
      <c r="K789">
        <v>1</v>
      </c>
      <c r="L789">
        <v>1</v>
      </c>
      <c r="M789">
        <v>1</v>
      </c>
      <c r="N789">
        <v>0.97438999999999998</v>
      </c>
    </row>
    <row r="790" spans="1:14" x14ac:dyDescent="0.35">
      <c r="A790" s="156" t="s">
        <v>542</v>
      </c>
      <c r="B790" s="52">
        <v>43776</v>
      </c>
      <c r="C790" s="156" t="s">
        <v>531</v>
      </c>
      <c r="D790" s="156" t="s">
        <v>531</v>
      </c>
      <c r="E790">
        <v>3447194</v>
      </c>
      <c r="F790">
        <v>658888.78339999996</v>
      </c>
      <c r="G790">
        <v>191.1789</v>
      </c>
      <c r="H790">
        <v>0.99141000000000001</v>
      </c>
      <c r="I790">
        <v>1</v>
      </c>
      <c r="J790" s="156">
        <v>1</v>
      </c>
      <c r="K790">
        <v>1</v>
      </c>
      <c r="L790">
        <v>1</v>
      </c>
      <c r="M790">
        <v>1</v>
      </c>
      <c r="N790">
        <v>0.99141000000000001</v>
      </c>
    </row>
    <row r="791" spans="1:14" x14ac:dyDescent="0.35">
      <c r="A791" s="156" t="s">
        <v>542</v>
      </c>
      <c r="B791" s="52">
        <v>43777</v>
      </c>
      <c r="C791" s="156" t="s">
        <v>531</v>
      </c>
      <c r="D791" s="156" t="s">
        <v>531</v>
      </c>
      <c r="E791">
        <v>3719422</v>
      </c>
      <c r="F791">
        <v>732378.73809999996</v>
      </c>
      <c r="G791">
        <v>196.9384</v>
      </c>
      <c r="H791">
        <v>1.0144230000000001</v>
      </c>
      <c r="I791">
        <v>1</v>
      </c>
      <c r="J791" s="156">
        <v>1</v>
      </c>
      <c r="K791">
        <v>1</v>
      </c>
      <c r="L791">
        <v>1</v>
      </c>
      <c r="M791">
        <v>1</v>
      </c>
      <c r="N791">
        <v>1.0144230000000001</v>
      </c>
    </row>
    <row r="792" spans="1:14" x14ac:dyDescent="0.35">
      <c r="A792" s="156" t="s">
        <v>542</v>
      </c>
      <c r="B792" s="52">
        <v>43780</v>
      </c>
      <c r="C792" s="156" t="s">
        <v>531</v>
      </c>
      <c r="D792" s="156" t="s">
        <v>531</v>
      </c>
      <c r="E792">
        <v>3436633</v>
      </c>
      <c r="F792">
        <v>721085.66980000003</v>
      </c>
      <c r="G792">
        <v>209.7783</v>
      </c>
      <c r="H792">
        <v>1.109855</v>
      </c>
      <c r="I792">
        <v>1</v>
      </c>
      <c r="J792" s="156">
        <v>1</v>
      </c>
      <c r="K792">
        <v>1</v>
      </c>
      <c r="L792">
        <v>1</v>
      </c>
      <c r="M792">
        <v>1</v>
      </c>
      <c r="N792">
        <v>1.109855</v>
      </c>
    </row>
    <row r="793" spans="1:14" x14ac:dyDescent="0.35">
      <c r="A793" s="156" t="s">
        <v>542</v>
      </c>
      <c r="B793" s="52">
        <v>43781</v>
      </c>
      <c r="C793" s="156" t="s">
        <v>531</v>
      </c>
      <c r="D793" s="156" t="s">
        <v>531</v>
      </c>
      <c r="E793">
        <v>3195096</v>
      </c>
      <c r="F793">
        <v>715205.27859999996</v>
      </c>
      <c r="G793">
        <v>223.8742</v>
      </c>
      <c r="H793">
        <v>1.0315190000000001</v>
      </c>
      <c r="I793">
        <v>1</v>
      </c>
      <c r="J793" s="156">
        <v>1</v>
      </c>
      <c r="K793">
        <v>1</v>
      </c>
      <c r="L793">
        <v>1</v>
      </c>
      <c r="M793">
        <v>1</v>
      </c>
      <c r="N793">
        <v>1.0315190000000001</v>
      </c>
    </row>
    <row r="794" spans="1:14" x14ac:dyDescent="0.35">
      <c r="A794" s="156" t="s">
        <v>542</v>
      </c>
      <c r="B794" s="52">
        <v>43782</v>
      </c>
      <c r="C794" s="156" t="s">
        <v>531</v>
      </c>
      <c r="D794" s="156" t="s">
        <v>531</v>
      </c>
      <c r="E794">
        <v>1404905</v>
      </c>
      <c r="F794">
        <v>316881.80430000002</v>
      </c>
      <c r="G794">
        <v>225.56479999999999</v>
      </c>
      <c r="H794">
        <v>1.0223359999999999</v>
      </c>
      <c r="I794">
        <v>1</v>
      </c>
      <c r="J794" s="156">
        <v>1</v>
      </c>
      <c r="K794">
        <v>1</v>
      </c>
      <c r="L794">
        <v>1</v>
      </c>
      <c r="M794">
        <v>1</v>
      </c>
      <c r="N794">
        <v>1.0223359999999999</v>
      </c>
    </row>
    <row r="795" spans="1:14" x14ac:dyDescent="0.35">
      <c r="A795" s="156" t="s">
        <v>542</v>
      </c>
      <c r="B795" s="52">
        <v>43783</v>
      </c>
      <c r="C795" s="156" t="s">
        <v>531</v>
      </c>
      <c r="D795" s="156" t="s">
        <v>531</v>
      </c>
      <c r="E795">
        <v>1221345</v>
      </c>
      <c r="F795">
        <v>278145.79519999999</v>
      </c>
      <c r="G795">
        <v>227.73050000000001</v>
      </c>
      <c r="H795">
        <v>0.99663500000000005</v>
      </c>
      <c r="I795">
        <v>1</v>
      </c>
      <c r="J795" s="156">
        <v>1</v>
      </c>
      <c r="K795">
        <v>1</v>
      </c>
      <c r="L795">
        <v>1</v>
      </c>
      <c r="M795">
        <v>1</v>
      </c>
      <c r="N795">
        <v>0.99663500000000005</v>
      </c>
    </row>
    <row r="796" spans="1:14" x14ac:dyDescent="0.35">
      <c r="A796" s="156" t="s">
        <v>542</v>
      </c>
      <c r="B796" s="52">
        <v>43784</v>
      </c>
      <c r="C796" s="156" t="s">
        <v>531</v>
      </c>
      <c r="D796" s="156" t="s">
        <v>531</v>
      </c>
      <c r="E796">
        <v>1066760</v>
      </c>
      <c r="F796">
        <v>246534.84349999999</v>
      </c>
      <c r="G796">
        <v>231.102</v>
      </c>
      <c r="H796">
        <v>1.004691</v>
      </c>
      <c r="I796">
        <v>1</v>
      </c>
      <c r="J796" s="156">
        <v>1</v>
      </c>
      <c r="K796">
        <v>1</v>
      </c>
      <c r="L796">
        <v>1</v>
      </c>
      <c r="M796">
        <v>1</v>
      </c>
      <c r="N796">
        <v>1.004691</v>
      </c>
    </row>
    <row r="797" spans="1:14" x14ac:dyDescent="0.35">
      <c r="A797" s="156" t="s">
        <v>542</v>
      </c>
      <c r="B797" s="52">
        <v>43787</v>
      </c>
      <c r="C797" s="156" t="s">
        <v>531</v>
      </c>
      <c r="D797" s="156" t="s">
        <v>531</v>
      </c>
      <c r="E797">
        <v>978520</v>
      </c>
      <c r="F797">
        <v>226908.1686</v>
      </c>
      <c r="G797">
        <v>231.84010000000001</v>
      </c>
      <c r="H797">
        <v>1.0113460000000001</v>
      </c>
      <c r="I797">
        <v>1</v>
      </c>
      <c r="J797" s="156">
        <v>1</v>
      </c>
      <c r="K797">
        <v>1</v>
      </c>
      <c r="L797">
        <v>1</v>
      </c>
      <c r="M797">
        <v>1</v>
      </c>
      <c r="N797">
        <v>1.0113460000000001</v>
      </c>
    </row>
    <row r="798" spans="1:14" x14ac:dyDescent="0.35">
      <c r="A798" s="156" t="s">
        <v>542</v>
      </c>
      <c r="B798" s="52">
        <v>43788</v>
      </c>
      <c r="C798" s="156" t="s">
        <v>531</v>
      </c>
      <c r="D798" s="156" t="s">
        <v>531</v>
      </c>
      <c r="E798">
        <v>1222286</v>
      </c>
      <c r="F798">
        <v>286164.7585</v>
      </c>
      <c r="G798">
        <v>234.09559999999999</v>
      </c>
      <c r="H798">
        <v>1.020367</v>
      </c>
      <c r="I798">
        <v>1</v>
      </c>
      <c r="J798" s="156">
        <v>1</v>
      </c>
      <c r="K798">
        <v>1</v>
      </c>
      <c r="L798">
        <v>1</v>
      </c>
      <c r="M798">
        <v>1</v>
      </c>
      <c r="N798">
        <v>1.020367</v>
      </c>
    </row>
    <row r="799" spans="1:14" x14ac:dyDescent="0.35">
      <c r="A799" s="156" t="s">
        <v>542</v>
      </c>
      <c r="B799" s="52">
        <v>43789</v>
      </c>
      <c r="C799" s="156" t="s">
        <v>531</v>
      </c>
      <c r="D799" s="156" t="s">
        <v>531</v>
      </c>
      <c r="E799">
        <v>1344717</v>
      </c>
      <c r="F799">
        <v>322435.1103</v>
      </c>
      <c r="G799">
        <v>239.7199</v>
      </c>
      <c r="H799">
        <v>1.016915</v>
      </c>
      <c r="I799">
        <v>1</v>
      </c>
      <c r="J799" s="156">
        <v>1</v>
      </c>
      <c r="K799">
        <v>1</v>
      </c>
      <c r="L799">
        <v>1</v>
      </c>
      <c r="M799">
        <v>1</v>
      </c>
      <c r="N799">
        <v>1.016915</v>
      </c>
    </row>
    <row r="800" spans="1:14" x14ac:dyDescent="0.35">
      <c r="A800" s="156" t="s">
        <v>542</v>
      </c>
      <c r="B800" s="52">
        <v>43790</v>
      </c>
      <c r="C800" s="156" t="s">
        <v>531</v>
      </c>
      <c r="D800" s="156" t="s">
        <v>531</v>
      </c>
      <c r="E800">
        <v>1090913</v>
      </c>
      <c r="F800">
        <v>264497.95929999999</v>
      </c>
      <c r="G800">
        <v>242.43029999999999</v>
      </c>
      <c r="H800">
        <v>0.99833700000000003</v>
      </c>
      <c r="I800">
        <v>1</v>
      </c>
      <c r="J800" s="156">
        <v>1</v>
      </c>
      <c r="K800">
        <v>1</v>
      </c>
      <c r="L800">
        <v>1</v>
      </c>
      <c r="M800">
        <v>1</v>
      </c>
      <c r="N800">
        <v>0.99833700000000003</v>
      </c>
    </row>
    <row r="801" spans="1:14" x14ac:dyDescent="0.35">
      <c r="A801" s="156" t="s">
        <v>542</v>
      </c>
      <c r="B801" s="52">
        <v>43791</v>
      </c>
      <c r="C801" s="156" t="s">
        <v>531</v>
      </c>
      <c r="D801" s="156" t="s">
        <v>531</v>
      </c>
      <c r="E801">
        <v>1022302</v>
      </c>
      <c r="F801">
        <v>248881.22140000001</v>
      </c>
      <c r="G801">
        <v>243.4358</v>
      </c>
      <c r="H801">
        <v>1.0151619999999999</v>
      </c>
      <c r="I801">
        <v>1</v>
      </c>
      <c r="J801" s="156">
        <v>1</v>
      </c>
      <c r="K801">
        <v>1</v>
      </c>
      <c r="L801">
        <v>1</v>
      </c>
      <c r="M801">
        <v>1</v>
      </c>
      <c r="N801">
        <v>1.0151619999999999</v>
      </c>
    </row>
    <row r="802" spans="1:14" x14ac:dyDescent="0.35">
      <c r="A802" s="156" t="s">
        <v>542</v>
      </c>
      <c r="B802" s="52">
        <v>43794</v>
      </c>
      <c r="C802" s="156" t="s">
        <v>531</v>
      </c>
      <c r="D802" s="156" t="s">
        <v>531</v>
      </c>
      <c r="E802">
        <v>1701902</v>
      </c>
      <c r="F802">
        <v>431129.2193</v>
      </c>
      <c r="G802">
        <v>253.31280000000001</v>
      </c>
      <c r="H802">
        <v>1.054081</v>
      </c>
      <c r="I802">
        <v>1</v>
      </c>
      <c r="J802" s="156">
        <v>1</v>
      </c>
      <c r="K802">
        <v>1</v>
      </c>
      <c r="L802">
        <v>1</v>
      </c>
      <c r="M802">
        <v>1</v>
      </c>
      <c r="N802">
        <v>1.054081</v>
      </c>
    </row>
    <row r="803" spans="1:14" x14ac:dyDescent="0.35">
      <c r="A803" s="156" t="s">
        <v>542</v>
      </c>
      <c r="B803" s="52">
        <v>43795</v>
      </c>
      <c r="C803" s="156" t="s">
        <v>531</v>
      </c>
      <c r="D803" s="156" t="s">
        <v>531</v>
      </c>
      <c r="E803">
        <v>1923533</v>
      </c>
      <c r="F803">
        <v>503420.10090000002</v>
      </c>
      <c r="G803">
        <v>261.7217</v>
      </c>
      <c r="H803">
        <v>1.0249520000000001</v>
      </c>
      <c r="I803">
        <v>1</v>
      </c>
      <c r="J803" s="156">
        <v>1</v>
      </c>
      <c r="K803">
        <v>1</v>
      </c>
      <c r="L803">
        <v>1</v>
      </c>
      <c r="M803">
        <v>1</v>
      </c>
      <c r="N803">
        <v>1.0249520000000001</v>
      </c>
    </row>
    <row r="804" spans="1:14" x14ac:dyDescent="0.35">
      <c r="A804" s="156" t="s">
        <v>542</v>
      </c>
      <c r="B804" s="52">
        <v>43796</v>
      </c>
      <c r="C804" s="156" t="s">
        <v>531</v>
      </c>
      <c r="D804" s="156" t="s">
        <v>531</v>
      </c>
      <c r="E804">
        <v>956187</v>
      </c>
      <c r="F804">
        <v>252411.44620000001</v>
      </c>
      <c r="G804">
        <v>263.99439999999998</v>
      </c>
      <c r="H804">
        <v>1.0071019999999999</v>
      </c>
      <c r="I804">
        <v>1</v>
      </c>
      <c r="J804" s="156">
        <v>1</v>
      </c>
      <c r="K804">
        <v>1</v>
      </c>
      <c r="L804">
        <v>1</v>
      </c>
      <c r="M804">
        <v>1</v>
      </c>
      <c r="N804">
        <v>1.0071019999999999</v>
      </c>
    </row>
    <row r="805" spans="1:14" x14ac:dyDescent="0.35">
      <c r="A805" s="156" t="s">
        <v>542</v>
      </c>
      <c r="B805" s="52">
        <v>43798</v>
      </c>
      <c r="C805" s="156" t="s">
        <v>531</v>
      </c>
      <c r="D805" s="156" t="s">
        <v>531</v>
      </c>
      <c r="E805">
        <v>483559</v>
      </c>
      <c r="F805">
        <v>128126.8775</v>
      </c>
      <c r="G805">
        <v>264.92380000000003</v>
      </c>
      <c r="H805">
        <v>0.99309899999999995</v>
      </c>
      <c r="I805">
        <v>1</v>
      </c>
      <c r="J805" s="156">
        <v>1</v>
      </c>
      <c r="K805">
        <v>1</v>
      </c>
      <c r="L805">
        <v>1</v>
      </c>
      <c r="M805">
        <v>1</v>
      </c>
      <c r="N805">
        <v>0.99309899999999995</v>
      </c>
    </row>
    <row r="806" spans="1:14" x14ac:dyDescent="0.35">
      <c r="A806" s="156" t="s">
        <v>542</v>
      </c>
      <c r="B806" s="52">
        <v>43801</v>
      </c>
      <c r="C806" s="156" t="s">
        <v>531</v>
      </c>
      <c r="D806" s="156" t="s">
        <v>531</v>
      </c>
      <c r="E806">
        <v>3800760</v>
      </c>
      <c r="F806">
        <v>900962.6004</v>
      </c>
      <c r="G806">
        <v>237.13040000000001</v>
      </c>
      <c r="H806">
        <v>0.86348400000000003</v>
      </c>
      <c r="I806">
        <v>1</v>
      </c>
      <c r="J806" s="156">
        <v>1</v>
      </c>
      <c r="K806">
        <v>1</v>
      </c>
      <c r="L806">
        <v>1</v>
      </c>
      <c r="M806">
        <v>1</v>
      </c>
      <c r="N806">
        <v>0.86348400000000003</v>
      </c>
    </row>
    <row r="807" spans="1:14" x14ac:dyDescent="0.35">
      <c r="A807" s="156" t="s">
        <v>542</v>
      </c>
      <c r="B807" s="52">
        <v>43802</v>
      </c>
      <c r="C807" s="156" t="s">
        <v>531</v>
      </c>
      <c r="D807" s="156" t="s">
        <v>531</v>
      </c>
      <c r="E807">
        <v>2050080</v>
      </c>
      <c r="F807">
        <v>477561.89559999999</v>
      </c>
      <c r="G807">
        <v>232.88460000000001</v>
      </c>
      <c r="H807">
        <v>1.044505</v>
      </c>
      <c r="I807">
        <v>1</v>
      </c>
      <c r="J807" s="156">
        <v>1</v>
      </c>
      <c r="K807">
        <v>1</v>
      </c>
      <c r="L807">
        <v>1</v>
      </c>
      <c r="M807">
        <v>1</v>
      </c>
      <c r="N807">
        <v>1.044505</v>
      </c>
    </row>
    <row r="808" spans="1:14" x14ac:dyDescent="0.35">
      <c r="A808" s="156" t="s">
        <v>542</v>
      </c>
      <c r="B808" s="52">
        <v>43803</v>
      </c>
      <c r="C808" s="156" t="s">
        <v>531</v>
      </c>
      <c r="D808" s="156" t="s">
        <v>531</v>
      </c>
      <c r="E808">
        <v>1598257</v>
      </c>
      <c r="F808">
        <v>388241.32539999997</v>
      </c>
      <c r="G808">
        <v>242.99039999999999</v>
      </c>
      <c r="H808">
        <v>1.0279149999999999</v>
      </c>
      <c r="I808">
        <v>1</v>
      </c>
      <c r="J808" s="156">
        <v>1</v>
      </c>
      <c r="K808">
        <v>1</v>
      </c>
      <c r="L808">
        <v>1</v>
      </c>
      <c r="M808">
        <v>1</v>
      </c>
      <c r="N808">
        <v>1.0279149999999999</v>
      </c>
    </row>
    <row r="809" spans="1:14" x14ac:dyDescent="0.35">
      <c r="A809" s="156" t="s">
        <v>542</v>
      </c>
      <c r="B809" s="52">
        <v>43804</v>
      </c>
      <c r="C809" s="156" t="s">
        <v>531</v>
      </c>
      <c r="D809" s="156" t="s">
        <v>531</v>
      </c>
      <c r="E809">
        <v>1019058</v>
      </c>
      <c r="F809">
        <v>245564.01029999999</v>
      </c>
      <c r="G809">
        <v>240.9588</v>
      </c>
      <c r="H809">
        <v>0.98476300000000005</v>
      </c>
      <c r="I809">
        <v>1</v>
      </c>
      <c r="J809" s="156">
        <v>1</v>
      </c>
      <c r="K809">
        <v>1</v>
      </c>
      <c r="L809">
        <v>1</v>
      </c>
      <c r="M809">
        <v>1</v>
      </c>
      <c r="N809">
        <v>0.98476300000000005</v>
      </c>
    </row>
    <row r="810" spans="1:14" x14ac:dyDescent="0.35">
      <c r="A810" s="156" t="s">
        <v>542</v>
      </c>
      <c r="B810" s="52">
        <v>43805</v>
      </c>
      <c r="C810" s="156" t="s">
        <v>531</v>
      </c>
      <c r="D810" s="156" t="s">
        <v>531</v>
      </c>
      <c r="E810">
        <v>1974344</v>
      </c>
      <c r="F810">
        <v>494266.68050000002</v>
      </c>
      <c r="G810">
        <v>250.374</v>
      </c>
      <c r="H810">
        <v>1.0288250000000001</v>
      </c>
      <c r="I810">
        <v>1</v>
      </c>
      <c r="J810" s="156">
        <v>1</v>
      </c>
      <c r="K810">
        <v>1</v>
      </c>
      <c r="L810">
        <v>1</v>
      </c>
      <c r="M810">
        <v>1</v>
      </c>
      <c r="N810">
        <v>1.0288250000000001</v>
      </c>
    </row>
    <row r="811" spans="1:14" x14ac:dyDescent="0.35">
      <c r="A811" s="156" t="s">
        <v>542</v>
      </c>
      <c r="B811" s="52">
        <v>43808</v>
      </c>
      <c r="C811" s="156" t="s">
        <v>531</v>
      </c>
      <c r="D811" s="156" t="s">
        <v>531</v>
      </c>
      <c r="E811">
        <v>1034004</v>
      </c>
      <c r="F811">
        <v>259216.93479999999</v>
      </c>
      <c r="G811">
        <v>250.7122</v>
      </c>
      <c r="H811">
        <v>1.0086520000000001</v>
      </c>
      <c r="I811">
        <v>1</v>
      </c>
      <c r="J811" s="156">
        <v>1</v>
      </c>
      <c r="K811">
        <v>1</v>
      </c>
      <c r="L811">
        <v>1</v>
      </c>
      <c r="M811">
        <v>1</v>
      </c>
      <c r="N811">
        <v>1.0086520000000001</v>
      </c>
    </row>
    <row r="812" spans="1:14" x14ac:dyDescent="0.35">
      <c r="A812" s="156" t="s">
        <v>542</v>
      </c>
      <c r="B812" s="52">
        <v>43809</v>
      </c>
      <c r="C812" s="156" t="s">
        <v>531</v>
      </c>
      <c r="D812" s="156" t="s">
        <v>531</v>
      </c>
      <c r="E812">
        <v>886962</v>
      </c>
      <c r="F812">
        <v>222077.7697</v>
      </c>
      <c r="G812">
        <v>250.37039999999999</v>
      </c>
      <c r="H812">
        <v>1.0023249999999999</v>
      </c>
      <c r="I812">
        <v>1</v>
      </c>
      <c r="J812" s="156">
        <v>1</v>
      </c>
      <c r="K812">
        <v>1</v>
      </c>
      <c r="L812">
        <v>1</v>
      </c>
      <c r="M812">
        <v>1</v>
      </c>
      <c r="N812">
        <v>1.0023249999999999</v>
      </c>
    </row>
    <row r="813" spans="1:14" x14ac:dyDescent="0.35">
      <c r="A813" s="156" t="s">
        <v>542</v>
      </c>
      <c r="B813" s="52">
        <v>43810</v>
      </c>
      <c r="C813" s="156" t="s">
        <v>531</v>
      </c>
      <c r="D813" s="156" t="s">
        <v>531</v>
      </c>
      <c r="E813">
        <v>1407519</v>
      </c>
      <c r="F813">
        <v>349393.0269</v>
      </c>
      <c r="G813">
        <v>248.22980000000001</v>
      </c>
      <c r="H813">
        <v>1.0016389999999999</v>
      </c>
      <c r="I813">
        <v>1</v>
      </c>
      <c r="J813" s="156">
        <v>1</v>
      </c>
      <c r="K813">
        <v>1</v>
      </c>
      <c r="L813">
        <v>1</v>
      </c>
      <c r="M813">
        <v>1</v>
      </c>
      <c r="N813">
        <v>1.0016389999999999</v>
      </c>
    </row>
    <row r="814" spans="1:14" x14ac:dyDescent="0.35">
      <c r="A814" s="156" t="s">
        <v>542</v>
      </c>
      <c r="B814" s="52">
        <v>43811</v>
      </c>
      <c r="C814" s="156" t="s">
        <v>531</v>
      </c>
      <c r="D814" s="156" t="s">
        <v>531</v>
      </c>
      <c r="E814">
        <v>1338450</v>
      </c>
      <c r="F814">
        <v>329353.93300000002</v>
      </c>
      <c r="G814">
        <v>246.09979999999999</v>
      </c>
      <c r="H814">
        <v>0.983711</v>
      </c>
      <c r="I814">
        <v>1</v>
      </c>
      <c r="J814" s="156">
        <v>1</v>
      </c>
      <c r="K814">
        <v>1</v>
      </c>
      <c r="L814">
        <v>1</v>
      </c>
      <c r="M814">
        <v>1</v>
      </c>
      <c r="N814">
        <v>0.983711</v>
      </c>
    </row>
    <row r="815" spans="1:14" x14ac:dyDescent="0.35">
      <c r="A815" s="156" t="s">
        <v>542</v>
      </c>
      <c r="B815" s="52">
        <v>43812</v>
      </c>
      <c r="C815" s="156" t="s">
        <v>531</v>
      </c>
      <c r="D815" s="156" t="s">
        <v>531</v>
      </c>
      <c r="E815">
        <v>1552791</v>
      </c>
      <c r="F815">
        <v>390896.81829999998</v>
      </c>
      <c r="G815">
        <v>251.83619999999999</v>
      </c>
      <c r="H815">
        <v>1.024554</v>
      </c>
      <c r="I815">
        <v>1</v>
      </c>
      <c r="J815" s="156">
        <v>1</v>
      </c>
      <c r="K815">
        <v>1</v>
      </c>
      <c r="L815">
        <v>1</v>
      </c>
      <c r="M815">
        <v>1</v>
      </c>
      <c r="N815">
        <v>1.024554</v>
      </c>
    </row>
    <row r="816" spans="1:14" x14ac:dyDescent="0.35">
      <c r="A816" s="156" t="s">
        <v>542</v>
      </c>
      <c r="B816" s="52">
        <v>43815</v>
      </c>
      <c r="C816" s="156" t="s">
        <v>531</v>
      </c>
      <c r="D816" s="156" t="s">
        <v>531</v>
      </c>
      <c r="E816">
        <v>1540099</v>
      </c>
      <c r="F816">
        <v>393019.83730000001</v>
      </c>
      <c r="G816">
        <v>255.1874</v>
      </c>
      <c r="H816">
        <v>1.005506</v>
      </c>
      <c r="I816">
        <v>1</v>
      </c>
      <c r="J816" s="156">
        <v>1</v>
      </c>
      <c r="K816">
        <v>1</v>
      </c>
      <c r="L816">
        <v>1</v>
      </c>
      <c r="M816">
        <v>1</v>
      </c>
      <c r="N816">
        <v>1.005506</v>
      </c>
    </row>
    <row r="817" spans="1:14" x14ac:dyDescent="0.35">
      <c r="A817" s="156" t="s">
        <v>542</v>
      </c>
      <c r="B817" s="52">
        <v>43816</v>
      </c>
      <c r="C817" s="156" t="s">
        <v>531</v>
      </c>
      <c r="D817" s="156" t="s">
        <v>531</v>
      </c>
      <c r="E817">
        <v>1104393</v>
      </c>
      <c r="F817">
        <v>276101.21500000003</v>
      </c>
      <c r="G817">
        <v>250.0163</v>
      </c>
      <c r="H817">
        <v>0.98499099999999995</v>
      </c>
      <c r="I817">
        <v>1</v>
      </c>
      <c r="J817" s="156">
        <v>1</v>
      </c>
      <c r="K817">
        <v>1</v>
      </c>
      <c r="L817">
        <v>1</v>
      </c>
      <c r="M817">
        <v>1</v>
      </c>
      <c r="N817">
        <v>0.98499099999999995</v>
      </c>
    </row>
    <row r="818" spans="1:14" x14ac:dyDescent="0.35">
      <c r="A818" s="156" t="s">
        <v>542</v>
      </c>
      <c r="B818" s="52">
        <v>43817</v>
      </c>
      <c r="C818" s="156" t="s">
        <v>531</v>
      </c>
      <c r="D818" s="156" t="s">
        <v>531</v>
      </c>
      <c r="E818">
        <v>1372976</v>
      </c>
      <c r="F818">
        <v>350637.71509999997</v>
      </c>
      <c r="G818">
        <v>255.3706</v>
      </c>
      <c r="H818">
        <v>1.012359</v>
      </c>
      <c r="I818">
        <v>1</v>
      </c>
      <c r="J818" s="156">
        <v>1</v>
      </c>
      <c r="K818">
        <v>1</v>
      </c>
      <c r="L818">
        <v>1</v>
      </c>
      <c r="M818">
        <v>1</v>
      </c>
      <c r="N818">
        <v>1.012359</v>
      </c>
    </row>
    <row r="819" spans="1:14" x14ac:dyDescent="0.35">
      <c r="A819" s="156" t="s">
        <v>542</v>
      </c>
      <c r="B819" s="52">
        <v>43818</v>
      </c>
      <c r="C819" s="156" t="s">
        <v>531</v>
      </c>
      <c r="D819" s="156" t="s">
        <v>531</v>
      </c>
      <c r="E819">
        <v>1562803</v>
      </c>
      <c r="F819">
        <v>409214.51880000002</v>
      </c>
      <c r="G819">
        <v>261.85399999999998</v>
      </c>
      <c r="H819">
        <v>1.037887</v>
      </c>
      <c r="I819">
        <v>1</v>
      </c>
      <c r="J819" s="156">
        <v>1</v>
      </c>
      <c r="K819">
        <v>1</v>
      </c>
      <c r="L819">
        <v>1</v>
      </c>
      <c r="M819">
        <v>1</v>
      </c>
      <c r="N819">
        <v>1.037887</v>
      </c>
    </row>
    <row r="820" spans="1:14" x14ac:dyDescent="0.35">
      <c r="A820" s="156" t="s">
        <v>542</v>
      </c>
      <c r="B820" s="52">
        <v>43819</v>
      </c>
      <c r="C820" s="156" t="s">
        <v>531</v>
      </c>
      <c r="D820" s="156" t="s">
        <v>531</v>
      </c>
      <c r="E820">
        <v>1191292</v>
      </c>
      <c r="F820">
        <v>312471.60239999997</v>
      </c>
      <c r="G820">
        <v>262.37110000000001</v>
      </c>
      <c r="H820">
        <v>1.003959</v>
      </c>
      <c r="I820">
        <v>1</v>
      </c>
      <c r="J820" s="156">
        <v>1</v>
      </c>
      <c r="K820">
        <v>1</v>
      </c>
      <c r="L820">
        <v>1</v>
      </c>
      <c r="M820">
        <v>1</v>
      </c>
      <c r="N820">
        <v>1.003959</v>
      </c>
    </row>
    <row r="821" spans="1:14" x14ac:dyDescent="0.35">
      <c r="A821" s="156" t="s">
        <v>542</v>
      </c>
      <c r="B821" s="52">
        <v>43822</v>
      </c>
      <c r="C821" s="156" t="s">
        <v>531</v>
      </c>
      <c r="D821" s="156" t="s">
        <v>531</v>
      </c>
      <c r="E821">
        <v>1947060</v>
      </c>
      <c r="F821">
        <v>525754.94700000004</v>
      </c>
      <c r="G821">
        <v>269.96420000000001</v>
      </c>
      <c r="H821">
        <v>1.018578</v>
      </c>
      <c r="I821">
        <v>1</v>
      </c>
      <c r="J821" s="156">
        <v>1</v>
      </c>
      <c r="K821">
        <v>1</v>
      </c>
      <c r="L821">
        <v>1</v>
      </c>
      <c r="M821">
        <v>1</v>
      </c>
      <c r="N821">
        <v>1.018578</v>
      </c>
    </row>
    <row r="822" spans="1:14" x14ac:dyDescent="0.35">
      <c r="A822" s="156" t="s">
        <v>542</v>
      </c>
      <c r="B822" s="52">
        <v>43823</v>
      </c>
      <c r="C822" s="156" t="s">
        <v>531</v>
      </c>
      <c r="D822" s="156" t="s">
        <v>531</v>
      </c>
      <c r="E822">
        <v>619991</v>
      </c>
      <c r="F822">
        <v>165823.03709999999</v>
      </c>
      <c r="G822">
        <v>267.46429999999998</v>
      </c>
      <c r="H822">
        <v>0.99758100000000005</v>
      </c>
      <c r="I822">
        <v>1</v>
      </c>
      <c r="J822" s="156">
        <v>1</v>
      </c>
      <c r="K822">
        <v>1</v>
      </c>
      <c r="L822">
        <v>1</v>
      </c>
      <c r="M822">
        <v>1</v>
      </c>
      <c r="N822">
        <v>0.99758100000000005</v>
      </c>
    </row>
    <row r="823" spans="1:14" x14ac:dyDescent="0.35">
      <c r="A823" s="156" t="s">
        <v>542</v>
      </c>
      <c r="B823" s="52">
        <v>43825</v>
      </c>
      <c r="C823" s="156" t="s">
        <v>531</v>
      </c>
      <c r="D823" s="156" t="s">
        <v>531</v>
      </c>
      <c r="E823">
        <v>2056344</v>
      </c>
      <c r="F823">
        <v>566432.08259999997</v>
      </c>
      <c r="G823">
        <v>275.50139999999999</v>
      </c>
      <c r="H823">
        <v>1.0205599999999999</v>
      </c>
      <c r="I823">
        <v>1</v>
      </c>
      <c r="J823" s="156">
        <v>1</v>
      </c>
      <c r="K823">
        <v>1</v>
      </c>
      <c r="L823">
        <v>1</v>
      </c>
      <c r="M823">
        <v>1</v>
      </c>
      <c r="N823">
        <v>1.0205599999999999</v>
      </c>
    </row>
    <row r="824" spans="1:14" x14ac:dyDescent="0.35">
      <c r="A824" s="156" t="s">
        <v>542</v>
      </c>
      <c r="B824" s="52">
        <v>43826</v>
      </c>
      <c r="C824" s="156" t="s">
        <v>531</v>
      </c>
      <c r="D824" s="156" t="s">
        <v>531</v>
      </c>
      <c r="E824">
        <v>1114855</v>
      </c>
      <c r="F824">
        <v>305013.14289999998</v>
      </c>
      <c r="G824">
        <v>273.62470000000002</v>
      </c>
      <c r="H824">
        <v>0.99575899999999995</v>
      </c>
      <c r="I824">
        <v>1</v>
      </c>
      <c r="J824" s="156">
        <v>1</v>
      </c>
      <c r="K824">
        <v>1</v>
      </c>
      <c r="L824">
        <v>1</v>
      </c>
      <c r="M824">
        <v>1</v>
      </c>
      <c r="N824">
        <v>0.99575899999999995</v>
      </c>
    </row>
    <row r="825" spans="1:14" x14ac:dyDescent="0.35">
      <c r="A825" s="156" t="s">
        <v>542</v>
      </c>
      <c r="B825" s="52">
        <v>43829</v>
      </c>
      <c r="C825" s="156" t="s">
        <v>531</v>
      </c>
      <c r="D825" s="156" t="s">
        <v>531</v>
      </c>
      <c r="E825">
        <v>2887675</v>
      </c>
      <c r="F825">
        <v>740654.33620000002</v>
      </c>
      <c r="G825">
        <v>256.4128</v>
      </c>
      <c r="H825">
        <v>0.92792399999999997</v>
      </c>
      <c r="I825">
        <v>1</v>
      </c>
      <c r="J825" s="156">
        <v>1</v>
      </c>
      <c r="K825">
        <v>1</v>
      </c>
      <c r="L825">
        <v>1</v>
      </c>
      <c r="M825">
        <v>1</v>
      </c>
      <c r="N825">
        <v>0.92792399999999997</v>
      </c>
    </row>
    <row r="826" spans="1:14" x14ac:dyDescent="0.35">
      <c r="A826" s="156" t="s">
        <v>542</v>
      </c>
      <c r="B826" s="52">
        <v>43830</v>
      </c>
      <c r="C826" s="156" t="s">
        <v>531</v>
      </c>
      <c r="D826" s="156" t="s">
        <v>531</v>
      </c>
      <c r="E826">
        <v>1965270</v>
      </c>
      <c r="F826">
        <v>503996.56099999999</v>
      </c>
      <c r="G826">
        <v>256.55520000000001</v>
      </c>
      <c r="H826">
        <v>1.027936</v>
      </c>
      <c r="I826">
        <v>1</v>
      </c>
      <c r="J826" s="156">
        <v>1</v>
      </c>
      <c r="K826">
        <v>1</v>
      </c>
      <c r="L826">
        <v>1</v>
      </c>
      <c r="M826">
        <v>1</v>
      </c>
      <c r="N826">
        <v>1.027936</v>
      </c>
    </row>
    <row r="827" spans="1:14" x14ac:dyDescent="0.35">
      <c r="A827" s="156" t="s">
        <v>542</v>
      </c>
      <c r="B827" s="52">
        <v>43832</v>
      </c>
      <c r="C827" s="156" t="s">
        <v>531</v>
      </c>
      <c r="D827" s="156" t="s">
        <v>531</v>
      </c>
      <c r="E827">
        <v>2220598</v>
      </c>
      <c r="F827">
        <v>595310.52729999996</v>
      </c>
      <c r="G827">
        <v>268.10239999999999</v>
      </c>
      <c r="H827">
        <v>1.044923</v>
      </c>
      <c r="I827">
        <v>1</v>
      </c>
      <c r="J827" s="156">
        <v>1</v>
      </c>
      <c r="K827">
        <v>1</v>
      </c>
      <c r="L827">
        <v>1</v>
      </c>
      <c r="M827">
        <v>1</v>
      </c>
      <c r="N827">
        <v>1.044923</v>
      </c>
    </row>
    <row r="828" spans="1:14" x14ac:dyDescent="0.35">
      <c r="A828" s="156" t="s">
        <v>542</v>
      </c>
      <c r="B828" s="52">
        <v>43833</v>
      </c>
      <c r="C828" s="156" t="s">
        <v>531</v>
      </c>
      <c r="D828" s="156" t="s">
        <v>531</v>
      </c>
      <c r="E828">
        <v>1374846</v>
      </c>
      <c r="F828">
        <v>371710.43709999998</v>
      </c>
      <c r="G828">
        <v>270.37900000000002</v>
      </c>
      <c r="H828">
        <v>1.001695</v>
      </c>
      <c r="I828">
        <v>1</v>
      </c>
      <c r="J828" s="156">
        <v>1</v>
      </c>
      <c r="K828">
        <v>1</v>
      </c>
      <c r="L828">
        <v>1</v>
      </c>
      <c r="M828">
        <v>1</v>
      </c>
      <c r="N828">
        <v>1.001695</v>
      </c>
    </row>
    <row r="829" spans="1:14" x14ac:dyDescent="0.35">
      <c r="A829" s="156" t="s">
        <v>542</v>
      </c>
      <c r="B829" s="52">
        <v>43836</v>
      </c>
      <c r="C829" s="156" t="s">
        <v>531</v>
      </c>
      <c r="D829" s="156" t="s">
        <v>531</v>
      </c>
      <c r="E829">
        <v>1829815</v>
      </c>
      <c r="F829">
        <v>506013.77360000001</v>
      </c>
      <c r="G829">
        <v>276.50040000000001</v>
      </c>
      <c r="H829">
        <v>1.0220659999999999</v>
      </c>
      <c r="I829">
        <v>1</v>
      </c>
      <c r="J829" s="156">
        <v>1</v>
      </c>
      <c r="K829">
        <v>1</v>
      </c>
      <c r="L829">
        <v>1</v>
      </c>
      <c r="M829">
        <v>1</v>
      </c>
      <c r="N829">
        <v>1.0220659999999999</v>
      </c>
    </row>
    <row r="830" spans="1:14" x14ac:dyDescent="0.35">
      <c r="A830" s="156" t="s">
        <v>542</v>
      </c>
      <c r="B830" s="52">
        <v>43837</v>
      </c>
      <c r="C830" s="156" t="s">
        <v>531</v>
      </c>
      <c r="D830" s="156" t="s">
        <v>531</v>
      </c>
      <c r="E830">
        <v>2219392</v>
      </c>
      <c r="F830">
        <v>620902.08730000001</v>
      </c>
      <c r="G830">
        <v>279.80759999999998</v>
      </c>
      <c r="H830">
        <v>1.0085280000000001</v>
      </c>
      <c r="I830">
        <v>1</v>
      </c>
      <c r="J830" s="156">
        <v>1</v>
      </c>
      <c r="K830">
        <v>1</v>
      </c>
      <c r="L830">
        <v>1</v>
      </c>
      <c r="M830">
        <v>1</v>
      </c>
      <c r="N830">
        <v>1.0085280000000001</v>
      </c>
    </row>
    <row r="831" spans="1:14" x14ac:dyDescent="0.35">
      <c r="A831" s="156" t="s">
        <v>542</v>
      </c>
      <c r="B831" s="52">
        <v>43838</v>
      </c>
      <c r="C831" s="156" t="s">
        <v>531</v>
      </c>
      <c r="D831" s="156" t="s">
        <v>531</v>
      </c>
      <c r="E831">
        <v>2052514</v>
      </c>
      <c r="F831">
        <v>587354.8138</v>
      </c>
      <c r="G831">
        <v>286.17009999999999</v>
      </c>
      <c r="H831">
        <v>1.0175540000000001</v>
      </c>
      <c r="I831">
        <v>1</v>
      </c>
      <c r="J831" s="156">
        <v>1</v>
      </c>
      <c r="K831">
        <v>1</v>
      </c>
      <c r="L831">
        <v>1</v>
      </c>
      <c r="M831">
        <v>1</v>
      </c>
      <c r="N831">
        <v>1.0175540000000001</v>
      </c>
    </row>
    <row r="832" spans="1:14" x14ac:dyDescent="0.35">
      <c r="A832" s="156" t="s">
        <v>542</v>
      </c>
      <c r="B832" s="52">
        <v>43839</v>
      </c>
      <c r="C832" s="156" t="s">
        <v>531</v>
      </c>
      <c r="D832" s="156" t="s">
        <v>531</v>
      </c>
      <c r="E832">
        <v>2068034</v>
      </c>
      <c r="F832">
        <v>593862.62</v>
      </c>
      <c r="G832">
        <v>287.24639999999999</v>
      </c>
      <c r="H832">
        <v>1.0050490000000001</v>
      </c>
      <c r="I832">
        <v>1</v>
      </c>
      <c r="J832" s="156">
        <v>1</v>
      </c>
      <c r="K832">
        <v>1</v>
      </c>
      <c r="L832">
        <v>1</v>
      </c>
      <c r="M832">
        <v>1</v>
      </c>
      <c r="N832">
        <v>1.0050490000000001</v>
      </c>
    </row>
    <row r="833" spans="1:14" x14ac:dyDescent="0.35">
      <c r="A833" s="156" t="s">
        <v>542</v>
      </c>
      <c r="B833" s="52">
        <v>43840</v>
      </c>
      <c r="C833" s="156" t="s">
        <v>531</v>
      </c>
      <c r="D833" s="156" t="s">
        <v>531</v>
      </c>
      <c r="E833">
        <v>1963682</v>
      </c>
      <c r="F833">
        <v>549481.59100000001</v>
      </c>
      <c r="G833">
        <v>279.84570000000002</v>
      </c>
      <c r="H833">
        <v>0.96901999999999999</v>
      </c>
      <c r="I833">
        <v>1</v>
      </c>
      <c r="J833" s="156">
        <v>1</v>
      </c>
      <c r="K833">
        <v>1</v>
      </c>
      <c r="L833">
        <v>1</v>
      </c>
      <c r="M833">
        <v>1</v>
      </c>
      <c r="N833">
        <v>0.96901999999999999</v>
      </c>
    </row>
    <row r="834" spans="1:14" x14ac:dyDescent="0.35">
      <c r="A834" s="156" t="s">
        <v>542</v>
      </c>
      <c r="B834" s="52">
        <v>43843</v>
      </c>
      <c r="C834" s="156" t="s">
        <v>531</v>
      </c>
      <c r="D834" s="156" t="s">
        <v>531</v>
      </c>
      <c r="E834">
        <v>2305591</v>
      </c>
      <c r="F834">
        <v>666033.6091</v>
      </c>
      <c r="G834">
        <v>288.79969999999997</v>
      </c>
      <c r="H834">
        <v>1.0374779999999999</v>
      </c>
      <c r="I834">
        <v>1</v>
      </c>
      <c r="J834" s="156">
        <v>1</v>
      </c>
      <c r="K834">
        <v>1</v>
      </c>
      <c r="L834">
        <v>1</v>
      </c>
      <c r="M834">
        <v>1</v>
      </c>
      <c r="N834">
        <v>1.0374779999999999</v>
      </c>
    </row>
    <row r="835" spans="1:14" x14ac:dyDescent="0.35">
      <c r="A835" s="156" t="s">
        <v>542</v>
      </c>
      <c r="B835" s="52">
        <v>43844</v>
      </c>
      <c r="C835" s="156" t="s">
        <v>531</v>
      </c>
      <c r="D835" s="156" t="s">
        <v>531</v>
      </c>
      <c r="E835">
        <v>1866295</v>
      </c>
      <c r="F835">
        <v>531551.42830000003</v>
      </c>
      <c r="G835">
        <v>284.83629999999999</v>
      </c>
      <c r="H835">
        <v>0.98608499999999999</v>
      </c>
      <c r="I835">
        <v>1</v>
      </c>
      <c r="J835" s="156">
        <v>1</v>
      </c>
      <c r="K835">
        <v>1</v>
      </c>
      <c r="L835">
        <v>1</v>
      </c>
      <c r="M835">
        <v>1</v>
      </c>
      <c r="N835">
        <v>0.98608499999999999</v>
      </c>
    </row>
    <row r="836" spans="1:14" x14ac:dyDescent="0.35">
      <c r="A836" s="156" t="s">
        <v>542</v>
      </c>
      <c r="B836" s="52">
        <v>43845</v>
      </c>
      <c r="C836" s="156" t="s">
        <v>531</v>
      </c>
      <c r="D836" s="156" t="s">
        <v>531</v>
      </c>
      <c r="E836">
        <v>1469252</v>
      </c>
      <c r="F836">
        <v>420447.52069999999</v>
      </c>
      <c r="G836">
        <v>286.17129999999997</v>
      </c>
      <c r="H836">
        <v>1.0022519999999999</v>
      </c>
      <c r="I836">
        <v>1</v>
      </c>
      <c r="J836" s="156">
        <v>1</v>
      </c>
      <c r="K836">
        <v>1</v>
      </c>
      <c r="L836">
        <v>1</v>
      </c>
      <c r="M836">
        <v>1</v>
      </c>
      <c r="N836">
        <v>1.0022519999999999</v>
      </c>
    </row>
    <row r="837" spans="1:14" x14ac:dyDescent="0.35">
      <c r="A837" s="156" t="s">
        <v>542</v>
      </c>
      <c r="B837" s="52">
        <v>43846</v>
      </c>
      <c r="C837" s="156" t="s">
        <v>531</v>
      </c>
      <c r="D837" s="156" t="s">
        <v>531</v>
      </c>
      <c r="E837">
        <v>1508879</v>
      </c>
      <c r="F837">
        <v>426246.38929999998</v>
      </c>
      <c r="G837">
        <v>282.50490000000002</v>
      </c>
      <c r="H837">
        <v>0.98665700000000001</v>
      </c>
      <c r="I837">
        <v>1</v>
      </c>
      <c r="J837" s="156">
        <v>1</v>
      </c>
      <c r="K837">
        <v>1</v>
      </c>
      <c r="L837">
        <v>1</v>
      </c>
      <c r="M837">
        <v>1</v>
      </c>
      <c r="N837">
        <v>0.98665700000000001</v>
      </c>
    </row>
    <row r="838" spans="1:14" x14ac:dyDescent="0.35">
      <c r="A838" s="156" t="s">
        <v>542</v>
      </c>
      <c r="B838" s="52">
        <v>43847</v>
      </c>
      <c r="C838" s="156" t="s">
        <v>531</v>
      </c>
      <c r="D838" s="156" t="s">
        <v>531</v>
      </c>
      <c r="E838">
        <v>1873121</v>
      </c>
      <c r="F838">
        <v>525968.21089999995</v>
      </c>
      <c r="G838">
        <v>280.74630000000002</v>
      </c>
      <c r="H838">
        <v>0.99982199999999999</v>
      </c>
      <c r="I838">
        <v>1</v>
      </c>
      <c r="J838" s="156">
        <v>1</v>
      </c>
      <c r="K838">
        <v>1</v>
      </c>
      <c r="L838">
        <v>1</v>
      </c>
      <c r="M838">
        <v>1</v>
      </c>
      <c r="N838">
        <v>0.99982199999999999</v>
      </c>
    </row>
    <row r="839" spans="1:14" x14ac:dyDescent="0.35">
      <c r="A839" s="156" t="s">
        <v>542</v>
      </c>
      <c r="B839" s="52">
        <v>43851</v>
      </c>
      <c r="C839" s="156" t="s">
        <v>531</v>
      </c>
      <c r="D839" s="156" t="s">
        <v>531</v>
      </c>
      <c r="E839">
        <v>1568998</v>
      </c>
      <c r="F839">
        <v>443518.31929999997</v>
      </c>
      <c r="G839">
        <v>282.70929999999998</v>
      </c>
      <c r="H839">
        <v>0.99668999999999996</v>
      </c>
      <c r="I839">
        <v>1</v>
      </c>
      <c r="J839" s="156">
        <v>1</v>
      </c>
      <c r="K839">
        <v>1</v>
      </c>
      <c r="L839">
        <v>1</v>
      </c>
      <c r="M839">
        <v>1</v>
      </c>
      <c r="N839">
        <v>0.99668999999999996</v>
      </c>
    </row>
    <row r="840" spans="1:14" x14ac:dyDescent="0.35">
      <c r="A840" s="156" t="s">
        <v>542</v>
      </c>
      <c r="B840" s="52">
        <v>43852</v>
      </c>
      <c r="C840" s="156" t="s">
        <v>531</v>
      </c>
      <c r="D840" s="156" t="s">
        <v>531</v>
      </c>
      <c r="E840">
        <v>1267916</v>
      </c>
      <c r="F840">
        <v>359778.49479999999</v>
      </c>
      <c r="G840">
        <v>283.78190000000001</v>
      </c>
      <c r="H840">
        <v>1.006678</v>
      </c>
      <c r="I840">
        <v>1</v>
      </c>
      <c r="J840" s="156">
        <v>1</v>
      </c>
      <c r="K840">
        <v>1</v>
      </c>
      <c r="L840">
        <v>1</v>
      </c>
      <c r="M840">
        <v>1</v>
      </c>
      <c r="N840">
        <v>1.006678</v>
      </c>
    </row>
    <row r="841" spans="1:14" x14ac:dyDescent="0.35">
      <c r="A841" s="156" t="s">
        <v>542</v>
      </c>
      <c r="B841" s="52">
        <v>43853</v>
      </c>
      <c r="C841" s="156" t="s">
        <v>531</v>
      </c>
      <c r="D841" s="156" t="s">
        <v>531</v>
      </c>
      <c r="E841">
        <v>1077200</v>
      </c>
      <c r="F841">
        <v>299973.99310000002</v>
      </c>
      <c r="G841">
        <v>278.4418</v>
      </c>
      <c r="H841">
        <v>0.99467899999999998</v>
      </c>
      <c r="I841">
        <v>1</v>
      </c>
      <c r="J841" s="156">
        <v>1</v>
      </c>
      <c r="K841">
        <v>1</v>
      </c>
      <c r="L841">
        <v>1</v>
      </c>
      <c r="M841">
        <v>1</v>
      </c>
      <c r="N841">
        <v>0.99467899999999998</v>
      </c>
    </row>
    <row r="842" spans="1:14" x14ac:dyDescent="0.35">
      <c r="A842" s="156" t="s">
        <v>542</v>
      </c>
      <c r="B842" s="52">
        <v>43854</v>
      </c>
      <c r="C842" s="156" t="s">
        <v>531</v>
      </c>
      <c r="D842" s="156" t="s">
        <v>531</v>
      </c>
      <c r="E842">
        <v>1392511</v>
      </c>
      <c r="F842">
        <v>392981.60989999998</v>
      </c>
      <c r="G842">
        <v>282.25970000000001</v>
      </c>
      <c r="H842">
        <v>0.99921499999999996</v>
      </c>
      <c r="I842">
        <v>1</v>
      </c>
      <c r="J842" s="156">
        <v>1</v>
      </c>
      <c r="K842">
        <v>1</v>
      </c>
      <c r="L842">
        <v>1</v>
      </c>
      <c r="M842">
        <v>1</v>
      </c>
      <c r="N842">
        <v>0.99921499999999996</v>
      </c>
    </row>
    <row r="843" spans="1:14" x14ac:dyDescent="0.35">
      <c r="A843" s="156" t="s">
        <v>542</v>
      </c>
      <c r="B843" s="52">
        <v>43857</v>
      </c>
      <c r="C843" s="156" t="s">
        <v>531</v>
      </c>
      <c r="D843" s="156" t="s">
        <v>531</v>
      </c>
      <c r="E843">
        <v>2374503</v>
      </c>
      <c r="F843">
        <v>650499.26009999996</v>
      </c>
      <c r="G843">
        <v>274.01479999999998</v>
      </c>
      <c r="H843">
        <v>0.97522900000000001</v>
      </c>
      <c r="I843">
        <v>1</v>
      </c>
      <c r="J843" s="156">
        <v>1</v>
      </c>
      <c r="K843">
        <v>1</v>
      </c>
      <c r="L843">
        <v>1</v>
      </c>
      <c r="M843">
        <v>1</v>
      </c>
      <c r="N843">
        <v>0.97522900000000001</v>
      </c>
    </row>
    <row r="844" spans="1:14" x14ac:dyDescent="0.35">
      <c r="A844" s="156" t="s">
        <v>542</v>
      </c>
      <c r="B844" s="52">
        <v>43858</v>
      </c>
      <c r="C844" s="156" t="s">
        <v>531</v>
      </c>
      <c r="D844" s="156" t="s">
        <v>531</v>
      </c>
      <c r="E844">
        <v>2185095</v>
      </c>
      <c r="F844">
        <v>611503.81940000004</v>
      </c>
      <c r="G844">
        <v>279.81490000000002</v>
      </c>
      <c r="H844">
        <v>1.0313289999999999</v>
      </c>
      <c r="I844">
        <v>1</v>
      </c>
      <c r="J844" s="156">
        <v>1</v>
      </c>
      <c r="K844">
        <v>1</v>
      </c>
      <c r="L844">
        <v>1</v>
      </c>
      <c r="M844">
        <v>1</v>
      </c>
      <c r="N844">
        <v>1.0313289999999999</v>
      </c>
    </row>
    <row r="845" spans="1:14" x14ac:dyDescent="0.35">
      <c r="A845" s="156" t="s">
        <v>542</v>
      </c>
      <c r="B845" s="52">
        <v>43859</v>
      </c>
      <c r="C845" s="156" t="s">
        <v>531</v>
      </c>
      <c r="D845" s="156" t="s">
        <v>531</v>
      </c>
      <c r="E845">
        <v>1228010</v>
      </c>
      <c r="F845">
        <v>346353.31270000001</v>
      </c>
      <c r="G845">
        <v>282.03050000000002</v>
      </c>
      <c r="H845">
        <v>0.99730300000000005</v>
      </c>
      <c r="I845">
        <v>1</v>
      </c>
      <c r="J845" s="156">
        <v>1</v>
      </c>
      <c r="K845">
        <v>1</v>
      </c>
      <c r="L845">
        <v>1</v>
      </c>
      <c r="M845">
        <v>1</v>
      </c>
      <c r="N845">
        <v>0.99730300000000005</v>
      </c>
    </row>
    <row r="846" spans="1:14" x14ac:dyDescent="0.35">
      <c r="A846" s="156" t="s">
        <v>542</v>
      </c>
      <c r="B846" s="52">
        <v>43860</v>
      </c>
      <c r="C846" s="156" t="s">
        <v>531</v>
      </c>
      <c r="D846" s="156" t="s">
        <v>531</v>
      </c>
      <c r="E846">
        <v>1485137</v>
      </c>
      <c r="F846">
        <v>409946.47159999999</v>
      </c>
      <c r="G846">
        <v>276.06259999999997</v>
      </c>
      <c r="H846">
        <v>0.98793699999999995</v>
      </c>
      <c r="I846">
        <v>1</v>
      </c>
      <c r="J846" s="156">
        <v>1</v>
      </c>
      <c r="K846">
        <v>1</v>
      </c>
      <c r="L846">
        <v>1</v>
      </c>
      <c r="M846">
        <v>1</v>
      </c>
      <c r="N846">
        <v>0.98793699999999995</v>
      </c>
    </row>
    <row r="847" spans="1:14" x14ac:dyDescent="0.35">
      <c r="A847" s="156" t="s">
        <v>542</v>
      </c>
      <c r="B847" s="52">
        <v>43861</v>
      </c>
      <c r="C847" s="156" t="s">
        <v>531</v>
      </c>
      <c r="D847" s="156" t="s">
        <v>531</v>
      </c>
      <c r="E847">
        <v>1575127</v>
      </c>
      <c r="F847">
        <v>426181.9559</v>
      </c>
      <c r="G847">
        <v>270.51100000000002</v>
      </c>
      <c r="H847">
        <v>0.96952899999999997</v>
      </c>
      <c r="I847">
        <v>1</v>
      </c>
      <c r="J847" s="156">
        <v>1</v>
      </c>
      <c r="K847">
        <v>1</v>
      </c>
      <c r="L847">
        <v>1</v>
      </c>
      <c r="M847">
        <v>1</v>
      </c>
      <c r="N847">
        <v>0.96952899999999997</v>
      </c>
    </row>
    <row r="848" spans="1:14" x14ac:dyDescent="0.35">
      <c r="A848" s="156" t="s">
        <v>542</v>
      </c>
      <c r="B848" s="52">
        <v>43864</v>
      </c>
      <c r="C848" s="156" t="s">
        <v>531</v>
      </c>
      <c r="D848" s="156" t="s">
        <v>531</v>
      </c>
      <c r="E848">
        <v>1788487</v>
      </c>
      <c r="F848">
        <v>482918.48</v>
      </c>
      <c r="G848">
        <v>269.89999999999998</v>
      </c>
      <c r="H848">
        <v>1.017981</v>
      </c>
      <c r="I848">
        <v>1</v>
      </c>
      <c r="J848" s="156">
        <v>1</v>
      </c>
      <c r="K848">
        <v>1</v>
      </c>
      <c r="L848">
        <v>1</v>
      </c>
      <c r="M848">
        <v>1</v>
      </c>
      <c r="N848">
        <v>1.017981</v>
      </c>
    </row>
    <row r="849" spans="1:14" x14ac:dyDescent="0.35">
      <c r="A849" s="156" t="s">
        <v>542</v>
      </c>
      <c r="B849" s="52">
        <v>43865</v>
      </c>
      <c r="C849" s="156" t="s">
        <v>531</v>
      </c>
      <c r="D849" s="156" t="s">
        <v>531</v>
      </c>
      <c r="E849">
        <v>2593792</v>
      </c>
      <c r="F849">
        <v>768329.71849999996</v>
      </c>
      <c r="G849">
        <v>296.37290000000002</v>
      </c>
      <c r="H849">
        <v>1.106233</v>
      </c>
      <c r="I849">
        <v>1</v>
      </c>
      <c r="J849" s="156">
        <v>1</v>
      </c>
      <c r="K849">
        <v>1</v>
      </c>
      <c r="L849">
        <v>1</v>
      </c>
      <c r="M849">
        <v>1</v>
      </c>
      <c r="N849">
        <v>1.106233</v>
      </c>
    </row>
    <row r="850" spans="1:14" x14ac:dyDescent="0.35">
      <c r="A850" s="156" t="s">
        <v>542</v>
      </c>
      <c r="B850" s="52">
        <v>43866</v>
      </c>
      <c r="C850" s="156" t="s">
        <v>531</v>
      </c>
      <c r="D850" s="156" t="s">
        <v>531</v>
      </c>
      <c r="E850">
        <v>2837693</v>
      </c>
      <c r="F850">
        <v>830896.09239999996</v>
      </c>
      <c r="G850">
        <v>293.02629999999999</v>
      </c>
      <c r="H850">
        <v>0.94850400000000001</v>
      </c>
      <c r="I850">
        <v>1</v>
      </c>
      <c r="J850" s="156">
        <v>1</v>
      </c>
      <c r="K850">
        <v>1</v>
      </c>
      <c r="L850">
        <v>1</v>
      </c>
      <c r="M850">
        <v>1</v>
      </c>
      <c r="N850">
        <v>0.94850400000000001</v>
      </c>
    </row>
    <row r="851" spans="1:14" x14ac:dyDescent="0.35">
      <c r="A851" s="156" t="s">
        <v>542</v>
      </c>
      <c r="B851" s="52">
        <v>43867</v>
      </c>
      <c r="C851" s="156" t="s">
        <v>531</v>
      </c>
      <c r="D851" s="156" t="s">
        <v>531</v>
      </c>
      <c r="E851">
        <v>1421626</v>
      </c>
      <c r="F851">
        <v>413957.75919999997</v>
      </c>
      <c r="G851">
        <v>291.19200000000001</v>
      </c>
      <c r="H851">
        <v>1.0041389999999999</v>
      </c>
      <c r="I851">
        <v>1</v>
      </c>
      <c r="J851" s="156">
        <v>1</v>
      </c>
      <c r="K851">
        <v>1</v>
      </c>
      <c r="L851">
        <v>1</v>
      </c>
      <c r="M851">
        <v>1</v>
      </c>
      <c r="N851">
        <v>1.0041389999999999</v>
      </c>
    </row>
    <row r="852" spans="1:14" x14ac:dyDescent="0.35">
      <c r="A852" s="156" t="s">
        <v>542</v>
      </c>
      <c r="B852" s="52">
        <v>43868</v>
      </c>
      <c r="C852" s="156" t="s">
        <v>531</v>
      </c>
      <c r="D852" s="156" t="s">
        <v>531</v>
      </c>
      <c r="E852">
        <v>1581076</v>
      </c>
      <c r="F852">
        <v>463060.55119999999</v>
      </c>
      <c r="G852">
        <v>292.84280000000001</v>
      </c>
      <c r="H852">
        <v>1.0090749999999999</v>
      </c>
      <c r="I852">
        <v>1</v>
      </c>
      <c r="J852" s="156">
        <v>1</v>
      </c>
      <c r="K852">
        <v>1</v>
      </c>
      <c r="L852">
        <v>1</v>
      </c>
      <c r="M852">
        <v>1</v>
      </c>
      <c r="N852">
        <v>1.0090749999999999</v>
      </c>
    </row>
    <row r="853" spans="1:14" x14ac:dyDescent="0.35">
      <c r="A853" s="156" t="s">
        <v>542</v>
      </c>
      <c r="B853" s="52">
        <v>43871</v>
      </c>
      <c r="C853" s="156" t="s">
        <v>531</v>
      </c>
      <c r="D853" s="156" t="s">
        <v>531</v>
      </c>
      <c r="E853">
        <v>997018</v>
      </c>
      <c r="F853">
        <v>294982.82429999998</v>
      </c>
      <c r="G853">
        <v>295.84649999999999</v>
      </c>
      <c r="H853">
        <v>1.0232730000000001</v>
      </c>
      <c r="I853">
        <v>1</v>
      </c>
      <c r="J853" s="156">
        <v>1</v>
      </c>
      <c r="K853">
        <v>1</v>
      </c>
      <c r="L853">
        <v>1</v>
      </c>
      <c r="M853">
        <v>1</v>
      </c>
      <c r="N853">
        <v>1.0232730000000001</v>
      </c>
    </row>
    <row r="854" spans="1:14" x14ac:dyDescent="0.35">
      <c r="A854" s="156" t="s">
        <v>542</v>
      </c>
      <c r="B854" s="52">
        <v>43872</v>
      </c>
      <c r="C854" s="156" t="s">
        <v>531</v>
      </c>
      <c r="D854" s="156" t="s">
        <v>531</v>
      </c>
      <c r="E854">
        <v>2021826</v>
      </c>
      <c r="F854">
        <v>603681.78650000005</v>
      </c>
      <c r="G854">
        <v>298.6884</v>
      </c>
      <c r="H854">
        <v>0.99426400000000004</v>
      </c>
      <c r="I854">
        <v>1</v>
      </c>
      <c r="J854" s="156">
        <v>1</v>
      </c>
      <c r="K854">
        <v>1</v>
      </c>
      <c r="L854">
        <v>1</v>
      </c>
      <c r="M854">
        <v>1</v>
      </c>
      <c r="N854">
        <v>0.99426400000000004</v>
      </c>
    </row>
    <row r="855" spans="1:14" x14ac:dyDescent="0.35">
      <c r="A855" s="156" t="s">
        <v>542</v>
      </c>
      <c r="B855" s="52">
        <v>43873</v>
      </c>
      <c r="C855" s="156" t="s">
        <v>531</v>
      </c>
      <c r="D855" s="156" t="s">
        <v>531</v>
      </c>
      <c r="E855">
        <v>1919714</v>
      </c>
      <c r="F855">
        <v>581189.4534</v>
      </c>
      <c r="G855">
        <v>302.73439999999999</v>
      </c>
      <c r="H855">
        <v>1.0283059999999999</v>
      </c>
      <c r="I855">
        <v>1</v>
      </c>
      <c r="J855" s="156">
        <v>1</v>
      </c>
      <c r="K855">
        <v>1</v>
      </c>
      <c r="L855">
        <v>1</v>
      </c>
      <c r="M855">
        <v>1</v>
      </c>
      <c r="N855">
        <v>1.0283059999999999</v>
      </c>
    </row>
    <row r="856" spans="1:14" x14ac:dyDescent="0.35">
      <c r="A856" s="156" t="s">
        <v>542</v>
      </c>
      <c r="B856" s="52">
        <v>43874</v>
      </c>
      <c r="C856" s="156" t="s">
        <v>531</v>
      </c>
      <c r="D856" s="156" t="s">
        <v>531</v>
      </c>
      <c r="E856">
        <v>795578</v>
      </c>
      <c r="F856">
        <v>242929.67869999999</v>
      </c>
      <c r="G856">
        <v>305.30700000000002</v>
      </c>
      <c r="H856">
        <v>1.0058400000000001</v>
      </c>
      <c r="I856">
        <v>1</v>
      </c>
      <c r="J856" s="156">
        <v>1</v>
      </c>
      <c r="K856">
        <v>1</v>
      </c>
      <c r="L856">
        <v>1</v>
      </c>
      <c r="M856">
        <v>1</v>
      </c>
      <c r="N856">
        <v>1.0058400000000001</v>
      </c>
    </row>
    <row r="857" spans="1:14" x14ac:dyDescent="0.35">
      <c r="A857" s="156" t="s">
        <v>542</v>
      </c>
      <c r="B857" s="52">
        <v>43875</v>
      </c>
      <c r="C857" s="156" t="s">
        <v>531</v>
      </c>
      <c r="D857" s="156" t="s">
        <v>531</v>
      </c>
      <c r="E857">
        <v>1204426</v>
      </c>
      <c r="F857">
        <v>371590.87300000002</v>
      </c>
      <c r="G857">
        <v>308.55810000000002</v>
      </c>
      <c r="H857">
        <v>0.99585699999999999</v>
      </c>
      <c r="I857">
        <v>1</v>
      </c>
      <c r="J857" s="156">
        <v>1</v>
      </c>
      <c r="K857">
        <v>1</v>
      </c>
      <c r="L857">
        <v>1</v>
      </c>
      <c r="M857">
        <v>1</v>
      </c>
      <c r="N857">
        <v>0.99585699999999999</v>
      </c>
    </row>
    <row r="858" spans="1:14" x14ac:dyDescent="0.35">
      <c r="A858" s="156" t="s">
        <v>542</v>
      </c>
      <c r="B858" s="52">
        <v>43879</v>
      </c>
      <c r="C858" s="156" t="s">
        <v>531</v>
      </c>
      <c r="D858" s="156" t="s">
        <v>531</v>
      </c>
      <c r="E858">
        <v>1164150</v>
      </c>
      <c r="F858">
        <v>358656.83029999997</v>
      </c>
      <c r="G858">
        <v>308.08890000000002</v>
      </c>
      <c r="H858">
        <v>1.0102850000000001</v>
      </c>
      <c r="I858">
        <v>1</v>
      </c>
      <c r="J858" s="156">
        <v>1</v>
      </c>
      <c r="K858">
        <v>1</v>
      </c>
      <c r="L858">
        <v>1</v>
      </c>
      <c r="M858">
        <v>1</v>
      </c>
      <c r="N858">
        <v>1.0102850000000001</v>
      </c>
    </row>
    <row r="859" spans="1:14" x14ac:dyDescent="0.35">
      <c r="A859" s="156" t="s">
        <v>542</v>
      </c>
      <c r="B859" s="52">
        <v>43880</v>
      </c>
      <c r="C859" s="156" t="s">
        <v>531</v>
      </c>
      <c r="D859" s="156" t="s">
        <v>531</v>
      </c>
      <c r="E859">
        <v>1911979</v>
      </c>
      <c r="F859">
        <v>597486.01879999996</v>
      </c>
      <c r="G859">
        <v>312.41269999999997</v>
      </c>
      <c r="H859">
        <v>1.022662</v>
      </c>
      <c r="I859">
        <v>1</v>
      </c>
      <c r="J859" s="156">
        <v>1</v>
      </c>
      <c r="K859">
        <v>1</v>
      </c>
      <c r="L859">
        <v>1</v>
      </c>
      <c r="M859">
        <v>1</v>
      </c>
      <c r="N859">
        <v>1.022662</v>
      </c>
    </row>
    <row r="860" spans="1:14" x14ac:dyDescent="0.35">
      <c r="A860" s="156" t="s">
        <v>542</v>
      </c>
      <c r="B860" s="52">
        <v>43881</v>
      </c>
      <c r="C860" s="156" t="s">
        <v>531</v>
      </c>
      <c r="D860" s="156" t="s">
        <v>531</v>
      </c>
      <c r="E860">
        <v>2151847</v>
      </c>
      <c r="F860">
        <v>674072.77480000001</v>
      </c>
      <c r="G860">
        <v>313.41059999999999</v>
      </c>
      <c r="H860">
        <v>0.98738199999999998</v>
      </c>
      <c r="I860">
        <v>1</v>
      </c>
      <c r="J860" s="156">
        <v>1</v>
      </c>
      <c r="K860">
        <v>1</v>
      </c>
      <c r="L860">
        <v>1</v>
      </c>
      <c r="M860">
        <v>1</v>
      </c>
      <c r="N860">
        <v>0.98738199999999998</v>
      </c>
    </row>
    <row r="861" spans="1:14" x14ac:dyDescent="0.35">
      <c r="A861" s="156" t="s">
        <v>542</v>
      </c>
      <c r="B861" s="52">
        <v>43882</v>
      </c>
      <c r="C861" s="156" t="s">
        <v>531</v>
      </c>
      <c r="D861" s="156" t="s">
        <v>531</v>
      </c>
      <c r="E861">
        <v>1341669</v>
      </c>
      <c r="F861">
        <v>405916.49900000001</v>
      </c>
      <c r="G861">
        <v>302.6191</v>
      </c>
      <c r="H861">
        <v>0.969337</v>
      </c>
      <c r="I861">
        <v>1</v>
      </c>
      <c r="J861" s="156">
        <v>1</v>
      </c>
      <c r="K861">
        <v>1</v>
      </c>
      <c r="L861">
        <v>1</v>
      </c>
      <c r="M861">
        <v>1</v>
      </c>
      <c r="N861">
        <v>0.969337</v>
      </c>
    </row>
    <row r="862" spans="1:14" x14ac:dyDescent="0.35">
      <c r="A862" s="156" t="s">
        <v>542</v>
      </c>
      <c r="B862" s="52">
        <v>43885</v>
      </c>
      <c r="C862" s="156" t="s">
        <v>531</v>
      </c>
      <c r="D862" s="156" t="s">
        <v>531</v>
      </c>
      <c r="E862">
        <v>2099702</v>
      </c>
      <c r="F862">
        <v>593025.47770000005</v>
      </c>
      <c r="G862">
        <v>282.42059999999998</v>
      </c>
      <c r="H862">
        <v>0.93809200000000004</v>
      </c>
      <c r="I862">
        <v>1</v>
      </c>
      <c r="J862" s="156">
        <v>1</v>
      </c>
      <c r="K862">
        <v>1</v>
      </c>
      <c r="L862">
        <v>1</v>
      </c>
      <c r="M862">
        <v>1</v>
      </c>
      <c r="N862">
        <v>0.93809200000000004</v>
      </c>
    </row>
    <row r="863" spans="1:14" x14ac:dyDescent="0.35">
      <c r="A863" s="156" t="s">
        <v>542</v>
      </c>
      <c r="B863" s="52">
        <v>43886</v>
      </c>
      <c r="C863" s="156" t="s">
        <v>531</v>
      </c>
      <c r="D863" s="156" t="s">
        <v>531</v>
      </c>
      <c r="E863">
        <v>1878589</v>
      </c>
      <c r="F863">
        <v>520710.85100000002</v>
      </c>
      <c r="G863">
        <v>277.2577</v>
      </c>
      <c r="H863">
        <v>0.96575</v>
      </c>
      <c r="I863">
        <v>1</v>
      </c>
      <c r="J863" s="156">
        <v>1</v>
      </c>
      <c r="K863">
        <v>1</v>
      </c>
      <c r="L863">
        <v>1</v>
      </c>
      <c r="M863">
        <v>1</v>
      </c>
      <c r="N863">
        <v>0.96575</v>
      </c>
    </row>
    <row r="864" spans="1:14" x14ac:dyDescent="0.35">
      <c r="A864" s="156" t="s">
        <v>542</v>
      </c>
      <c r="B864" s="52">
        <v>43887</v>
      </c>
      <c r="C864" s="156" t="s">
        <v>531</v>
      </c>
      <c r="D864" s="156" t="s">
        <v>531</v>
      </c>
      <c r="E864">
        <v>1882775</v>
      </c>
      <c r="F864">
        <v>513571.55540000001</v>
      </c>
      <c r="G864">
        <v>272.78550000000001</v>
      </c>
      <c r="H864">
        <v>0.97583299999999995</v>
      </c>
      <c r="I864">
        <v>1</v>
      </c>
      <c r="J864" s="156">
        <v>1</v>
      </c>
      <c r="K864">
        <v>1</v>
      </c>
      <c r="L864">
        <v>1</v>
      </c>
      <c r="M864">
        <v>1</v>
      </c>
      <c r="N864">
        <v>0.97583299999999995</v>
      </c>
    </row>
    <row r="865" spans="1:14" x14ac:dyDescent="0.35">
      <c r="A865" s="156" t="s">
        <v>542</v>
      </c>
      <c r="B865" s="52">
        <v>43888</v>
      </c>
      <c r="C865" s="156" t="s">
        <v>531</v>
      </c>
      <c r="D865" s="156" t="s">
        <v>531</v>
      </c>
      <c r="E865">
        <v>3345720</v>
      </c>
      <c r="F865">
        <v>848861.9</v>
      </c>
      <c r="G865">
        <v>253.65430000000001</v>
      </c>
      <c r="H865">
        <v>0.93671799999999994</v>
      </c>
      <c r="I865">
        <v>1</v>
      </c>
      <c r="J865" s="156">
        <v>1</v>
      </c>
      <c r="K865">
        <v>1</v>
      </c>
      <c r="L865">
        <v>1</v>
      </c>
      <c r="M865">
        <v>1</v>
      </c>
      <c r="N865">
        <v>0.93671799999999994</v>
      </c>
    </row>
    <row r="866" spans="1:14" x14ac:dyDescent="0.35">
      <c r="A866" s="156" t="s">
        <v>542</v>
      </c>
      <c r="B866" s="52">
        <v>43889</v>
      </c>
      <c r="C866" s="156" t="s">
        <v>531</v>
      </c>
      <c r="D866" s="156" t="s">
        <v>531</v>
      </c>
      <c r="E866">
        <v>5230186</v>
      </c>
      <c r="F866">
        <v>1428536.1041999999</v>
      </c>
      <c r="G866">
        <v>273.00940000000003</v>
      </c>
      <c r="H866">
        <v>1.148954</v>
      </c>
      <c r="I866">
        <v>1</v>
      </c>
      <c r="J866" s="156">
        <v>1</v>
      </c>
      <c r="K866">
        <v>1</v>
      </c>
      <c r="L866">
        <v>1</v>
      </c>
      <c r="M866">
        <v>1</v>
      </c>
      <c r="N866">
        <v>1.148954</v>
      </c>
    </row>
    <row r="867" spans="1:14" x14ac:dyDescent="0.35">
      <c r="A867" s="156" t="s">
        <v>542</v>
      </c>
      <c r="B867" s="52">
        <v>43892</v>
      </c>
      <c r="C867" s="156" t="s">
        <v>531</v>
      </c>
      <c r="D867" s="156" t="s">
        <v>531</v>
      </c>
      <c r="E867">
        <v>3032033</v>
      </c>
      <c r="F867">
        <v>863894.60530000005</v>
      </c>
      <c r="G867">
        <v>285.08710000000002</v>
      </c>
      <c r="H867">
        <v>1.0029939999999999</v>
      </c>
      <c r="I867">
        <v>1</v>
      </c>
      <c r="J867" s="156">
        <v>1</v>
      </c>
      <c r="K867">
        <v>1</v>
      </c>
      <c r="L867">
        <v>1</v>
      </c>
      <c r="M867">
        <v>1</v>
      </c>
      <c r="N867">
        <v>1.0029939999999999</v>
      </c>
    </row>
    <row r="868" spans="1:14" x14ac:dyDescent="0.35">
      <c r="A868" s="156" t="s">
        <v>542</v>
      </c>
      <c r="B868" s="52">
        <v>43893</v>
      </c>
      <c r="C868" s="156" t="s">
        <v>531</v>
      </c>
      <c r="D868" s="156" t="s">
        <v>531</v>
      </c>
      <c r="E868">
        <v>2080965</v>
      </c>
      <c r="F868">
        <v>589377.11179999996</v>
      </c>
      <c r="G868">
        <v>283.30799999999999</v>
      </c>
      <c r="H868">
        <v>0.96376399999999995</v>
      </c>
      <c r="I868">
        <v>1</v>
      </c>
      <c r="J868" s="156">
        <v>1</v>
      </c>
      <c r="K868">
        <v>1</v>
      </c>
      <c r="L868">
        <v>1</v>
      </c>
      <c r="M868">
        <v>1</v>
      </c>
      <c r="N868">
        <v>0.96376399999999995</v>
      </c>
    </row>
    <row r="869" spans="1:14" x14ac:dyDescent="0.35">
      <c r="A869" s="156" t="s">
        <v>542</v>
      </c>
      <c r="B869" s="52">
        <v>43894</v>
      </c>
      <c r="C869" s="156" t="s">
        <v>531</v>
      </c>
      <c r="D869" s="156" t="s">
        <v>531</v>
      </c>
      <c r="E869">
        <v>1768510</v>
      </c>
      <c r="F869">
        <v>485481.75689999998</v>
      </c>
      <c r="G869">
        <v>274.57940000000002</v>
      </c>
      <c r="H869">
        <v>0.99027600000000005</v>
      </c>
      <c r="I869">
        <v>1</v>
      </c>
      <c r="J869" s="156">
        <v>1</v>
      </c>
      <c r="K869">
        <v>1</v>
      </c>
      <c r="L869">
        <v>1</v>
      </c>
      <c r="M869">
        <v>1</v>
      </c>
      <c r="N869">
        <v>0.99027600000000005</v>
      </c>
    </row>
    <row r="870" spans="1:14" x14ac:dyDescent="0.35">
      <c r="A870" s="156" t="s">
        <v>542</v>
      </c>
      <c r="B870" s="52">
        <v>43895</v>
      </c>
      <c r="C870" s="156" t="s">
        <v>531</v>
      </c>
      <c r="D870" s="156" t="s">
        <v>531</v>
      </c>
      <c r="E870">
        <v>1400110</v>
      </c>
      <c r="F870">
        <v>379856.54249999998</v>
      </c>
      <c r="G870">
        <v>271.27910000000003</v>
      </c>
      <c r="H870">
        <v>0.98618000000000006</v>
      </c>
      <c r="I870">
        <v>1</v>
      </c>
      <c r="J870" s="156">
        <v>1</v>
      </c>
      <c r="K870">
        <v>1</v>
      </c>
      <c r="L870">
        <v>1</v>
      </c>
      <c r="M870">
        <v>1</v>
      </c>
      <c r="N870">
        <v>0.98618000000000006</v>
      </c>
    </row>
    <row r="871" spans="1:14" x14ac:dyDescent="0.35">
      <c r="A871" s="156" t="s">
        <v>542</v>
      </c>
      <c r="B871" s="52">
        <v>43896</v>
      </c>
      <c r="C871" s="156" t="s">
        <v>531</v>
      </c>
      <c r="D871" s="156" t="s">
        <v>531</v>
      </c>
      <c r="E871">
        <v>2248617</v>
      </c>
      <c r="F871">
        <v>573636.47089999996</v>
      </c>
      <c r="G871">
        <v>255.1979</v>
      </c>
      <c r="H871">
        <v>0.93277299999999996</v>
      </c>
      <c r="I871">
        <v>1</v>
      </c>
      <c r="J871" s="156">
        <v>1</v>
      </c>
      <c r="K871">
        <v>1</v>
      </c>
      <c r="L871">
        <v>1</v>
      </c>
      <c r="M871">
        <v>1</v>
      </c>
      <c r="N871">
        <v>0.93277299999999996</v>
      </c>
    </row>
    <row r="872" spans="1:14" x14ac:dyDescent="0.35">
      <c r="A872" s="156" t="s">
        <v>542</v>
      </c>
      <c r="B872" s="52">
        <v>43899</v>
      </c>
      <c r="C872" s="156" t="s">
        <v>531</v>
      </c>
      <c r="D872" s="156" t="s">
        <v>531</v>
      </c>
      <c r="E872">
        <v>2941862</v>
      </c>
      <c r="F872">
        <v>661107.36010000005</v>
      </c>
      <c r="G872">
        <v>224.9522</v>
      </c>
      <c r="H872">
        <v>0.85609199999999996</v>
      </c>
      <c r="I872">
        <v>1</v>
      </c>
      <c r="J872" s="156">
        <v>1</v>
      </c>
      <c r="K872">
        <v>1</v>
      </c>
      <c r="L872">
        <v>1</v>
      </c>
      <c r="M872">
        <v>1</v>
      </c>
      <c r="N872">
        <v>0.85609199999999996</v>
      </c>
    </row>
    <row r="873" spans="1:14" x14ac:dyDescent="0.35">
      <c r="A873" s="156" t="s">
        <v>542</v>
      </c>
      <c r="B873" s="52">
        <v>43900</v>
      </c>
      <c r="C873" s="156" t="s">
        <v>531</v>
      </c>
      <c r="D873" s="156" t="s">
        <v>531</v>
      </c>
      <c r="E873">
        <v>2618011</v>
      </c>
      <c r="F873">
        <v>588230.07299999997</v>
      </c>
      <c r="G873">
        <v>224.6438</v>
      </c>
      <c r="H873">
        <v>1.0884830000000001</v>
      </c>
      <c r="I873">
        <v>1</v>
      </c>
      <c r="J873" s="156">
        <v>1</v>
      </c>
      <c r="K873">
        <v>1</v>
      </c>
      <c r="L873">
        <v>1</v>
      </c>
      <c r="M873">
        <v>1</v>
      </c>
      <c r="N873">
        <v>1.0884830000000001</v>
      </c>
    </row>
    <row r="874" spans="1:14" x14ac:dyDescent="0.35">
      <c r="A874" s="156" t="s">
        <v>542</v>
      </c>
      <c r="B874" s="52">
        <v>43901</v>
      </c>
      <c r="C874" s="156" t="s">
        <v>531</v>
      </c>
      <c r="D874" s="156" t="s">
        <v>531</v>
      </c>
      <c r="E874">
        <v>2160842</v>
      </c>
      <c r="F874">
        <v>490542.26490000001</v>
      </c>
      <c r="G874">
        <v>227.1292</v>
      </c>
      <c r="H874">
        <v>0.95010600000000001</v>
      </c>
      <c r="I874">
        <v>1</v>
      </c>
      <c r="J874" s="156">
        <v>1</v>
      </c>
      <c r="K874">
        <v>1</v>
      </c>
      <c r="L874">
        <v>1</v>
      </c>
      <c r="M874">
        <v>1</v>
      </c>
      <c r="N874">
        <v>0.95010600000000001</v>
      </c>
    </row>
    <row r="875" spans="1:14" x14ac:dyDescent="0.35">
      <c r="A875" s="156" t="s">
        <v>542</v>
      </c>
      <c r="B875" s="52">
        <v>43902</v>
      </c>
      <c r="C875" s="156" t="s">
        <v>531</v>
      </c>
      <c r="D875" s="156" t="s">
        <v>531</v>
      </c>
      <c r="E875">
        <v>3017984</v>
      </c>
      <c r="F875">
        <v>601192.70409999997</v>
      </c>
      <c r="G875">
        <v>199.33430000000001</v>
      </c>
      <c r="H875">
        <v>0.86027500000000001</v>
      </c>
      <c r="I875">
        <v>1</v>
      </c>
      <c r="J875" s="156">
        <v>1</v>
      </c>
      <c r="K875">
        <v>1</v>
      </c>
      <c r="L875">
        <v>1</v>
      </c>
      <c r="M875">
        <v>1</v>
      </c>
      <c r="N875">
        <v>0.86027500000000001</v>
      </c>
    </row>
    <row r="876" spans="1:14" x14ac:dyDescent="0.35">
      <c r="A876" s="156" t="s">
        <v>542</v>
      </c>
      <c r="B876" s="52">
        <v>43903</v>
      </c>
      <c r="C876" s="156" t="s">
        <v>531</v>
      </c>
      <c r="D876" s="156" t="s">
        <v>531</v>
      </c>
      <c r="E876">
        <v>2360217</v>
      </c>
      <c r="F876">
        <v>457715.41159999999</v>
      </c>
      <c r="G876">
        <v>194.02029999999999</v>
      </c>
      <c r="H876">
        <v>1.038152</v>
      </c>
      <c r="I876">
        <v>1</v>
      </c>
      <c r="J876" s="156">
        <v>1</v>
      </c>
      <c r="K876">
        <v>1</v>
      </c>
      <c r="L876">
        <v>1</v>
      </c>
      <c r="M876">
        <v>1</v>
      </c>
      <c r="N876">
        <v>1.038152</v>
      </c>
    </row>
    <row r="877" spans="1:14" x14ac:dyDescent="0.35">
      <c r="A877" s="156" t="s">
        <v>542</v>
      </c>
      <c r="B877" s="52">
        <v>43906</v>
      </c>
      <c r="C877" s="156" t="s">
        <v>531</v>
      </c>
      <c r="D877" s="156" t="s">
        <v>531</v>
      </c>
      <c r="E877">
        <v>2782511</v>
      </c>
      <c r="F877">
        <v>471225.70520000003</v>
      </c>
      <c r="G877">
        <v>169.37799999999999</v>
      </c>
      <c r="H877">
        <v>0.80245</v>
      </c>
      <c r="I877">
        <v>1</v>
      </c>
      <c r="J877" s="156">
        <v>1</v>
      </c>
      <c r="K877">
        <v>1</v>
      </c>
      <c r="L877">
        <v>1</v>
      </c>
      <c r="M877">
        <v>1</v>
      </c>
      <c r="N877">
        <v>0.80245</v>
      </c>
    </row>
    <row r="878" spans="1:14" x14ac:dyDescent="0.35">
      <c r="A878" s="156" t="s">
        <v>542</v>
      </c>
      <c r="B878" s="52">
        <v>43907</v>
      </c>
      <c r="C878" s="156" t="s">
        <v>531</v>
      </c>
      <c r="D878" s="156" t="s">
        <v>531</v>
      </c>
      <c r="E878">
        <v>2616267</v>
      </c>
      <c r="F878">
        <v>439609.97950000002</v>
      </c>
      <c r="G878">
        <v>167.89949999999999</v>
      </c>
      <c r="H878">
        <v>1.059256</v>
      </c>
      <c r="I878">
        <v>1</v>
      </c>
      <c r="J878" s="156">
        <v>1</v>
      </c>
      <c r="K878">
        <v>1</v>
      </c>
      <c r="L878">
        <v>1</v>
      </c>
      <c r="M878">
        <v>1</v>
      </c>
      <c r="N878">
        <v>1.059256</v>
      </c>
    </row>
    <row r="879" spans="1:14" x14ac:dyDescent="0.35">
      <c r="A879" s="156" t="s">
        <v>542</v>
      </c>
      <c r="B879" s="52">
        <v>43908</v>
      </c>
      <c r="C879" s="156" t="s">
        <v>531</v>
      </c>
      <c r="D879" s="156" t="s">
        <v>531</v>
      </c>
      <c r="E879">
        <v>3162562</v>
      </c>
      <c r="F879">
        <v>471035.32770000002</v>
      </c>
      <c r="G879">
        <v>149.00640000000001</v>
      </c>
      <c r="H879">
        <v>0.84935300000000002</v>
      </c>
      <c r="I879">
        <v>1</v>
      </c>
      <c r="J879" s="156">
        <v>1</v>
      </c>
      <c r="K879">
        <v>1</v>
      </c>
      <c r="L879">
        <v>1</v>
      </c>
      <c r="M879">
        <v>1</v>
      </c>
      <c r="N879">
        <v>0.84935300000000002</v>
      </c>
    </row>
    <row r="880" spans="1:14" x14ac:dyDescent="0.35">
      <c r="A880" s="156" t="s">
        <v>542</v>
      </c>
      <c r="B880" s="52">
        <v>43909</v>
      </c>
      <c r="C880" s="156" t="s">
        <v>531</v>
      </c>
      <c r="D880" s="156" t="s">
        <v>531</v>
      </c>
      <c r="E880">
        <v>3182964</v>
      </c>
      <c r="F880">
        <v>500640.61859999999</v>
      </c>
      <c r="G880">
        <v>157.08760000000001</v>
      </c>
      <c r="H880">
        <v>1.159637</v>
      </c>
      <c r="I880">
        <v>1</v>
      </c>
      <c r="J880" s="156">
        <v>1</v>
      </c>
      <c r="K880">
        <v>1</v>
      </c>
      <c r="L880">
        <v>1</v>
      </c>
      <c r="M880">
        <v>1</v>
      </c>
      <c r="N880">
        <v>1.159637</v>
      </c>
    </row>
    <row r="881" spans="1:14" x14ac:dyDescent="0.35">
      <c r="A881" s="156" t="s">
        <v>542</v>
      </c>
      <c r="B881" s="52">
        <v>43910</v>
      </c>
      <c r="C881" s="156" t="s">
        <v>531</v>
      </c>
      <c r="D881" s="156" t="s">
        <v>531</v>
      </c>
      <c r="E881">
        <v>3136030</v>
      </c>
      <c r="F881">
        <v>552788.20129999996</v>
      </c>
      <c r="G881">
        <v>176.17769999999999</v>
      </c>
      <c r="H881">
        <v>1.0152890000000001</v>
      </c>
      <c r="I881">
        <v>1</v>
      </c>
      <c r="J881" s="156">
        <v>1</v>
      </c>
      <c r="K881">
        <v>1</v>
      </c>
      <c r="L881">
        <v>1</v>
      </c>
      <c r="M881">
        <v>1</v>
      </c>
      <c r="N881">
        <v>1.0152890000000001</v>
      </c>
    </row>
    <row r="882" spans="1:14" x14ac:dyDescent="0.35">
      <c r="A882" s="156" t="s">
        <v>542</v>
      </c>
      <c r="B882" s="52">
        <v>43913</v>
      </c>
      <c r="C882" s="156" t="s">
        <v>531</v>
      </c>
      <c r="D882" s="156" t="s">
        <v>531</v>
      </c>
      <c r="E882">
        <v>2016811</v>
      </c>
      <c r="F882">
        <v>343847.67090000003</v>
      </c>
      <c r="G882">
        <v>170.39689999999999</v>
      </c>
      <c r="H882">
        <v>1.0392349999999999</v>
      </c>
      <c r="I882">
        <v>1</v>
      </c>
      <c r="J882" s="156">
        <v>1</v>
      </c>
      <c r="K882">
        <v>1</v>
      </c>
      <c r="L882">
        <v>1</v>
      </c>
      <c r="M882">
        <v>1</v>
      </c>
      <c r="N882">
        <v>1.0392349999999999</v>
      </c>
    </row>
    <row r="883" spans="1:14" x14ac:dyDescent="0.35">
      <c r="A883" s="156" t="s">
        <v>542</v>
      </c>
      <c r="B883" s="52">
        <v>43914</v>
      </c>
      <c r="C883" s="156" t="s">
        <v>531</v>
      </c>
      <c r="D883" s="156" t="s">
        <v>531</v>
      </c>
      <c r="E883">
        <v>2393987</v>
      </c>
      <c r="F883">
        <v>465427.21470000001</v>
      </c>
      <c r="G883">
        <v>194.38990000000001</v>
      </c>
      <c r="H883">
        <v>1.098093</v>
      </c>
      <c r="I883">
        <v>1</v>
      </c>
      <c r="J883" s="156">
        <v>1</v>
      </c>
      <c r="K883">
        <v>1</v>
      </c>
      <c r="L883">
        <v>1</v>
      </c>
      <c r="M883">
        <v>1</v>
      </c>
      <c r="N883">
        <v>1.098093</v>
      </c>
    </row>
    <row r="884" spans="1:14" x14ac:dyDescent="0.35">
      <c r="A884" s="156" t="s">
        <v>542</v>
      </c>
      <c r="B884" s="52">
        <v>43915</v>
      </c>
      <c r="C884" s="156" t="s">
        <v>531</v>
      </c>
      <c r="D884" s="156" t="s">
        <v>531</v>
      </c>
      <c r="E884">
        <v>2876837</v>
      </c>
      <c r="F884">
        <v>562589.46070000005</v>
      </c>
      <c r="G884">
        <v>195.61660000000001</v>
      </c>
      <c r="H884">
        <v>1.015155</v>
      </c>
      <c r="I884">
        <v>1</v>
      </c>
      <c r="J884" s="156">
        <v>1</v>
      </c>
      <c r="K884">
        <v>1</v>
      </c>
      <c r="L884">
        <v>1</v>
      </c>
      <c r="M884">
        <v>1</v>
      </c>
      <c r="N884">
        <v>1.015155</v>
      </c>
    </row>
    <row r="885" spans="1:14" x14ac:dyDescent="0.35">
      <c r="A885" s="156" t="s">
        <v>542</v>
      </c>
      <c r="B885" s="52">
        <v>43916</v>
      </c>
      <c r="C885" s="156" t="s">
        <v>531</v>
      </c>
      <c r="D885" s="156" t="s">
        <v>531</v>
      </c>
      <c r="E885">
        <v>1744633</v>
      </c>
      <c r="F885">
        <v>362237.0417</v>
      </c>
      <c r="G885">
        <v>207.60769999999999</v>
      </c>
      <c r="H885">
        <v>1.061491</v>
      </c>
      <c r="I885">
        <v>1</v>
      </c>
      <c r="J885" s="156">
        <v>1</v>
      </c>
      <c r="K885">
        <v>1</v>
      </c>
      <c r="L885">
        <v>1</v>
      </c>
      <c r="M885">
        <v>1</v>
      </c>
      <c r="N885">
        <v>1.061491</v>
      </c>
    </row>
    <row r="886" spans="1:14" x14ac:dyDescent="0.35">
      <c r="A886" s="156" t="s">
        <v>542</v>
      </c>
      <c r="B886" s="52">
        <v>43917</v>
      </c>
      <c r="C886" s="156" t="s">
        <v>531</v>
      </c>
      <c r="D886" s="156" t="s">
        <v>531</v>
      </c>
      <c r="E886">
        <v>1525359</v>
      </c>
      <c r="F886">
        <v>304438.52130000002</v>
      </c>
      <c r="G886">
        <v>199.61779999999999</v>
      </c>
      <c r="H886">
        <v>0.95522600000000002</v>
      </c>
      <c r="I886">
        <v>1</v>
      </c>
      <c r="J886" s="156">
        <v>1</v>
      </c>
      <c r="K886">
        <v>1</v>
      </c>
      <c r="L886">
        <v>1</v>
      </c>
      <c r="M886">
        <v>1</v>
      </c>
      <c r="N886">
        <v>0.95522600000000002</v>
      </c>
    </row>
    <row r="887" spans="1:14" x14ac:dyDescent="0.35">
      <c r="A887" s="156" t="s">
        <v>542</v>
      </c>
      <c r="B887" s="52">
        <v>43920</v>
      </c>
      <c r="C887" s="156" t="s">
        <v>531</v>
      </c>
      <c r="D887" s="156" t="s">
        <v>531</v>
      </c>
      <c r="E887">
        <v>1709303</v>
      </c>
      <c r="F887">
        <v>334472.99579999998</v>
      </c>
      <c r="G887">
        <v>195.6576</v>
      </c>
      <c r="H887">
        <v>0.98908300000000005</v>
      </c>
      <c r="I887">
        <v>1</v>
      </c>
      <c r="J887" s="156">
        <v>1</v>
      </c>
      <c r="K887">
        <v>1</v>
      </c>
      <c r="L887">
        <v>1</v>
      </c>
      <c r="M887">
        <v>1</v>
      </c>
      <c r="N887">
        <v>0.98908300000000005</v>
      </c>
    </row>
    <row r="888" spans="1:14" x14ac:dyDescent="0.35">
      <c r="A888" s="156" t="s">
        <v>542</v>
      </c>
      <c r="B888" s="52">
        <v>43921</v>
      </c>
      <c r="C888" s="156" t="s">
        <v>531</v>
      </c>
      <c r="D888" s="156" t="s">
        <v>531</v>
      </c>
      <c r="E888">
        <v>1929551</v>
      </c>
      <c r="F888">
        <v>375478.22399999999</v>
      </c>
      <c r="G888">
        <v>194.61709999999999</v>
      </c>
      <c r="H888">
        <v>0.97716599999999998</v>
      </c>
      <c r="I888">
        <v>1</v>
      </c>
      <c r="J888" s="156">
        <v>1</v>
      </c>
      <c r="K888">
        <v>1</v>
      </c>
      <c r="L888">
        <v>1</v>
      </c>
      <c r="M888">
        <v>1</v>
      </c>
      <c r="N888">
        <v>0.97716599999999998</v>
      </c>
    </row>
    <row r="889" spans="1:14" x14ac:dyDescent="0.35">
      <c r="A889" s="156" t="s">
        <v>542</v>
      </c>
      <c r="B889" s="52">
        <v>43922</v>
      </c>
      <c r="C889" s="156" t="s">
        <v>531</v>
      </c>
      <c r="D889" s="156" t="s">
        <v>531</v>
      </c>
      <c r="E889">
        <v>2077235</v>
      </c>
      <c r="F889">
        <v>371026.6667</v>
      </c>
      <c r="G889">
        <v>178.62620000000001</v>
      </c>
      <c r="H889">
        <v>0.89274600000000004</v>
      </c>
      <c r="I889">
        <v>1</v>
      </c>
      <c r="J889" s="156">
        <v>1</v>
      </c>
      <c r="K889">
        <v>1</v>
      </c>
      <c r="L889">
        <v>1</v>
      </c>
      <c r="M889">
        <v>1</v>
      </c>
      <c r="N889">
        <v>0.89274600000000004</v>
      </c>
    </row>
    <row r="890" spans="1:14" x14ac:dyDescent="0.35">
      <c r="A890" s="156" t="s">
        <v>542</v>
      </c>
      <c r="B890" s="52">
        <v>43923</v>
      </c>
      <c r="C890" s="156" t="s">
        <v>531</v>
      </c>
      <c r="D890" s="156" t="s">
        <v>531</v>
      </c>
      <c r="E890">
        <v>2099997</v>
      </c>
      <c r="F890">
        <v>349024.07069999998</v>
      </c>
      <c r="G890">
        <v>166.2894</v>
      </c>
      <c r="H890">
        <v>0.95635499999999996</v>
      </c>
      <c r="I890">
        <v>1</v>
      </c>
      <c r="J890" s="156">
        <v>1</v>
      </c>
      <c r="K890">
        <v>1</v>
      </c>
      <c r="L890">
        <v>1</v>
      </c>
      <c r="M890">
        <v>1</v>
      </c>
      <c r="N890">
        <v>0.95635499999999996</v>
      </c>
    </row>
    <row r="891" spans="1:14" x14ac:dyDescent="0.35">
      <c r="A891" s="156" t="s">
        <v>542</v>
      </c>
      <c r="B891" s="52">
        <v>43924</v>
      </c>
      <c r="C891" s="156" t="s">
        <v>531</v>
      </c>
      <c r="D891" s="156" t="s">
        <v>531</v>
      </c>
      <c r="E891">
        <v>2138411</v>
      </c>
      <c r="F891">
        <v>340596.94020000001</v>
      </c>
      <c r="G891">
        <v>159.24780000000001</v>
      </c>
      <c r="H891">
        <v>0.97335799999999995</v>
      </c>
      <c r="I891">
        <v>1</v>
      </c>
      <c r="J891" s="156">
        <v>1</v>
      </c>
      <c r="K891">
        <v>1</v>
      </c>
      <c r="L891">
        <v>1</v>
      </c>
      <c r="M891">
        <v>1</v>
      </c>
      <c r="N891">
        <v>0.97335799999999995</v>
      </c>
    </row>
    <row r="892" spans="1:14" x14ac:dyDescent="0.35">
      <c r="A892" s="156" t="s">
        <v>542</v>
      </c>
      <c r="B892" s="52">
        <v>43927</v>
      </c>
      <c r="C892" s="156" t="s">
        <v>531</v>
      </c>
      <c r="D892" s="156" t="s">
        <v>531</v>
      </c>
      <c r="E892">
        <v>3110586</v>
      </c>
      <c r="F892">
        <v>567821.51269999996</v>
      </c>
      <c r="G892">
        <v>182.46260000000001</v>
      </c>
      <c r="H892">
        <v>1.1849240000000001</v>
      </c>
      <c r="I892">
        <v>1</v>
      </c>
      <c r="J892" s="156">
        <v>1</v>
      </c>
      <c r="K892">
        <v>1</v>
      </c>
      <c r="L892">
        <v>1</v>
      </c>
      <c r="M892">
        <v>1</v>
      </c>
      <c r="N892">
        <v>1.1849240000000001</v>
      </c>
    </row>
    <row r="893" spans="1:14" x14ac:dyDescent="0.35">
      <c r="A893" s="156" t="s">
        <v>542</v>
      </c>
      <c r="B893" s="52">
        <v>43928</v>
      </c>
      <c r="C893" s="156" t="s">
        <v>531</v>
      </c>
      <c r="D893" s="156" t="s">
        <v>531</v>
      </c>
      <c r="E893">
        <v>2377150</v>
      </c>
      <c r="F893">
        <v>472278.41090000002</v>
      </c>
      <c r="G893">
        <v>198.7747</v>
      </c>
      <c r="H893">
        <v>1.006788</v>
      </c>
      <c r="I893">
        <v>1</v>
      </c>
      <c r="J893" s="156">
        <v>1</v>
      </c>
      <c r="K893">
        <v>1</v>
      </c>
      <c r="L893">
        <v>1</v>
      </c>
      <c r="M893">
        <v>1</v>
      </c>
      <c r="N893">
        <v>1.006788</v>
      </c>
    </row>
    <row r="894" spans="1:14" x14ac:dyDescent="0.35">
      <c r="A894" s="156" t="s">
        <v>542</v>
      </c>
      <c r="B894" s="52">
        <v>43929</v>
      </c>
      <c r="C894" s="156" t="s">
        <v>531</v>
      </c>
      <c r="D894" s="156" t="s">
        <v>531</v>
      </c>
      <c r="E894">
        <v>1800390</v>
      </c>
      <c r="F894">
        <v>367624.04320000001</v>
      </c>
      <c r="G894">
        <v>204.22020000000001</v>
      </c>
      <c r="H894">
        <v>1.0836730000000001</v>
      </c>
      <c r="I894">
        <v>1</v>
      </c>
      <c r="J894" s="156">
        <v>1</v>
      </c>
      <c r="K894">
        <v>1</v>
      </c>
      <c r="L894">
        <v>1</v>
      </c>
      <c r="M894">
        <v>1</v>
      </c>
      <c r="N894">
        <v>1.0836730000000001</v>
      </c>
    </row>
    <row r="895" spans="1:14" x14ac:dyDescent="0.35">
      <c r="A895" s="156" t="s">
        <v>542</v>
      </c>
      <c r="B895" s="52">
        <v>43930</v>
      </c>
      <c r="C895" s="156" t="s">
        <v>531</v>
      </c>
      <c r="D895" s="156" t="s">
        <v>531</v>
      </c>
      <c r="E895">
        <v>2467627</v>
      </c>
      <c r="F895">
        <v>531199.65819999995</v>
      </c>
      <c r="G895">
        <v>215.33789999999999</v>
      </c>
      <c r="H895">
        <v>1.0309140000000001</v>
      </c>
      <c r="I895">
        <v>1</v>
      </c>
      <c r="J895" s="156">
        <v>1</v>
      </c>
      <c r="K895">
        <v>1</v>
      </c>
      <c r="L895">
        <v>1</v>
      </c>
      <c r="M895">
        <v>1</v>
      </c>
      <c r="N895">
        <v>1.0309140000000001</v>
      </c>
    </row>
    <row r="896" spans="1:14" x14ac:dyDescent="0.35">
      <c r="A896" s="156" t="s">
        <v>542</v>
      </c>
      <c r="B896" s="52">
        <v>43934</v>
      </c>
      <c r="C896" s="156" t="s">
        <v>531</v>
      </c>
      <c r="D896" s="156" t="s">
        <v>531</v>
      </c>
      <c r="E896">
        <v>1702346</v>
      </c>
      <c r="F896">
        <v>365530.63390000002</v>
      </c>
      <c r="G896">
        <v>214.59700000000001</v>
      </c>
      <c r="H896">
        <v>1.0227360000000001</v>
      </c>
      <c r="I896">
        <v>1</v>
      </c>
      <c r="J896" s="156">
        <v>1</v>
      </c>
      <c r="K896">
        <v>1</v>
      </c>
      <c r="L896">
        <v>1</v>
      </c>
      <c r="M896">
        <v>1</v>
      </c>
      <c r="N896">
        <v>1.0227360000000001</v>
      </c>
    </row>
    <row r="897" spans="1:14" x14ac:dyDescent="0.35">
      <c r="A897" s="156" t="s">
        <v>542</v>
      </c>
      <c r="B897" s="52">
        <v>43935</v>
      </c>
      <c r="C897" s="156" t="s">
        <v>531</v>
      </c>
      <c r="D897" s="156" t="s">
        <v>531</v>
      </c>
      <c r="E897">
        <v>2047118</v>
      </c>
      <c r="F897">
        <v>478099.68589999998</v>
      </c>
      <c r="G897">
        <v>233.5478</v>
      </c>
      <c r="H897">
        <v>1.067652</v>
      </c>
      <c r="I897">
        <v>1</v>
      </c>
      <c r="J897" s="156">
        <v>1</v>
      </c>
      <c r="K897">
        <v>1</v>
      </c>
      <c r="L897">
        <v>1</v>
      </c>
      <c r="M897">
        <v>1</v>
      </c>
      <c r="N897">
        <v>1.067652</v>
      </c>
    </row>
    <row r="898" spans="1:14" x14ac:dyDescent="0.35">
      <c r="A898" s="156" t="s">
        <v>542</v>
      </c>
      <c r="B898" s="52">
        <v>43936</v>
      </c>
      <c r="C898" s="156" t="s">
        <v>531</v>
      </c>
      <c r="D898" s="156" t="s">
        <v>531</v>
      </c>
      <c r="E898">
        <v>1349154</v>
      </c>
      <c r="F898">
        <v>305698.34149999998</v>
      </c>
      <c r="G898">
        <v>226.54759999999999</v>
      </c>
      <c r="H898">
        <v>0.97065199999999996</v>
      </c>
      <c r="I898">
        <v>1</v>
      </c>
      <c r="J898" s="156">
        <v>1</v>
      </c>
      <c r="K898">
        <v>1</v>
      </c>
      <c r="L898">
        <v>1</v>
      </c>
      <c r="M898">
        <v>1</v>
      </c>
      <c r="N898">
        <v>0.97065199999999996</v>
      </c>
    </row>
    <row r="899" spans="1:14" x14ac:dyDescent="0.35">
      <c r="A899" s="156" t="s">
        <v>542</v>
      </c>
      <c r="B899" s="52">
        <v>43937</v>
      </c>
      <c r="C899" s="156" t="s">
        <v>531</v>
      </c>
      <c r="D899" s="156" t="s">
        <v>531</v>
      </c>
      <c r="E899">
        <v>1997081</v>
      </c>
      <c r="F899">
        <v>447886.92509999999</v>
      </c>
      <c r="G899">
        <v>224.29150000000001</v>
      </c>
      <c r="H899">
        <v>0.97426699999999999</v>
      </c>
      <c r="I899">
        <v>1</v>
      </c>
      <c r="J899" s="156">
        <v>1</v>
      </c>
      <c r="K899">
        <v>1</v>
      </c>
      <c r="L899">
        <v>1</v>
      </c>
      <c r="M899">
        <v>1</v>
      </c>
      <c r="N899">
        <v>0.97426699999999999</v>
      </c>
    </row>
    <row r="900" spans="1:14" x14ac:dyDescent="0.35">
      <c r="A900" s="156" t="s">
        <v>542</v>
      </c>
      <c r="B900" s="52">
        <v>43938</v>
      </c>
      <c r="C900" s="156" t="s">
        <v>531</v>
      </c>
      <c r="D900" s="156" t="s">
        <v>531</v>
      </c>
      <c r="E900">
        <v>1645131</v>
      </c>
      <c r="F900">
        <v>374303.56910000002</v>
      </c>
      <c r="G900">
        <v>227.53030000000001</v>
      </c>
      <c r="H900">
        <v>1.0352920000000001</v>
      </c>
      <c r="I900">
        <v>1</v>
      </c>
      <c r="J900" s="156">
        <v>1</v>
      </c>
      <c r="K900">
        <v>1</v>
      </c>
      <c r="L900">
        <v>1</v>
      </c>
      <c r="M900">
        <v>1</v>
      </c>
      <c r="N900">
        <v>1.0352920000000001</v>
      </c>
    </row>
    <row r="901" spans="1:14" x14ac:dyDescent="0.35">
      <c r="A901" s="156" t="s">
        <v>542</v>
      </c>
      <c r="B901" s="52">
        <v>43941</v>
      </c>
      <c r="C901" s="156" t="s">
        <v>531</v>
      </c>
      <c r="D901" s="156" t="s">
        <v>531</v>
      </c>
      <c r="E901">
        <v>2119389</v>
      </c>
      <c r="F901">
        <v>501676.52370000002</v>
      </c>
      <c r="G901">
        <v>236.63679999999999</v>
      </c>
      <c r="H901">
        <v>1.019604</v>
      </c>
      <c r="I901">
        <v>1</v>
      </c>
      <c r="J901" s="156">
        <v>1</v>
      </c>
      <c r="K901">
        <v>1</v>
      </c>
      <c r="L901">
        <v>1</v>
      </c>
      <c r="M901">
        <v>1</v>
      </c>
      <c r="N901">
        <v>1.019604</v>
      </c>
    </row>
    <row r="902" spans="1:14" x14ac:dyDescent="0.35">
      <c r="A902" s="156" t="s">
        <v>542</v>
      </c>
      <c r="B902" s="52">
        <v>43942</v>
      </c>
      <c r="C902" s="156" t="s">
        <v>531</v>
      </c>
      <c r="D902" s="156" t="s">
        <v>531</v>
      </c>
      <c r="E902">
        <v>1954917</v>
      </c>
      <c r="F902">
        <v>431615.96139999997</v>
      </c>
      <c r="G902">
        <v>220.7852</v>
      </c>
      <c r="H902">
        <v>0.92768200000000001</v>
      </c>
      <c r="I902">
        <v>1</v>
      </c>
      <c r="J902" s="156">
        <v>1</v>
      </c>
      <c r="K902">
        <v>1</v>
      </c>
      <c r="L902">
        <v>1</v>
      </c>
      <c r="M902">
        <v>1</v>
      </c>
      <c r="N902">
        <v>0.92768200000000001</v>
      </c>
    </row>
    <row r="903" spans="1:14" x14ac:dyDescent="0.35">
      <c r="A903" s="156" t="s">
        <v>542</v>
      </c>
      <c r="B903" s="52">
        <v>43943</v>
      </c>
      <c r="C903" s="156" t="s">
        <v>531</v>
      </c>
      <c r="D903" s="156" t="s">
        <v>531</v>
      </c>
      <c r="E903">
        <v>2212837</v>
      </c>
      <c r="F903">
        <v>525061.52450000006</v>
      </c>
      <c r="G903">
        <v>237.23249999999999</v>
      </c>
      <c r="H903">
        <v>1.1297250000000001</v>
      </c>
      <c r="I903">
        <v>1</v>
      </c>
      <c r="J903" s="156">
        <v>1</v>
      </c>
      <c r="K903">
        <v>1</v>
      </c>
      <c r="L903">
        <v>1</v>
      </c>
      <c r="M903">
        <v>1</v>
      </c>
      <c r="N903">
        <v>1.1297250000000001</v>
      </c>
    </row>
    <row r="904" spans="1:14" x14ac:dyDescent="0.35">
      <c r="A904" s="156" t="s">
        <v>542</v>
      </c>
      <c r="B904" s="52">
        <v>43944</v>
      </c>
      <c r="C904" s="156" t="s">
        <v>531</v>
      </c>
      <c r="D904" s="156" t="s">
        <v>531</v>
      </c>
      <c r="E904">
        <v>3366807</v>
      </c>
      <c r="F904">
        <v>868096.37879999995</v>
      </c>
      <c r="G904">
        <v>257.93029999999999</v>
      </c>
      <c r="H904">
        <v>1.0400510000000001</v>
      </c>
      <c r="I904">
        <v>1</v>
      </c>
      <c r="J904" s="156">
        <v>1</v>
      </c>
      <c r="K904">
        <v>1</v>
      </c>
      <c r="L904">
        <v>1</v>
      </c>
      <c r="M904">
        <v>1</v>
      </c>
      <c r="N904">
        <v>1.0400510000000001</v>
      </c>
    </row>
    <row r="905" spans="1:14" x14ac:dyDescent="0.35">
      <c r="A905" s="156" t="s">
        <v>542</v>
      </c>
      <c r="B905" s="52">
        <v>43945</v>
      </c>
      <c r="C905" s="156" t="s">
        <v>531</v>
      </c>
      <c r="D905" s="156" t="s">
        <v>531</v>
      </c>
      <c r="E905">
        <v>1694709</v>
      </c>
      <c r="F905">
        <v>430388.60560000001</v>
      </c>
      <c r="G905">
        <v>253.9213</v>
      </c>
      <c r="H905">
        <v>1.0104740000000001</v>
      </c>
      <c r="I905">
        <v>1</v>
      </c>
      <c r="J905" s="156">
        <v>1</v>
      </c>
      <c r="K905">
        <v>1</v>
      </c>
      <c r="L905">
        <v>1</v>
      </c>
      <c r="M905">
        <v>1</v>
      </c>
      <c r="N905">
        <v>1.0104740000000001</v>
      </c>
    </row>
    <row r="906" spans="1:14" x14ac:dyDescent="0.35">
      <c r="A906" s="156" t="s">
        <v>542</v>
      </c>
      <c r="B906" s="52">
        <v>43948</v>
      </c>
      <c r="C906" s="156" t="s">
        <v>531</v>
      </c>
      <c r="D906" s="156" t="s">
        <v>531</v>
      </c>
      <c r="E906">
        <v>1695377</v>
      </c>
      <c r="F906">
        <v>447815.24119999999</v>
      </c>
      <c r="G906">
        <v>264.14940000000001</v>
      </c>
      <c r="H906">
        <v>1.0254840000000001</v>
      </c>
      <c r="I906">
        <v>1</v>
      </c>
      <c r="J906" s="156">
        <v>1</v>
      </c>
      <c r="K906">
        <v>1</v>
      </c>
      <c r="L906">
        <v>1</v>
      </c>
      <c r="M906">
        <v>1</v>
      </c>
      <c r="N906">
        <v>1.0254840000000001</v>
      </c>
    </row>
    <row r="907" spans="1:14" x14ac:dyDescent="0.35">
      <c r="A907" s="156" t="s">
        <v>542</v>
      </c>
      <c r="B907" s="52">
        <v>43949</v>
      </c>
      <c r="C907" s="156" t="s">
        <v>531</v>
      </c>
      <c r="D907" s="156" t="s">
        <v>531</v>
      </c>
      <c r="E907">
        <v>1684915</v>
      </c>
      <c r="F907">
        <v>437983.38829999999</v>
      </c>
      <c r="G907">
        <v>259.98779999999999</v>
      </c>
      <c r="H907">
        <v>0.98012699999999997</v>
      </c>
      <c r="I907">
        <v>1</v>
      </c>
      <c r="J907" s="156">
        <v>1</v>
      </c>
      <c r="K907">
        <v>1</v>
      </c>
      <c r="L907">
        <v>1</v>
      </c>
      <c r="M907">
        <v>1</v>
      </c>
      <c r="N907">
        <v>0.98012699999999997</v>
      </c>
    </row>
    <row r="908" spans="1:14" x14ac:dyDescent="0.35">
      <c r="A908" s="156" t="s">
        <v>542</v>
      </c>
      <c r="B908" s="52">
        <v>43950</v>
      </c>
      <c r="C908" s="156" t="s">
        <v>531</v>
      </c>
      <c r="D908" s="156" t="s">
        <v>531</v>
      </c>
      <c r="E908">
        <v>3187075</v>
      </c>
      <c r="F908">
        <v>910003.61089999997</v>
      </c>
      <c r="G908">
        <v>285.15230000000003</v>
      </c>
      <c r="H908">
        <v>1.1405369999999999</v>
      </c>
      <c r="I908">
        <v>1</v>
      </c>
      <c r="J908" s="156">
        <v>1</v>
      </c>
      <c r="K908">
        <v>1</v>
      </c>
      <c r="L908">
        <v>1</v>
      </c>
      <c r="M908">
        <v>1</v>
      </c>
      <c r="N908">
        <v>1.1405369999999999</v>
      </c>
    </row>
    <row r="909" spans="1:14" x14ac:dyDescent="0.35">
      <c r="A909" s="156" t="s">
        <v>542</v>
      </c>
      <c r="B909" s="52">
        <v>43951</v>
      </c>
      <c r="C909" s="156" t="s">
        <v>531</v>
      </c>
      <c r="D909" s="156" t="s">
        <v>531</v>
      </c>
      <c r="E909">
        <v>2714604</v>
      </c>
      <c r="F909">
        <v>803813.09939999995</v>
      </c>
      <c r="G909">
        <v>296.07420000000002</v>
      </c>
      <c r="H909">
        <v>0.99452700000000005</v>
      </c>
      <c r="I909">
        <v>1</v>
      </c>
      <c r="J909" s="156">
        <v>1</v>
      </c>
      <c r="K909">
        <v>1</v>
      </c>
      <c r="L909">
        <v>1</v>
      </c>
      <c r="M909">
        <v>1</v>
      </c>
      <c r="N909">
        <v>0.99452700000000005</v>
      </c>
    </row>
    <row r="910" spans="1:14" x14ac:dyDescent="0.35">
      <c r="A910" s="156" t="s">
        <v>542</v>
      </c>
      <c r="B910" s="52">
        <v>43952</v>
      </c>
      <c r="C910" s="156" t="s">
        <v>531</v>
      </c>
      <c r="D910" s="156" t="s">
        <v>531</v>
      </c>
      <c r="E910">
        <v>2363123</v>
      </c>
      <c r="F910">
        <v>660207.44689999998</v>
      </c>
      <c r="G910">
        <v>279.49919999999997</v>
      </c>
      <c r="H910">
        <v>0.95324399999999998</v>
      </c>
      <c r="I910">
        <v>1</v>
      </c>
      <c r="J910" s="156">
        <v>1</v>
      </c>
      <c r="K910">
        <v>1</v>
      </c>
      <c r="L910">
        <v>1</v>
      </c>
      <c r="M910">
        <v>1</v>
      </c>
      <c r="N910">
        <v>0.95324399999999998</v>
      </c>
    </row>
    <row r="911" spans="1:14" x14ac:dyDescent="0.35">
      <c r="A911" s="156" t="s">
        <v>542</v>
      </c>
      <c r="B911" s="52">
        <v>43955</v>
      </c>
      <c r="C911" s="156" t="s">
        <v>531</v>
      </c>
      <c r="D911" s="156" t="s">
        <v>531</v>
      </c>
      <c r="E911">
        <v>1805605</v>
      </c>
      <c r="F911">
        <v>515579.02360000001</v>
      </c>
      <c r="G911">
        <v>285.48340000000002</v>
      </c>
      <c r="H911">
        <v>1.0416639999999999</v>
      </c>
      <c r="I911">
        <v>1</v>
      </c>
      <c r="J911" s="156">
        <v>1</v>
      </c>
      <c r="K911">
        <v>1</v>
      </c>
      <c r="L911">
        <v>1</v>
      </c>
      <c r="M911">
        <v>1</v>
      </c>
      <c r="N911">
        <v>1.0416639999999999</v>
      </c>
    </row>
    <row r="912" spans="1:14" x14ac:dyDescent="0.35">
      <c r="A912" s="156" t="s">
        <v>542</v>
      </c>
      <c r="B912" s="52">
        <v>43956</v>
      </c>
      <c r="C912" s="156" t="s">
        <v>531</v>
      </c>
      <c r="D912" s="156" t="s">
        <v>531</v>
      </c>
      <c r="E912">
        <v>2562293</v>
      </c>
      <c r="F912">
        <v>778904.68480000005</v>
      </c>
      <c r="G912">
        <v>304.02890000000002</v>
      </c>
      <c r="H912">
        <v>1.0451600000000001</v>
      </c>
      <c r="I912">
        <v>1</v>
      </c>
      <c r="J912" s="156">
        <v>1</v>
      </c>
      <c r="K912">
        <v>1</v>
      </c>
      <c r="L912">
        <v>1</v>
      </c>
      <c r="M912">
        <v>1</v>
      </c>
      <c r="N912">
        <v>1.0451600000000001</v>
      </c>
    </row>
    <row r="913" spans="1:14" x14ac:dyDescent="0.35">
      <c r="A913" s="156" t="s">
        <v>542</v>
      </c>
      <c r="B913" s="52">
        <v>43957</v>
      </c>
      <c r="C913" s="156" t="s">
        <v>531</v>
      </c>
      <c r="D913" s="156" t="s">
        <v>531</v>
      </c>
      <c r="E913">
        <v>3308270</v>
      </c>
      <c r="F913">
        <v>1032222.3676999999</v>
      </c>
      <c r="G913">
        <v>311.8897</v>
      </c>
      <c r="H913">
        <v>1.0283230000000001</v>
      </c>
      <c r="I913">
        <v>1</v>
      </c>
      <c r="J913" s="156">
        <v>1</v>
      </c>
      <c r="K913">
        <v>1</v>
      </c>
      <c r="L913">
        <v>1</v>
      </c>
      <c r="M913">
        <v>1</v>
      </c>
      <c r="N913">
        <v>1.0283230000000001</v>
      </c>
    </row>
    <row r="914" spans="1:14" x14ac:dyDescent="0.35">
      <c r="A914" s="156" t="s">
        <v>542</v>
      </c>
      <c r="B914" s="52">
        <v>43958</v>
      </c>
      <c r="C914" s="156" t="s">
        <v>531</v>
      </c>
      <c r="D914" s="156" t="s">
        <v>531</v>
      </c>
      <c r="E914">
        <v>3068618</v>
      </c>
      <c r="F914">
        <v>981539.64379999996</v>
      </c>
      <c r="G914">
        <v>320.14670000000001</v>
      </c>
      <c r="H914">
        <v>1.032859</v>
      </c>
      <c r="I914">
        <v>1</v>
      </c>
      <c r="J914" s="156">
        <v>1</v>
      </c>
      <c r="K914">
        <v>1</v>
      </c>
      <c r="L914">
        <v>1</v>
      </c>
      <c r="M914">
        <v>1</v>
      </c>
      <c r="N914">
        <v>1.032859</v>
      </c>
    </row>
    <row r="915" spans="1:14" x14ac:dyDescent="0.35">
      <c r="A915" s="156" t="s">
        <v>542</v>
      </c>
      <c r="B915" s="52">
        <v>43959</v>
      </c>
      <c r="C915" s="156" t="s">
        <v>531</v>
      </c>
      <c r="D915" s="156" t="s">
        <v>531</v>
      </c>
      <c r="E915">
        <v>5227651</v>
      </c>
      <c r="F915">
        <v>1603608.3921000001</v>
      </c>
      <c r="G915">
        <v>306.89960000000002</v>
      </c>
      <c r="H915">
        <v>0.97829500000000003</v>
      </c>
      <c r="I915">
        <v>1</v>
      </c>
      <c r="J915" s="156">
        <v>1</v>
      </c>
      <c r="K915">
        <v>1</v>
      </c>
      <c r="L915">
        <v>1</v>
      </c>
      <c r="M915">
        <v>1</v>
      </c>
      <c r="N915">
        <v>0.97829500000000003</v>
      </c>
    </row>
    <row r="916" spans="1:14" x14ac:dyDescent="0.35">
      <c r="A916" s="156" t="s">
        <v>542</v>
      </c>
      <c r="B916" s="52">
        <v>43962</v>
      </c>
      <c r="C916" s="156" t="s">
        <v>531</v>
      </c>
      <c r="D916" s="156" t="s">
        <v>531</v>
      </c>
      <c r="E916">
        <v>2948906</v>
      </c>
      <c r="F916">
        <v>906659.79440000001</v>
      </c>
      <c r="G916">
        <v>307.43209999999999</v>
      </c>
      <c r="H916">
        <v>0.96776499999999999</v>
      </c>
      <c r="I916">
        <v>1</v>
      </c>
      <c r="J916" s="156">
        <v>1</v>
      </c>
      <c r="K916">
        <v>1</v>
      </c>
      <c r="L916">
        <v>1</v>
      </c>
      <c r="M916">
        <v>1</v>
      </c>
      <c r="N916">
        <v>0.96776499999999999</v>
      </c>
    </row>
    <row r="917" spans="1:14" x14ac:dyDescent="0.35">
      <c r="A917" s="156" t="s">
        <v>542</v>
      </c>
      <c r="B917" s="52">
        <v>43963</v>
      </c>
      <c r="C917" s="156" t="s">
        <v>531</v>
      </c>
      <c r="D917" s="156" t="s">
        <v>531</v>
      </c>
      <c r="E917">
        <v>2690680</v>
      </c>
      <c r="F917">
        <v>840216.03830000001</v>
      </c>
      <c r="G917">
        <v>312.22730000000001</v>
      </c>
      <c r="H917">
        <v>1.0173909999999999</v>
      </c>
      <c r="I917">
        <v>1</v>
      </c>
      <c r="J917" s="156">
        <v>1</v>
      </c>
      <c r="K917">
        <v>1</v>
      </c>
      <c r="L917">
        <v>1</v>
      </c>
      <c r="M917">
        <v>1</v>
      </c>
      <c r="N917">
        <v>1.0173909999999999</v>
      </c>
    </row>
    <row r="918" spans="1:14" x14ac:dyDescent="0.35">
      <c r="A918" s="156" t="s">
        <v>542</v>
      </c>
      <c r="B918" s="52">
        <v>43964</v>
      </c>
      <c r="C918" s="156" t="s">
        <v>531</v>
      </c>
      <c r="D918" s="156" t="s">
        <v>531</v>
      </c>
      <c r="E918">
        <v>3531008</v>
      </c>
      <c r="F918">
        <v>1051643.2520999999</v>
      </c>
      <c r="G918">
        <v>298.02460000000002</v>
      </c>
      <c r="H918">
        <v>0.94115400000000005</v>
      </c>
      <c r="I918">
        <v>1</v>
      </c>
      <c r="J918" s="156">
        <v>1</v>
      </c>
      <c r="K918">
        <v>1</v>
      </c>
      <c r="L918">
        <v>1</v>
      </c>
      <c r="M918">
        <v>1</v>
      </c>
      <c r="N918">
        <v>0.94115400000000005</v>
      </c>
    </row>
    <row r="919" spans="1:14" x14ac:dyDescent="0.35">
      <c r="A919" s="156" t="s">
        <v>542</v>
      </c>
      <c r="B919" s="52">
        <v>43965</v>
      </c>
      <c r="C919" s="156" t="s">
        <v>531</v>
      </c>
      <c r="D919" s="156" t="s">
        <v>531</v>
      </c>
      <c r="E919">
        <v>1908964</v>
      </c>
      <c r="F919">
        <v>554042.78740000003</v>
      </c>
      <c r="G919">
        <v>290.14679999999998</v>
      </c>
      <c r="H919">
        <v>1.0168969999999999</v>
      </c>
      <c r="I919">
        <v>1</v>
      </c>
      <c r="J919" s="156">
        <v>1</v>
      </c>
      <c r="K919">
        <v>1</v>
      </c>
      <c r="L919">
        <v>1</v>
      </c>
      <c r="M919">
        <v>1</v>
      </c>
      <c r="N919">
        <v>1.0168969999999999</v>
      </c>
    </row>
    <row r="920" spans="1:14" x14ac:dyDescent="0.35">
      <c r="A920" s="156" t="s">
        <v>542</v>
      </c>
      <c r="B920" s="52">
        <v>43966</v>
      </c>
      <c r="C920" s="156" t="s">
        <v>531</v>
      </c>
      <c r="D920" s="156" t="s">
        <v>531</v>
      </c>
      <c r="E920">
        <v>1303640</v>
      </c>
      <c r="F920">
        <v>390612.35129999998</v>
      </c>
      <c r="G920">
        <v>299.5489</v>
      </c>
      <c r="H920">
        <v>1.009115</v>
      </c>
      <c r="I920">
        <v>1</v>
      </c>
      <c r="J920" s="156">
        <v>1</v>
      </c>
      <c r="K920">
        <v>1</v>
      </c>
      <c r="L920">
        <v>1</v>
      </c>
      <c r="M920">
        <v>1</v>
      </c>
      <c r="N920">
        <v>1.009115</v>
      </c>
    </row>
    <row r="921" spans="1:14" x14ac:dyDescent="0.35">
      <c r="A921" s="156" t="s">
        <v>542</v>
      </c>
      <c r="B921" s="52">
        <v>43969</v>
      </c>
      <c r="C921" s="156" t="s">
        <v>531</v>
      </c>
      <c r="D921" s="156" t="s">
        <v>531</v>
      </c>
      <c r="E921">
        <v>1894205</v>
      </c>
      <c r="F921">
        <v>572117.00760000001</v>
      </c>
      <c r="G921">
        <v>302.11619999999999</v>
      </c>
      <c r="H921">
        <v>0.98906700000000003</v>
      </c>
      <c r="I921">
        <v>1</v>
      </c>
      <c r="J921" s="156">
        <v>1</v>
      </c>
      <c r="K921">
        <v>1</v>
      </c>
      <c r="L921">
        <v>1</v>
      </c>
      <c r="M921">
        <v>1</v>
      </c>
      <c r="N921">
        <v>0.98906700000000003</v>
      </c>
    </row>
    <row r="922" spans="1:14" x14ac:dyDescent="0.35">
      <c r="A922" s="156" t="s">
        <v>542</v>
      </c>
      <c r="B922" s="52">
        <v>43970</v>
      </c>
      <c r="C922" s="156" t="s">
        <v>531</v>
      </c>
      <c r="D922" s="156" t="s">
        <v>531</v>
      </c>
      <c r="E922">
        <v>1397787</v>
      </c>
      <c r="F922">
        <v>417219.62280000001</v>
      </c>
      <c r="G922">
        <v>298.55489999999998</v>
      </c>
      <c r="H922">
        <v>0.99113700000000005</v>
      </c>
      <c r="I922">
        <v>1</v>
      </c>
      <c r="J922" s="156">
        <v>1</v>
      </c>
      <c r="K922">
        <v>1</v>
      </c>
      <c r="L922">
        <v>1</v>
      </c>
      <c r="M922">
        <v>1</v>
      </c>
      <c r="N922">
        <v>0.99113700000000005</v>
      </c>
    </row>
    <row r="923" spans="1:14" x14ac:dyDescent="0.35">
      <c r="A923" s="156" t="s">
        <v>542</v>
      </c>
      <c r="B923" s="52">
        <v>43971</v>
      </c>
      <c r="C923" s="156" t="s">
        <v>531</v>
      </c>
      <c r="D923" s="156" t="s">
        <v>531</v>
      </c>
      <c r="E923">
        <v>1315575</v>
      </c>
      <c r="F923">
        <v>391106.13160000002</v>
      </c>
      <c r="G923">
        <v>297.3005</v>
      </c>
      <c r="H923">
        <v>1.0102180000000001</v>
      </c>
      <c r="I923">
        <v>1</v>
      </c>
      <c r="J923" s="156">
        <v>1</v>
      </c>
      <c r="K923">
        <v>1</v>
      </c>
      <c r="L923">
        <v>1</v>
      </c>
      <c r="M923">
        <v>1</v>
      </c>
      <c r="N923">
        <v>1.0102180000000001</v>
      </c>
    </row>
    <row r="924" spans="1:14" x14ac:dyDescent="0.35">
      <c r="A924" s="156" t="s">
        <v>542</v>
      </c>
      <c r="B924" s="52">
        <v>43972</v>
      </c>
      <c r="C924" s="156" t="s">
        <v>531</v>
      </c>
      <c r="D924" s="156" t="s">
        <v>531</v>
      </c>
      <c r="E924">
        <v>1822200</v>
      </c>
      <c r="F924">
        <v>549048.65890000004</v>
      </c>
      <c r="G924">
        <v>301.29469999999998</v>
      </c>
      <c r="H924">
        <v>1.024621</v>
      </c>
      <c r="I924">
        <v>1</v>
      </c>
      <c r="J924" s="156">
        <v>1</v>
      </c>
      <c r="K924">
        <v>1</v>
      </c>
      <c r="L924">
        <v>1</v>
      </c>
      <c r="M924">
        <v>1</v>
      </c>
      <c r="N924">
        <v>1.024621</v>
      </c>
    </row>
    <row r="925" spans="1:14" x14ac:dyDescent="0.35">
      <c r="A925" s="156" t="s">
        <v>542</v>
      </c>
      <c r="B925" s="52">
        <v>43973</v>
      </c>
      <c r="C925" s="156" t="s">
        <v>531</v>
      </c>
      <c r="D925" s="156" t="s">
        <v>531</v>
      </c>
      <c r="E925">
        <v>1564779</v>
      </c>
      <c r="F925">
        <v>485506.05200000003</v>
      </c>
      <c r="G925">
        <v>310.24860000000001</v>
      </c>
      <c r="H925">
        <v>1.010446</v>
      </c>
      <c r="I925">
        <v>1</v>
      </c>
      <c r="J925" s="156">
        <v>1</v>
      </c>
      <c r="K925">
        <v>1</v>
      </c>
      <c r="L925">
        <v>1</v>
      </c>
      <c r="M925">
        <v>1</v>
      </c>
      <c r="N925">
        <v>1.010446</v>
      </c>
    </row>
    <row r="926" spans="1:14" x14ac:dyDescent="0.35">
      <c r="A926" s="156" t="s">
        <v>542</v>
      </c>
      <c r="B926" s="52">
        <v>43977</v>
      </c>
      <c r="C926" s="156" t="s">
        <v>531</v>
      </c>
      <c r="D926" s="156" t="s">
        <v>531</v>
      </c>
      <c r="E926">
        <v>1517462</v>
      </c>
      <c r="F926">
        <v>463076.41590000002</v>
      </c>
      <c r="G926">
        <v>305.1499</v>
      </c>
      <c r="H926">
        <v>0.97298399999999996</v>
      </c>
      <c r="I926">
        <v>1</v>
      </c>
      <c r="J926" s="156">
        <v>1</v>
      </c>
      <c r="K926">
        <v>1</v>
      </c>
      <c r="L926">
        <v>1</v>
      </c>
      <c r="M926">
        <v>1</v>
      </c>
      <c r="N926">
        <v>0.97298399999999996</v>
      </c>
    </row>
    <row r="927" spans="1:14" x14ac:dyDescent="0.35">
      <c r="A927" s="156" t="s">
        <v>542</v>
      </c>
      <c r="B927" s="52">
        <v>43978</v>
      </c>
      <c r="C927" s="156" t="s">
        <v>531</v>
      </c>
      <c r="D927" s="156" t="s">
        <v>531</v>
      </c>
      <c r="E927">
        <v>2762890</v>
      </c>
      <c r="F927">
        <v>781293.74430000002</v>
      </c>
      <c r="G927">
        <v>282.63760000000002</v>
      </c>
      <c r="H927">
        <v>0.98309299999999999</v>
      </c>
      <c r="I927">
        <v>1</v>
      </c>
      <c r="J927" s="156">
        <v>1</v>
      </c>
      <c r="K927">
        <v>1</v>
      </c>
      <c r="L927">
        <v>1</v>
      </c>
      <c r="M927">
        <v>1</v>
      </c>
      <c r="N927">
        <v>0.98309299999999999</v>
      </c>
    </row>
    <row r="928" spans="1:14" x14ac:dyDescent="0.35">
      <c r="A928" s="156" t="s">
        <v>542</v>
      </c>
      <c r="B928" s="52">
        <v>43979</v>
      </c>
      <c r="C928" s="156" t="s">
        <v>531</v>
      </c>
      <c r="D928" s="156" t="s">
        <v>531</v>
      </c>
      <c r="E928">
        <v>1405975</v>
      </c>
      <c r="F928">
        <v>421685.70909999998</v>
      </c>
      <c r="G928">
        <v>299.7398</v>
      </c>
      <c r="H928">
        <v>1.0133909999999999</v>
      </c>
      <c r="I928">
        <v>1</v>
      </c>
      <c r="J928" s="156">
        <v>1</v>
      </c>
      <c r="K928">
        <v>1</v>
      </c>
      <c r="L928">
        <v>1</v>
      </c>
      <c r="M928">
        <v>1</v>
      </c>
      <c r="N928">
        <v>1.0133909999999999</v>
      </c>
    </row>
    <row r="929" spans="1:14" x14ac:dyDescent="0.35">
      <c r="A929" s="156" t="s">
        <v>542</v>
      </c>
      <c r="B929" s="52">
        <v>43980</v>
      </c>
      <c r="C929" s="156" t="s">
        <v>531</v>
      </c>
      <c r="D929" s="156" t="s">
        <v>531</v>
      </c>
      <c r="E929">
        <v>3307672</v>
      </c>
      <c r="F929">
        <v>1020705.8411</v>
      </c>
      <c r="G929">
        <v>309.03250000000003</v>
      </c>
      <c r="H929">
        <v>1.044907</v>
      </c>
      <c r="I929">
        <v>1</v>
      </c>
      <c r="J929" s="156">
        <v>1</v>
      </c>
      <c r="K929">
        <v>1</v>
      </c>
      <c r="L929">
        <v>1</v>
      </c>
      <c r="M929">
        <v>1</v>
      </c>
      <c r="N929">
        <v>1.044907</v>
      </c>
    </row>
    <row r="930" spans="1:14" x14ac:dyDescent="0.35">
      <c r="A930" s="156" t="s">
        <v>542</v>
      </c>
      <c r="B930" s="52">
        <v>43983</v>
      </c>
      <c r="C930" s="156" t="s">
        <v>531</v>
      </c>
      <c r="D930" s="156" t="s">
        <v>531</v>
      </c>
      <c r="E930">
        <v>1090205</v>
      </c>
      <c r="F930">
        <v>338048.73959999997</v>
      </c>
      <c r="G930">
        <v>310.08010000000002</v>
      </c>
      <c r="H930">
        <v>0.99598799999999998</v>
      </c>
      <c r="I930">
        <v>1</v>
      </c>
      <c r="J930" s="156">
        <v>1</v>
      </c>
      <c r="K930">
        <v>1</v>
      </c>
      <c r="L930">
        <v>1</v>
      </c>
      <c r="M930">
        <v>1</v>
      </c>
      <c r="N930">
        <v>0.99598799999999998</v>
      </c>
    </row>
    <row r="931" spans="1:14" x14ac:dyDescent="0.35">
      <c r="A931" s="156" t="s">
        <v>542</v>
      </c>
      <c r="B931" s="52">
        <v>43984</v>
      </c>
      <c r="C931" s="156" t="s">
        <v>531</v>
      </c>
      <c r="D931" s="156" t="s">
        <v>531</v>
      </c>
      <c r="E931">
        <v>2301513</v>
      </c>
      <c r="F931">
        <v>728374.54799999995</v>
      </c>
      <c r="G931">
        <v>316.45999999999998</v>
      </c>
      <c r="H931">
        <v>1.02562</v>
      </c>
      <c r="I931">
        <v>1</v>
      </c>
      <c r="J931" s="156">
        <v>1</v>
      </c>
      <c r="K931">
        <v>1</v>
      </c>
      <c r="L931">
        <v>1</v>
      </c>
      <c r="M931">
        <v>1</v>
      </c>
      <c r="N931">
        <v>1.02562</v>
      </c>
    </row>
    <row r="932" spans="1:14" x14ac:dyDescent="0.35">
      <c r="A932" s="156" t="s">
        <v>542</v>
      </c>
      <c r="B932" s="52">
        <v>43985</v>
      </c>
      <c r="C932" s="156" t="s">
        <v>531</v>
      </c>
      <c r="D932" s="156" t="s">
        <v>531</v>
      </c>
      <c r="E932">
        <v>3846559</v>
      </c>
      <c r="F932">
        <v>1315904.0153999999</v>
      </c>
      <c r="G932">
        <v>342.09809999999999</v>
      </c>
      <c r="H932">
        <v>1.1153770000000001</v>
      </c>
      <c r="I932">
        <v>1</v>
      </c>
      <c r="J932" s="156">
        <v>1</v>
      </c>
      <c r="K932">
        <v>1</v>
      </c>
      <c r="L932">
        <v>1</v>
      </c>
      <c r="M932">
        <v>1</v>
      </c>
      <c r="N932">
        <v>1.1153770000000001</v>
      </c>
    </row>
    <row r="933" spans="1:14" x14ac:dyDescent="0.35">
      <c r="A933" s="156" t="s">
        <v>542</v>
      </c>
      <c r="B933" s="52">
        <v>43986</v>
      </c>
      <c r="C933" s="156" t="s">
        <v>531</v>
      </c>
      <c r="D933" s="156" t="s">
        <v>531</v>
      </c>
      <c r="E933">
        <v>2237214</v>
      </c>
      <c r="F933">
        <v>770169.18629999994</v>
      </c>
      <c r="G933">
        <v>344.34629999999999</v>
      </c>
      <c r="H933">
        <v>0.95002500000000001</v>
      </c>
      <c r="I933">
        <v>1</v>
      </c>
      <c r="J933" s="156">
        <v>1</v>
      </c>
      <c r="K933">
        <v>1</v>
      </c>
      <c r="L933">
        <v>1</v>
      </c>
      <c r="M933">
        <v>1</v>
      </c>
      <c r="N933">
        <v>0.95002500000000001</v>
      </c>
    </row>
    <row r="934" spans="1:14" x14ac:dyDescent="0.35">
      <c r="A934" s="156" t="s">
        <v>542</v>
      </c>
      <c r="B934" s="52">
        <v>43987</v>
      </c>
      <c r="C934" s="156" t="s">
        <v>531</v>
      </c>
      <c r="D934" s="156" t="s">
        <v>531</v>
      </c>
      <c r="E934">
        <v>2281793</v>
      </c>
      <c r="F934">
        <v>806912.58409999998</v>
      </c>
      <c r="G934">
        <v>353.65249999999997</v>
      </c>
      <c r="H934">
        <v>1.0505580000000001</v>
      </c>
      <c r="I934">
        <v>1</v>
      </c>
      <c r="J934" s="156">
        <v>1</v>
      </c>
      <c r="K934">
        <v>1</v>
      </c>
      <c r="L934">
        <v>1</v>
      </c>
      <c r="M934">
        <v>1</v>
      </c>
      <c r="N934">
        <v>1.0505580000000001</v>
      </c>
    </row>
    <row r="935" spans="1:14" x14ac:dyDescent="0.35">
      <c r="A935" s="156" t="s">
        <v>542</v>
      </c>
      <c r="B935" s="52">
        <v>43990</v>
      </c>
      <c r="C935" s="156" t="s">
        <v>531</v>
      </c>
      <c r="D935" s="156" t="s">
        <v>531</v>
      </c>
      <c r="E935">
        <v>1445235</v>
      </c>
      <c r="F935">
        <v>513784.39789999998</v>
      </c>
      <c r="G935">
        <v>355.54860000000002</v>
      </c>
      <c r="H935">
        <v>1.011347</v>
      </c>
      <c r="I935">
        <v>1</v>
      </c>
      <c r="J935" s="156">
        <v>1</v>
      </c>
      <c r="K935">
        <v>1</v>
      </c>
      <c r="L935">
        <v>1</v>
      </c>
      <c r="M935">
        <v>1</v>
      </c>
      <c r="N935">
        <v>1.011347</v>
      </c>
    </row>
    <row r="936" spans="1:14" x14ac:dyDescent="0.35">
      <c r="A936" s="156" t="s">
        <v>542</v>
      </c>
      <c r="B936" s="52">
        <v>43991</v>
      </c>
      <c r="C936" s="156" t="s">
        <v>531</v>
      </c>
      <c r="D936" s="156" t="s">
        <v>531</v>
      </c>
      <c r="E936">
        <v>1298837</v>
      </c>
      <c r="F936">
        <v>471404.38669999997</v>
      </c>
      <c r="G936">
        <v>362.97320000000002</v>
      </c>
      <c r="H936">
        <v>1.0130330000000001</v>
      </c>
      <c r="I936">
        <v>1</v>
      </c>
      <c r="J936" s="156">
        <v>1</v>
      </c>
      <c r="K936">
        <v>1</v>
      </c>
      <c r="L936">
        <v>1</v>
      </c>
      <c r="M936">
        <v>1</v>
      </c>
      <c r="N936">
        <v>1.0130330000000001</v>
      </c>
    </row>
    <row r="937" spans="1:14" x14ac:dyDescent="0.35">
      <c r="A937" s="156" t="s">
        <v>542</v>
      </c>
      <c r="B937" s="52">
        <v>43992</v>
      </c>
      <c r="C937" s="156" t="s">
        <v>531</v>
      </c>
      <c r="D937" s="156" t="s">
        <v>531</v>
      </c>
      <c r="E937">
        <v>1341031</v>
      </c>
      <c r="F937">
        <v>493576.10830000002</v>
      </c>
      <c r="G937">
        <v>367.97190000000001</v>
      </c>
      <c r="H937">
        <v>1.0152620000000001</v>
      </c>
      <c r="I937">
        <v>1</v>
      </c>
      <c r="J937" s="156">
        <v>1</v>
      </c>
      <c r="K937">
        <v>1</v>
      </c>
      <c r="L937">
        <v>1</v>
      </c>
      <c r="M937">
        <v>1</v>
      </c>
      <c r="N937">
        <v>1.0152620000000001</v>
      </c>
    </row>
    <row r="938" spans="1:14" x14ac:dyDescent="0.35">
      <c r="A938" s="156" t="s">
        <v>542</v>
      </c>
      <c r="B938" s="52">
        <v>43993</v>
      </c>
      <c r="C938" s="156" t="s">
        <v>531</v>
      </c>
      <c r="D938" s="156" t="s">
        <v>531</v>
      </c>
      <c r="E938">
        <v>1867931</v>
      </c>
      <c r="F938">
        <v>657600.54</v>
      </c>
      <c r="G938">
        <v>352.17739999999998</v>
      </c>
      <c r="H938">
        <v>0.94306999999999996</v>
      </c>
      <c r="I938">
        <v>1</v>
      </c>
      <c r="J938" s="156">
        <v>1</v>
      </c>
      <c r="K938">
        <v>1</v>
      </c>
      <c r="L938">
        <v>1</v>
      </c>
      <c r="M938">
        <v>1</v>
      </c>
      <c r="N938">
        <v>0.94306999999999996</v>
      </c>
    </row>
    <row r="939" spans="1:14" x14ac:dyDescent="0.35">
      <c r="A939" s="156" t="s">
        <v>542</v>
      </c>
      <c r="B939" s="52">
        <v>43994</v>
      </c>
      <c r="C939" s="156" t="s">
        <v>531</v>
      </c>
      <c r="D939" s="156" t="s">
        <v>531</v>
      </c>
      <c r="E939">
        <v>1301535</v>
      </c>
      <c r="F939">
        <v>460474.46580000001</v>
      </c>
      <c r="G939">
        <v>353.92790000000002</v>
      </c>
      <c r="H939">
        <v>1.0200549999999999</v>
      </c>
      <c r="I939">
        <v>1</v>
      </c>
      <c r="J939" s="156">
        <v>1</v>
      </c>
      <c r="K939">
        <v>1</v>
      </c>
      <c r="L939">
        <v>1</v>
      </c>
      <c r="M939">
        <v>1</v>
      </c>
      <c r="N939">
        <v>1.0200549999999999</v>
      </c>
    </row>
    <row r="940" spans="1:14" x14ac:dyDescent="0.35">
      <c r="A940" s="156" t="s">
        <v>542</v>
      </c>
      <c r="B940" s="52">
        <v>43997</v>
      </c>
      <c r="C940" s="156" t="s">
        <v>531</v>
      </c>
      <c r="D940" s="156" t="s">
        <v>531</v>
      </c>
      <c r="E940">
        <v>2169510</v>
      </c>
      <c r="F940">
        <v>795520.15330000001</v>
      </c>
      <c r="G940">
        <v>367.04199999999997</v>
      </c>
      <c r="H940">
        <v>1.0453870000000001</v>
      </c>
      <c r="I940">
        <v>1</v>
      </c>
      <c r="J940" s="156">
        <v>1</v>
      </c>
      <c r="K940">
        <v>1</v>
      </c>
      <c r="L940">
        <v>1</v>
      </c>
      <c r="M940">
        <v>1</v>
      </c>
      <c r="N940">
        <v>1.0453870000000001</v>
      </c>
    </row>
    <row r="941" spans="1:14" x14ac:dyDescent="0.35">
      <c r="A941" s="156" t="s">
        <v>542</v>
      </c>
      <c r="B941" s="52">
        <v>43998</v>
      </c>
      <c r="C941" s="156" t="s">
        <v>531</v>
      </c>
      <c r="D941" s="156" t="s">
        <v>531</v>
      </c>
      <c r="E941">
        <v>1762850</v>
      </c>
      <c r="F941">
        <v>659432.14540000004</v>
      </c>
      <c r="G941">
        <v>373.8904</v>
      </c>
      <c r="H941">
        <v>1.0038590000000001</v>
      </c>
      <c r="I941">
        <v>1</v>
      </c>
      <c r="J941" s="156">
        <v>1</v>
      </c>
      <c r="K941">
        <v>1</v>
      </c>
      <c r="L941">
        <v>1</v>
      </c>
      <c r="M941">
        <v>1</v>
      </c>
      <c r="N941">
        <v>1.0038590000000001</v>
      </c>
    </row>
    <row r="942" spans="1:14" x14ac:dyDescent="0.35">
      <c r="A942" s="156" t="s">
        <v>542</v>
      </c>
      <c r="B942" s="52">
        <v>43999</v>
      </c>
      <c r="C942" s="156" t="s">
        <v>531</v>
      </c>
      <c r="D942" s="156" t="s">
        <v>531</v>
      </c>
      <c r="E942">
        <v>1803536</v>
      </c>
      <c r="F942">
        <v>696325.95389999996</v>
      </c>
      <c r="G942">
        <v>386.00099999999998</v>
      </c>
      <c r="H942">
        <v>1.027982</v>
      </c>
      <c r="I942">
        <v>1</v>
      </c>
      <c r="J942" s="156">
        <v>1</v>
      </c>
      <c r="K942">
        <v>1</v>
      </c>
      <c r="L942">
        <v>1</v>
      </c>
      <c r="M942">
        <v>1</v>
      </c>
      <c r="N942">
        <v>1.027982</v>
      </c>
    </row>
    <row r="943" spans="1:14" x14ac:dyDescent="0.35">
      <c r="A943" s="156" t="s">
        <v>542</v>
      </c>
      <c r="B943" s="52">
        <v>44000</v>
      </c>
      <c r="C943" s="156" t="s">
        <v>531</v>
      </c>
      <c r="D943" s="156" t="s">
        <v>531</v>
      </c>
      <c r="E943">
        <v>1792227</v>
      </c>
      <c r="F943">
        <v>699933.57220000005</v>
      </c>
      <c r="G943">
        <v>390.5428</v>
      </c>
      <c r="H943">
        <v>1.031247</v>
      </c>
      <c r="I943">
        <v>1</v>
      </c>
      <c r="J943" s="156">
        <v>1</v>
      </c>
      <c r="K943">
        <v>1</v>
      </c>
      <c r="L943">
        <v>1</v>
      </c>
      <c r="M943">
        <v>1</v>
      </c>
      <c r="N943">
        <v>1.031247</v>
      </c>
    </row>
    <row r="944" spans="1:14" x14ac:dyDescent="0.35">
      <c r="A944" s="156" t="s">
        <v>542</v>
      </c>
      <c r="B944" s="52">
        <v>44001</v>
      </c>
      <c r="C944" s="156" t="s">
        <v>531</v>
      </c>
      <c r="D944" s="156" t="s">
        <v>531</v>
      </c>
      <c r="E944">
        <v>1643468</v>
      </c>
      <c r="F944">
        <v>654285.91669999994</v>
      </c>
      <c r="G944">
        <v>397.89600000000002</v>
      </c>
      <c r="H944">
        <v>1.0009889999999999</v>
      </c>
      <c r="I944">
        <v>1</v>
      </c>
      <c r="J944" s="156">
        <v>1</v>
      </c>
      <c r="K944">
        <v>1</v>
      </c>
      <c r="L944">
        <v>1</v>
      </c>
      <c r="M944">
        <v>1</v>
      </c>
      <c r="N944">
        <v>1.0009889999999999</v>
      </c>
    </row>
    <row r="945" spans="1:14" x14ac:dyDescent="0.35">
      <c r="A945" s="156" t="s">
        <v>542</v>
      </c>
      <c r="B945" s="52">
        <v>44004</v>
      </c>
      <c r="C945" s="156" t="s">
        <v>531</v>
      </c>
      <c r="D945" s="156" t="s">
        <v>531</v>
      </c>
      <c r="E945">
        <v>1466923</v>
      </c>
      <c r="F945">
        <v>590738.80989999999</v>
      </c>
      <c r="G945">
        <v>402.75200000000001</v>
      </c>
      <c r="H945">
        <v>1.0203150000000001</v>
      </c>
      <c r="I945">
        <v>1</v>
      </c>
      <c r="J945" s="156">
        <v>1</v>
      </c>
      <c r="K945">
        <v>1</v>
      </c>
      <c r="L945">
        <v>1</v>
      </c>
      <c r="M945">
        <v>1</v>
      </c>
      <c r="N945">
        <v>1.0203150000000001</v>
      </c>
    </row>
    <row r="946" spans="1:14" x14ac:dyDescent="0.35">
      <c r="A946" s="156" t="s">
        <v>542</v>
      </c>
      <c r="B946" s="52">
        <v>44005</v>
      </c>
      <c r="C946" s="156" t="s">
        <v>531</v>
      </c>
      <c r="D946" s="156" t="s">
        <v>531</v>
      </c>
      <c r="E946">
        <v>1557117</v>
      </c>
      <c r="F946">
        <v>642465.8493</v>
      </c>
      <c r="G946">
        <v>412.4273</v>
      </c>
      <c r="H946">
        <v>1.017949</v>
      </c>
      <c r="I946">
        <v>1</v>
      </c>
      <c r="J946" s="156">
        <v>1</v>
      </c>
      <c r="K946">
        <v>1</v>
      </c>
      <c r="L946">
        <v>1</v>
      </c>
      <c r="M946">
        <v>1</v>
      </c>
      <c r="N946">
        <v>1.017949</v>
      </c>
    </row>
    <row r="947" spans="1:14" x14ac:dyDescent="0.35">
      <c r="A947" s="156" t="s">
        <v>542</v>
      </c>
      <c r="B947" s="52">
        <v>44006</v>
      </c>
      <c r="C947" s="156" t="s">
        <v>531</v>
      </c>
      <c r="D947" s="156" t="s">
        <v>531</v>
      </c>
      <c r="E947">
        <v>1833987</v>
      </c>
      <c r="F947">
        <v>729722.36540000001</v>
      </c>
      <c r="G947">
        <v>398.08240000000001</v>
      </c>
      <c r="H947">
        <v>0.96668500000000002</v>
      </c>
      <c r="I947">
        <v>1</v>
      </c>
      <c r="J947" s="156">
        <v>1</v>
      </c>
      <c r="K947">
        <v>1</v>
      </c>
      <c r="L947">
        <v>1</v>
      </c>
      <c r="M947">
        <v>1</v>
      </c>
      <c r="N947">
        <v>0.96668500000000002</v>
      </c>
    </row>
    <row r="948" spans="1:14" x14ac:dyDescent="0.35">
      <c r="A948" s="156" t="s">
        <v>542</v>
      </c>
      <c r="B948" s="52">
        <v>44007</v>
      </c>
      <c r="C948" s="156" t="s">
        <v>531</v>
      </c>
      <c r="D948" s="156" t="s">
        <v>531</v>
      </c>
      <c r="E948">
        <v>1485872</v>
      </c>
      <c r="F948">
        <v>597838.10519999999</v>
      </c>
      <c r="G948">
        <v>402.40600000000001</v>
      </c>
      <c r="H948">
        <v>1.033655</v>
      </c>
      <c r="I948">
        <v>1</v>
      </c>
      <c r="J948" s="156">
        <v>1</v>
      </c>
      <c r="K948">
        <v>1</v>
      </c>
      <c r="L948">
        <v>1</v>
      </c>
      <c r="M948">
        <v>1</v>
      </c>
      <c r="N948">
        <v>1.033655</v>
      </c>
    </row>
    <row r="949" spans="1:14" x14ac:dyDescent="0.35">
      <c r="A949" s="156" t="s">
        <v>542</v>
      </c>
      <c r="B949" s="52">
        <v>44008</v>
      </c>
      <c r="C949" s="156" t="s">
        <v>531</v>
      </c>
      <c r="D949" s="156" t="s">
        <v>531</v>
      </c>
      <c r="E949">
        <v>2856572</v>
      </c>
      <c r="F949">
        <v>1164243.7657000001</v>
      </c>
      <c r="G949">
        <v>407.53879999999998</v>
      </c>
      <c r="H949">
        <v>0.99345899999999998</v>
      </c>
      <c r="I949">
        <v>1</v>
      </c>
      <c r="J949" s="156">
        <v>1</v>
      </c>
      <c r="K949">
        <v>1</v>
      </c>
      <c r="L949">
        <v>1</v>
      </c>
      <c r="M949">
        <v>1</v>
      </c>
      <c r="N949">
        <v>0.99345899999999998</v>
      </c>
    </row>
    <row r="950" spans="1:14" x14ac:dyDescent="0.35">
      <c r="A950" s="156" t="s">
        <v>542</v>
      </c>
      <c r="B950" s="52">
        <v>44011</v>
      </c>
      <c r="C950" s="156" t="s">
        <v>531</v>
      </c>
      <c r="D950" s="156" t="s">
        <v>531</v>
      </c>
      <c r="E950">
        <v>1720705</v>
      </c>
      <c r="F950">
        <v>692293.97149999999</v>
      </c>
      <c r="G950">
        <v>402.298</v>
      </c>
      <c r="H950">
        <v>0.997838</v>
      </c>
      <c r="I950">
        <v>1</v>
      </c>
      <c r="J950" s="156">
        <v>1</v>
      </c>
      <c r="K950">
        <v>1</v>
      </c>
      <c r="L950">
        <v>1</v>
      </c>
      <c r="M950">
        <v>1</v>
      </c>
      <c r="N950">
        <v>0.997838</v>
      </c>
    </row>
    <row r="951" spans="1:14" x14ac:dyDescent="0.35">
      <c r="A951" s="156" t="s">
        <v>542</v>
      </c>
      <c r="B951" s="52">
        <v>44012</v>
      </c>
      <c r="C951" s="156" t="s">
        <v>531</v>
      </c>
      <c r="D951" s="156" t="s">
        <v>531</v>
      </c>
      <c r="E951">
        <v>1704744</v>
      </c>
      <c r="F951">
        <v>700090.48739999998</v>
      </c>
      <c r="G951">
        <v>410.52690000000001</v>
      </c>
      <c r="H951">
        <v>1.0008619999999999</v>
      </c>
      <c r="I951">
        <v>1</v>
      </c>
      <c r="J951" s="156">
        <v>1</v>
      </c>
      <c r="K951">
        <v>1</v>
      </c>
      <c r="L951">
        <v>1</v>
      </c>
      <c r="M951">
        <v>1</v>
      </c>
      <c r="N951">
        <v>1.0008619999999999</v>
      </c>
    </row>
    <row r="952" spans="1:14" x14ac:dyDescent="0.35">
      <c r="A952" s="156" t="s">
        <v>542</v>
      </c>
      <c r="B952" s="52">
        <v>44013</v>
      </c>
      <c r="C952" s="156" t="s">
        <v>531</v>
      </c>
      <c r="D952" s="156" t="s">
        <v>531</v>
      </c>
      <c r="E952">
        <v>2230521</v>
      </c>
      <c r="F952">
        <v>947102.11380000005</v>
      </c>
      <c r="G952">
        <v>424.64440000000002</v>
      </c>
      <c r="H952">
        <v>1.0556950000000001</v>
      </c>
      <c r="I952">
        <v>1</v>
      </c>
      <c r="J952" s="156">
        <v>1</v>
      </c>
      <c r="K952">
        <v>1</v>
      </c>
      <c r="L952">
        <v>1</v>
      </c>
      <c r="M952">
        <v>1</v>
      </c>
      <c r="N952">
        <v>1.0556950000000001</v>
      </c>
    </row>
    <row r="953" spans="1:14" x14ac:dyDescent="0.35">
      <c r="A953" s="156" t="s">
        <v>542</v>
      </c>
      <c r="B953" s="52">
        <v>44014</v>
      </c>
      <c r="C953" s="156" t="s">
        <v>531</v>
      </c>
      <c r="D953" s="156" t="s">
        <v>531</v>
      </c>
      <c r="E953">
        <v>2273714</v>
      </c>
      <c r="F953">
        <v>1013518.5919999999</v>
      </c>
      <c r="G953">
        <v>445.8</v>
      </c>
      <c r="H953">
        <v>1.0321340000000001</v>
      </c>
      <c r="I953">
        <v>1</v>
      </c>
      <c r="J953" s="156">
        <v>1</v>
      </c>
      <c r="K953">
        <v>1</v>
      </c>
      <c r="L953">
        <v>1</v>
      </c>
      <c r="M953">
        <v>1</v>
      </c>
      <c r="N953">
        <v>1.0321340000000001</v>
      </c>
    </row>
    <row r="954" spans="1:14" x14ac:dyDescent="0.35">
      <c r="A954" s="156" t="s">
        <v>542</v>
      </c>
      <c r="B954" s="52">
        <v>44018</v>
      </c>
      <c r="C954" s="156" t="s">
        <v>531</v>
      </c>
      <c r="D954" s="156" t="s">
        <v>531</v>
      </c>
      <c r="E954">
        <v>2849118</v>
      </c>
      <c r="F954">
        <v>1297465.9395999999</v>
      </c>
      <c r="G954">
        <v>455.67899999999997</v>
      </c>
      <c r="H954">
        <v>1.009369</v>
      </c>
      <c r="I954">
        <v>1</v>
      </c>
      <c r="J954" s="156">
        <v>1</v>
      </c>
      <c r="K954">
        <v>1</v>
      </c>
      <c r="L954">
        <v>1</v>
      </c>
      <c r="M954">
        <v>1</v>
      </c>
      <c r="N954">
        <v>1.009369</v>
      </c>
    </row>
    <row r="955" spans="1:14" x14ac:dyDescent="0.35">
      <c r="A955" s="156" t="s">
        <v>542</v>
      </c>
      <c r="B955" s="52">
        <v>44019</v>
      </c>
      <c r="C955" s="156" t="s">
        <v>531</v>
      </c>
      <c r="D955" s="156" t="s">
        <v>531</v>
      </c>
      <c r="E955">
        <v>1271424</v>
      </c>
      <c r="F955">
        <v>578830.1936</v>
      </c>
      <c r="G955">
        <v>455.21839999999997</v>
      </c>
      <c r="H955">
        <v>1.008119</v>
      </c>
      <c r="I955">
        <v>1</v>
      </c>
      <c r="J955" s="156">
        <v>1</v>
      </c>
      <c r="K955">
        <v>1</v>
      </c>
      <c r="L955">
        <v>1</v>
      </c>
      <c r="M955">
        <v>1</v>
      </c>
      <c r="N955">
        <v>1.008119</v>
      </c>
    </row>
    <row r="956" spans="1:14" x14ac:dyDescent="0.35">
      <c r="A956" s="156" t="s">
        <v>542</v>
      </c>
      <c r="B956" s="52">
        <v>44020</v>
      </c>
      <c r="C956" s="156" t="s">
        <v>531</v>
      </c>
      <c r="D956" s="156" t="s">
        <v>531</v>
      </c>
      <c r="E956">
        <v>1251155</v>
      </c>
      <c r="F956">
        <v>576765.30469999998</v>
      </c>
      <c r="G956">
        <v>460.95069999999998</v>
      </c>
      <c r="H956">
        <v>1.0261370000000001</v>
      </c>
      <c r="I956">
        <v>1</v>
      </c>
      <c r="J956" s="156">
        <v>1</v>
      </c>
      <c r="K956">
        <v>1</v>
      </c>
      <c r="L956">
        <v>1</v>
      </c>
      <c r="M956">
        <v>1</v>
      </c>
      <c r="N956">
        <v>1.0261370000000001</v>
      </c>
    </row>
    <row r="957" spans="1:14" x14ac:dyDescent="0.35">
      <c r="A957" s="156" t="s">
        <v>542</v>
      </c>
      <c r="B957" s="52">
        <v>44021</v>
      </c>
      <c r="C957" s="156" t="s">
        <v>531</v>
      </c>
      <c r="D957" s="156" t="s">
        <v>531</v>
      </c>
      <c r="E957">
        <v>1824515</v>
      </c>
      <c r="F957">
        <v>836695.12860000005</v>
      </c>
      <c r="G957">
        <v>458.7851</v>
      </c>
      <c r="H957">
        <v>1.0011030000000001</v>
      </c>
      <c r="I957">
        <v>1</v>
      </c>
      <c r="J957" s="156">
        <v>1</v>
      </c>
      <c r="K957">
        <v>1</v>
      </c>
      <c r="L957">
        <v>1</v>
      </c>
      <c r="M957">
        <v>1</v>
      </c>
      <c r="N957">
        <v>1.0011030000000001</v>
      </c>
    </row>
    <row r="958" spans="1:14" x14ac:dyDescent="0.35">
      <c r="A958" s="156" t="s">
        <v>542</v>
      </c>
      <c r="B958" s="52">
        <v>44022</v>
      </c>
      <c r="C958" s="156" t="s">
        <v>531</v>
      </c>
      <c r="D958" s="156" t="s">
        <v>531</v>
      </c>
      <c r="E958">
        <v>965662</v>
      </c>
      <c r="F958">
        <v>442544.29119999998</v>
      </c>
      <c r="G958">
        <v>458.23919999999998</v>
      </c>
      <c r="H958">
        <v>0.99779700000000005</v>
      </c>
      <c r="I958">
        <v>1</v>
      </c>
      <c r="J958" s="156">
        <v>1</v>
      </c>
      <c r="K958">
        <v>1</v>
      </c>
      <c r="L958">
        <v>1</v>
      </c>
      <c r="M958">
        <v>1</v>
      </c>
      <c r="N958">
        <v>0.99779700000000005</v>
      </c>
    </row>
    <row r="959" spans="1:14" x14ac:dyDescent="0.35">
      <c r="A959" s="156" t="s">
        <v>542</v>
      </c>
      <c r="B959" s="52">
        <v>44025</v>
      </c>
      <c r="C959" s="156" t="s">
        <v>531</v>
      </c>
      <c r="D959" s="156" t="s">
        <v>531</v>
      </c>
      <c r="E959">
        <v>2273283</v>
      </c>
      <c r="F959">
        <v>1025285.4769</v>
      </c>
      <c r="G959">
        <v>450.81650000000002</v>
      </c>
      <c r="H959">
        <v>0.93213999999999997</v>
      </c>
      <c r="I959">
        <v>1</v>
      </c>
      <c r="J959" s="156">
        <v>1</v>
      </c>
      <c r="K959">
        <v>1</v>
      </c>
      <c r="L959">
        <v>1</v>
      </c>
      <c r="M959">
        <v>1</v>
      </c>
      <c r="N959">
        <v>0.93213999999999997</v>
      </c>
    </row>
    <row r="960" spans="1:14" x14ac:dyDescent="0.35">
      <c r="A960" s="156" t="s">
        <v>542</v>
      </c>
      <c r="B960" s="52">
        <v>44026</v>
      </c>
      <c r="C960" s="156" t="s">
        <v>531</v>
      </c>
      <c r="D960" s="156" t="s">
        <v>531</v>
      </c>
      <c r="E960">
        <v>2157259</v>
      </c>
      <c r="F960">
        <v>915322.72510000004</v>
      </c>
      <c r="G960">
        <v>424.87279999999998</v>
      </c>
      <c r="H960">
        <v>1.003274</v>
      </c>
      <c r="I960">
        <v>1</v>
      </c>
      <c r="J960" s="156">
        <v>1</v>
      </c>
      <c r="K960">
        <v>1</v>
      </c>
      <c r="L960">
        <v>1</v>
      </c>
      <c r="M960">
        <v>1</v>
      </c>
      <c r="N960">
        <v>1.003274</v>
      </c>
    </row>
    <row r="961" spans="1:14" x14ac:dyDescent="0.35">
      <c r="A961" s="156" t="s">
        <v>542</v>
      </c>
      <c r="B961" s="52">
        <v>44027</v>
      </c>
      <c r="C961" s="156" t="s">
        <v>531</v>
      </c>
      <c r="D961" s="156" t="s">
        <v>531</v>
      </c>
      <c r="E961">
        <v>1442739</v>
      </c>
      <c r="F961">
        <v>626481.50840000005</v>
      </c>
      <c r="G961">
        <v>434.25139999999999</v>
      </c>
      <c r="H961">
        <v>1.010022</v>
      </c>
      <c r="I961">
        <v>1</v>
      </c>
      <c r="J961" s="156">
        <v>1</v>
      </c>
      <c r="K961">
        <v>1</v>
      </c>
      <c r="L961">
        <v>1</v>
      </c>
      <c r="M961">
        <v>1</v>
      </c>
      <c r="N961">
        <v>1.010022</v>
      </c>
    </row>
    <row r="962" spans="1:14" x14ac:dyDescent="0.35">
      <c r="A962" s="156" t="s">
        <v>542</v>
      </c>
      <c r="B962" s="52">
        <v>44028</v>
      </c>
      <c r="C962" s="156" t="s">
        <v>531</v>
      </c>
      <c r="D962" s="156" t="s">
        <v>531</v>
      </c>
      <c r="E962">
        <v>1266886</v>
      </c>
      <c r="F962">
        <v>541718.71739999996</v>
      </c>
      <c r="G962">
        <v>427.64569999999998</v>
      </c>
      <c r="H962">
        <v>0.98336299999999999</v>
      </c>
      <c r="I962">
        <v>1</v>
      </c>
      <c r="J962" s="156">
        <v>1</v>
      </c>
      <c r="K962">
        <v>1</v>
      </c>
      <c r="L962">
        <v>1</v>
      </c>
      <c r="M962">
        <v>1</v>
      </c>
      <c r="N962">
        <v>0.98336299999999999</v>
      </c>
    </row>
    <row r="963" spans="1:14" x14ac:dyDescent="0.35">
      <c r="A963" s="156" t="s">
        <v>542</v>
      </c>
      <c r="B963" s="52">
        <v>44029</v>
      </c>
      <c r="C963" s="156" t="s">
        <v>531</v>
      </c>
      <c r="D963" s="156" t="s">
        <v>531</v>
      </c>
      <c r="E963">
        <v>762623</v>
      </c>
      <c r="F963">
        <v>328839.2831</v>
      </c>
      <c r="G963">
        <v>431.11219999999997</v>
      </c>
      <c r="H963">
        <v>1.0091349999999999</v>
      </c>
      <c r="I963">
        <v>1</v>
      </c>
      <c r="J963" s="156">
        <v>1</v>
      </c>
      <c r="K963">
        <v>1</v>
      </c>
      <c r="L963">
        <v>1</v>
      </c>
      <c r="M963">
        <v>1</v>
      </c>
      <c r="N963">
        <v>1.0091349999999999</v>
      </c>
    </row>
    <row r="964" spans="1:14" x14ac:dyDescent="0.35">
      <c r="A964" s="156" t="s">
        <v>542</v>
      </c>
      <c r="B964" s="52">
        <v>44032</v>
      </c>
      <c r="C964" s="156" t="s">
        <v>531</v>
      </c>
      <c r="D964" s="156" t="s">
        <v>531</v>
      </c>
      <c r="E964">
        <v>1207649</v>
      </c>
      <c r="F964">
        <v>543915.03540000005</v>
      </c>
      <c r="G964">
        <v>450.5652</v>
      </c>
      <c r="H964">
        <v>1.0568550000000001</v>
      </c>
      <c r="I964">
        <v>1</v>
      </c>
      <c r="J964" s="156">
        <v>1</v>
      </c>
      <c r="K964">
        <v>1</v>
      </c>
      <c r="L964">
        <v>1</v>
      </c>
      <c r="M964">
        <v>1</v>
      </c>
      <c r="N964">
        <v>1.0568550000000001</v>
      </c>
    </row>
    <row r="965" spans="1:14" x14ac:dyDescent="0.35">
      <c r="A965" s="156" t="s">
        <v>542</v>
      </c>
      <c r="B965" s="52">
        <v>44033</v>
      </c>
      <c r="C965" s="156" t="s">
        <v>531</v>
      </c>
      <c r="D965" s="156" t="s">
        <v>531</v>
      </c>
      <c r="E965">
        <v>910636</v>
      </c>
      <c r="F965">
        <v>407787.76429999998</v>
      </c>
      <c r="G965">
        <v>447.87909999999999</v>
      </c>
      <c r="H965">
        <v>0.97034900000000002</v>
      </c>
      <c r="I965">
        <v>1</v>
      </c>
      <c r="J965" s="156">
        <v>1</v>
      </c>
      <c r="K965">
        <v>1</v>
      </c>
      <c r="L965">
        <v>1</v>
      </c>
      <c r="M965">
        <v>1</v>
      </c>
      <c r="N965">
        <v>0.97034900000000002</v>
      </c>
    </row>
    <row r="966" spans="1:14" x14ac:dyDescent="0.35">
      <c r="A966" s="156" t="s">
        <v>542</v>
      </c>
      <c r="B966" s="52">
        <v>44034</v>
      </c>
      <c r="C966" s="156" t="s">
        <v>531</v>
      </c>
      <c r="D966" s="156" t="s">
        <v>531</v>
      </c>
      <c r="E966">
        <v>586809</v>
      </c>
      <c r="F966">
        <v>261087.90460000001</v>
      </c>
      <c r="G966">
        <v>445.10750000000002</v>
      </c>
      <c r="H966">
        <v>0.99828899999999998</v>
      </c>
      <c r="I966">
        <v>1</v>
      </c>
      <c r="J966" s="156">
        <v>1</v>
      </c>
      <c r="K966">
        <v>1</v>
      </c>
      <c r="L966">
        <v>1</v>
      </c>
      <c r="M966">
        <v>1</v>
      </c>
      <c r="N966">
        <v>0.99828899999999998</v>
      </c>
    </row>
    <row r="967" spans="1:14" x14ac:dyDescent="0.35">
      <c r="A967" s="156" t="s">
        <v>542</v>
      </c>
      <c r="B967" s="52">
        <v>44035</v>
      </c>
      <c r="C967" s="156" t="s">
        <v>531</v>
      </c>
      <c r="D967" s="156" t="s">
        <v>531</v>
      </c>
      <c r="E967">
        <v>1299265</v>
      </c>
      <c r="F967">
        <v>562842.8395</v>
      </c>
      <c r="G967">
        <v>433.3254</v>
      </c>
      <c r="H967">
        <v>0.95729900000000001</v>
      </c>
      <c r="I967">
        <v>1</v>
      </c>
      <c r="J967" s="156">
        <v>1</v>
      </c>
      <c r="K967">
        <v>1</v>
      </c>
      <c r="L967">
        <v>1</v>
      </c>
      <c r="M967">
        <v>1</v>
      </c>
      <c r="N967">
        <v>0.95729900000000001</v>
      </c>
    </row>
    <row r="968" spans="1:14" x14ac:dyDescent="0.35">
      <c r="A968" s="156" t="s">
        <v>542</v>
      </c>
      <c r="B968" s="52">
        <v>44036</v>
      </c>
      <c r="C968" s="156" t="s">
        <v>531</v>
      </c>
      <c r="D968" s="156" t="s">
        <v>531</v>
      </c>
      <c r="E968">
        <v>977478</v>
      </c>
      <c r="F968">
        <v>413146.01740000001</v>
      </c>
      <c r="G968">
        <v>422.69940000000003</v>
      </c>
      <c r="H968">
        <v>1.003959</v>
      </c>
      <c r="I968">
        <v>1</v>
      </c>
      <c r="J968" s="156">
        <v>1</v>
      </c>
      <c r="K968">
        <v>1</v>
      </c>
      <c r="L968">
        <v>1</v>
      </c>
      <c r="M968">
        <v>1</v>
      </c>
      <c r="N968">
        <v>1.003959</v>
      </c>
    </row>
    <row r="969" spans="1:14" x14ac:dyDescent="0.35">
      <c r="A969" s="156" t="s">
        <v>542</v>
      </c>
      <c r="B969" s="52">
        <v>44039</v>
      </c>
      <c r="C969" s="156" t="s">
        <v>531</v>
      </c>
      <c r="D969" s="156" t="s">
        <v>531</v>
      </c>
      <c r="E969">
        <v>901484</v>
      </c>
      <c r="F969">
        <v>384498.40830000001</v>
      </c>
      <c r="G969">
        <v>426.44940000000003</v>
      </c>
      <c r="H969">
        <v>1.0142929999999999</v>
      </c>
      <c r="I969">
        <v>1</v>
      </c>
      <c r="J969" s="156">
        <v>1</v>
      </c>
      <c r="K969">
        <v>1</v>
      </c>
      <c r="L969">
        <v>1</v>
      </c>
      <c r="M969">
        <v>1</v>
      </c>
      <c r="N969">
        <v>1.0142929999999999</v>
      </c>
    </row>
    <row r="970" spans="1:14" x14ac:dyDescent="0.35">
      <c r="A970" s="156" t="s">
        <v>542</v>
      </c>
      <c r="B970" s="52">
        <v>44040</v>
      </c>
      <c r="C970" s="156" t="s">
        <v>531</v>
      </c>
      <c r="D970" s="156" t="s">
        <v>531</v>
      </c>
      <c r="E970">
        <v>763383</v>
      </c>
      <c r="F970">
        <v>323904.745</v>
      </c>
      <c r="G970">
        <v>423.73849999999999</v>
      </c>
      <c r="H970">
        <v>0.97061299999999995</v>
      </c>
      <c r="I970">
        <v>1</v>
      </c>
      <c r="J970" s="156">
        <v>1</v>
      </c>
      <c r="K970">
        <v>1</v>
      </c>
      <c r="L970">
        <v>1</v>
      </c>
      <c r="M970">
        <v>1</v>
      </c>
      <c r="N970">
        <v>0.97061299999999995</v>
      </c>
    </row>
    <row r="971" spans="1:14" x14ac:dyDescent="0.35">
      <c r="A971" s="156" t="s">
        <v>542</v>
      </c>
      <c r="B971" s="52">
        <v>44041</v>
      </c>
      <c r="C971" s="156" t="s">
        <v>531</v>
      </c>
      <c r="D971" s="156" t="s">
        <v>531</v>
      </c>
      <c r="E971">
        <v>701637</v>
      </c>
      <c r="F971">
        <v>299653.40720000002</v>
      </c>
      <c r="G971">
        <v>427.05630000000002</v>
      </c>
      <c r="H971">
        <v>1.0199780000000001</v>
      </c>
      <c r="I971">
        <v>1</v>
      </c>
      <c r="J971" s="156">
        <v>1</v>
      </c>
      <c r="K971">
        <v>1</v>
      </c>
      <c r="L971">
        <v>1</v>
      </c>
      <c r="M971">
        <v>1</v>
      </c>
      <c r="N971">
        <v>1.0199780000000001</v>
      </c>
    </row>
    <row r="972" spans="1:14" x14ac:dyDescent="0.35">
      <c r="A972" s="156" t="s">
        <v>542</v>
      </c>
      <c r="B972" s="52">
        <v>44042</v>
      </c>
      <c r="C972" s="156" t="s">
        <v>531</v>
      </c>
      <c r="D972" s="156" t="s">
        <v>531</v>
      </c>
      <c r="E972">
        <v>581915</v>
      </c>
      <c r="F972">
        <v>249584.71770000001</v>
      </c>
      <c r="G972">
        <v>428.80110000000002</v>
      </c>
      <c r="H972">
        <v>1.0057259999999999</v>
      </c>
      <c r="I972">
        <v>1</v>
      </c>
      <c r="J972" s="156">
        <v>1</v>
      </c>
      <c r="K972">
        <v>1</v>
      </c>
      <c r="L972">
        <v>1</v>
      </c>
      <c r="M972">
        <v>1</v>
      </c>
      <c r="N972">
        <v>1.0057259999999999</v>
      </c>
    </row>
    <row r="973" spans="1:14" x14ac:dyDescent="0.35">
      <c r="A973" s="156" t="s">
        <v>542</v>
      </c>
      <c r="B973" s="52">
        <v>44043</v>
      </c>
      <c r="C973" s="156" t="s">
        <v>531</v>
      </c>
      <c r="D973" s="156" t="s">
        <v>531</v>
      </c>
      <c r="E973">
        <v>1662904</v>
      </c>
      <c r="F973">
        <v>740425.03910000005</v>
      </c>
      <c r="G973">
        <v>445.16120000000001</v>
      </c>
      <c r="H973">
        <v>1.0488740000000001</v>
      </c>
      <c r="I973">
        <v>1</v>
      </c>
      <c r="J973" s="156">
        <v>1</v>
      </c>
      <c r="K973">
        <v>1</v>
      </c>
      <c r="L973">
        <v>1</v>
      </c>
      <c r="M973">
        <v>1</v>
      </c>
      <c r="N973">
        <v>1.0488740000000001</v>
      </c>
    </row>
    <row r="974" spans="1:14" x14ac:dyDescent="0.35">
      <c r="A974" s="156" t="s">
        <v>542</v>
      </c>
      <c r="B974" s="52">
        <v>44046</v>
      </c>
      <c r="C974" s="156" t="s">
        <v>531</v>
      </c>
      <c r="D974" s="156" t="s">
        <v>531</v>
      </c>
      <c r="E974">
        <v>1297182</v>
      </c>
      <c r="F974">
        <v>609838.88800000004</v>
      </c>
      <c r="G974">
        <v>470.07420000000002</v>
      </c>
      <c r="H974">
        <v>1.053177</v>
      </c>
      <c r="I974">
        <v>1</v>
      </c>
      <c r="J974" s="156">
        <v>1</v>
      </c>
      <c r="K974">
        <v>1</v>
      </c>
      <c r="L974">
        <v>1</v>
      </c>
      <c r="M974">
        <v>1</v>
      </c>
      <c r="N974">
        <v>1.053177</v>
      </c>
    </row>
    <row r="975" spans="1:14" x14ac:dyDescent="0.35">
      <c r="A975" s="156" t="s">
        <v>542</v>
      </c>
      <c r="B975" s="52">
        <v>44047</v>
      </c>
      <c r="C975" s="156" t="s">
        <v>531</v>
      </c>
      <c r="D975" s="156" t="s">
        <v>531</v>
      </c>
      <c r="E975">
        <v>819939</v>
      </c>
      <c r="F975">
        <v>392034.63630000001</v>
      </c>
      <c r="G975">
        <v>478.11989999999997</v>
      </c>
      <c r="H975">
        <v>1.012181</v>
      </c>
      <c r="I975">
        <v>1</v>
      </c>
      <c r="J975" s="156">
        <v>1</v>
      </c>
      <c r="K975">
        <v>1</v>
      </c>
      <c r="L975">
        <v>1</v>
      </c>
      <c r="M975">
        <v>1</v>
      </c>
      <c r="N975">
        <v>1.012181</v>
      </c>
    </row>
    <row r="976" spans="1:14" x14ac:dyDescent="0.35">
      <c r="A976" s="156" t="s">
        <v>542</v>
      </c>
      <c r="B976" s="52">
        <v>44048</v>
      </c>
      <c r="C976" s="156" t="s">
        <v>531</v>
      </c>
      <c r="D976" s="156" t="s">
        <v>531</v>
      </c>
      <c r="E976">
        <v>1055029</v>
      </c>
      <c r="F976">
        <v>520131.38919999998</v>
      </c>
      <c r="G976">
        <v>493.0829</v>
      </c>
      <c r="H976">
        <v>1.0309280000000001</v>
      </c>
      <c r="I976">
        <v>1</v>
      </c>
      <c r="J976" s="156">
        <v>1</v>
      </c>
      <c r="K976">
        <v>1</v>
      </c>
      <c r="L976">
        <v>1</v>
      </c>
      <c r="M976">
        <v>1</v>
      </c>
      <c r="N976">
        <v>1.0309280000000001</v>
      </c>
    </row>
    <row r="977" spans="1:14" x14ac:dyDescent="0.35">
      <c r="A977" s="156" t="s">
        <v>542</v>
      </c>
      <c r="B977" s="52">
        <v>44049</v>
      </c>
      <c r="C977" s="156" t="s">
        <v>531</v>
      </c>
      <c r="D977" s="156" t="s">
        <v>531</v>
      </c>
      <c r="E977">
        <v>2136613</v>
      </c>
      <c r="F977">
        <v>1032958.0816</v>
      </c>
      <c r="G977">
        <v>483.66860000000003</v>
      </c>
      <c r="H977">
        <v>0.96927399999999997</v>
      </c>
      <c r="I977">
        <v>1</v>
      </c>
      <c r="J977" s="156">
        <v>1</v>
      </c>
      <c r="K977">
        <v>1</v>
      </c>
      <c r="L977">
        <v>1</v>
      </c>
      <c r="M977">
        <v>1</v>
      </c>
      <c r="N977">
        <v>0.96927399999999997</v>
      </c>
    </row>
    <row r="978" spans="1:14" x14ac:dyDescent="0.35">
      <c r="A978" s="156" t="s">
        <v>542</v>
      </c>
      <c r="B978" s="52">
        <v>44050</v>
      </c>
      <c r="C978" s="156" t="s">
        <v>531</v>
      </c>
      <c r="D978" s="156" t="s">
        <v>531</v>
      </c>
      <c r="E978">
        <v>2408049</v>
      </c>
      <c r="F978">
        <v>1192540.5429</v>
      </c>
      <c r="G978">
        <v>495.15570000000002</v>
      </c>
      <c r="H978">
        <v>1.0258970000000001</v>
      </c>
      <c r="I978">
        <v>1</v>
      </c>
      <c r="J978" s="156">
        <v>1</v>
      </c>
      <c r="K978">
        <v>1</v>
      </c>
      <c r="L978">
        <v>1</v>
      </c>
      <c r="M978">
        <v>1</v>
      </c>
      <c r="N978">
        <v>1.0258970000000001</v>
      </c>
    </row>
    <row r="979" spans="1:14" x14ac:dyDescent="0.35">
      <c r="A979" s="156" t="s">
        <v>542</v>
      </c>
      <c r="B979" s="52">
        <v>44053</v>
      </c>
      <c r="C979" s="156" t="s">
        <v>531</v>
      </c>
      <c r="D979" s="156" t="s">
        <v>531</v>
      </c>
      <c r="E979">
        <v>1958786</v>
      </c>
      <c r="F979">
        <v>917358.44440000004</v>
      </c>
      <c r="G979">
        <v>468.51080000000002</v>
      </c>
      <c r="H979">
        <v>0.944303</v>
      </c>
      <c r="I979">
        <v>1</v>
      </c>
      <c r="J979" s="156">
        <v>1</v>
      </c>
      <c r="K979">
        <v>1</v>
      </c>
      <c r="L979">
        <v>1</v>
      </c>
      <c r="M979">
        <v>1</v>
      </c>
      <c r="N979">
        <v>0.944303</v>
      </c>
    </row>
    <row r="980" spans="1:14" x14ac:dyDescent="0.35">
      <c r="A980" s="156" t="s">
        <v>542</v>
      </c>
      <c r="B980" s="52">
        <v>44054</v>
      </c>
      <c r="C980" s="156" t="s">
        <v>531</v>
      </c>
      <c r="D980" s="156" t="s">
        <v>531</v>
      </c>
      <c r="E980">
        <v>1723650</v>
      </c>
      <c r="F980">
        <v>782126.44240000006</v>
      </c>
      <c r="G980">
        <v>453.78309999999999</v>
      </c>
      <c r="H980">
        <v>0.95688499999999999</v>
      </c>
      <c r="I980">
        <v>1</v>
      </c>
      <c r="J980" s="156">
        <v>1</v>
      </c>
      <c r="K980">
        <v>1</v>
      </c>
      <c r="L980">
        <v>1</v>
      </c>
      <c r="M980">
        <v>1</v>
      </c>
      <c r="N980">
        <v>0.95688499999999999</v>
      </c>
    </row>
    <row r="981" spans="1:14" x14ac:dyDescent="0.35">
      <c r="A981" s="156" t="s">
        <v>542</v>
      </c>
      <c r="B981" s="52">
        <v>44055</v>
      </c>
      <c r="C981" s="156" t="s">
        <v>531</v>
      </c>
      <c r="D981" s="156" t="s">
        <v>531</v>
      </c>
      <c r="E981">
        <v>1006221</v>
      </c>
      <c r="F981">
        <v>463572.83069999999</v>
      </c>
      <c r="G981">
        <v>460.64499999999998</v>
      </c>
      <c r="H981">
        <v>1.032267</v>
      </c>
      <c r="I981">
        <v>1</v>
      </c>
      <c r="J981" s="156">
        <v>1</v>
      </c>
      <c r="K981">
        <v>1</v>
      </c>
      <c r="L981">
        <v>1</v>
      </c>
      <c r="M981">
        <v>1</v>
      </c>
      <c r="N981">
        <v>1.032267</v>
      </c>
    </row>
    <row r="982" spans="1:14" x14ac:dyDescent="0.35">
      <c r="A982" s="156" t="s">
        <v>542</v>
      </c>
      <c r="B982" s="52">
        <v>44056</v>
      </c>
      <c r="C982" s="156" t="s">
        <v>531</v>
      </c>
      <c r="D982" s="156" t="s">
        <v>531</v>
      </c>
      <c r="E982">
        <v>1038118</v>
      </c>
      <c r="F982">
        <v>492141.24070000002</v>
      </c>
      <c r="G982">
        <v>474.0403</v>
      </c>
      <c r="H982">
        <v>1.0256719999999999</v>
      </c>
      <c r="I982">
        <v>1</v>
      </c>
      <c r="J982" s="156">
        <v>1</v>
      </c>
      <c r="K982">
        <v>1</v>
      </c>
      <c r="L982">
        <v>1</v>
      </c>
      <c r="M982">
        <v>1</v>
      </c>
      <c r="N982">
        <v>1.0256719999999999</v>
      </c>
    </row>
    <row r="983" spans="1:14" x14ac:dyDescent="0.35">
      <c r="A983" s="156" t="s">
        <v>542</v>
      </c>
      <c r="B983" s="52">
        <v>44057</v>
      </c>
      <c r="C983" s="156" t="s">
        <v>531</v>
      </c>
      <c r="D983" s="156" t="s">
        <v>531</v>
      </c>
      <c r="E983">
        <v>1032821</v>
      </c>
      <c r="F983">
        <v>482906.11589999998</v>
      </c>
      <c r="G983">
        <v>467.35480000000001</v>
      </c>
      <c r="H983">
        <v>0.98677499999999996</v>
      </c>
      <c r="I983">
        <v>1</v>
      </c>
      <c r="J983" s="156">
        <v>1</v>
      </c>
      <c r="K983">
        <v>1</v>
      </c>
      <c r="L983">
        <v>1</v>
      </c>
      <c r="M983">
        <v>1</v>
      </c>
      <c r="N983">
        <v>0.98677499999999996</v>
      </c>
    </row>
    <row r="984" spans="1:14" x14ac:dyDescent="0.35">
      <c r="A984" s="156" t="s">
        <v>542</v>
      </c>
      <c r="B984" s="52">
        <v>44060</v>
      </c>
      <c r="C984" s="156" t="s">
        <v>531</v>
      </c>
      <c r="D984" s="156" t="s">
        <v>531</v>
      </c>
      <c r="E984">
        <v>581391</v>
      </c>
      <c r="F984">
        <v>275231.4841</v>
      </c>
      <c r="G984">
        <v>473.39830000000001</v>
      </c>
      <c r="H984">
        <v>1.0198670000000001</v>
      </c>
      <c r="I984">
        <v>1</v>
      </c>
      <c r="J984" s="156">
        <v>1</v>
      </c>
      <c r="K984">
        <v>1</v>
      </c>
      <c r="L984">
        <v>1</v>
      </c>
      <c r="M984">
        <v>1</v>
      </c>
      <c r="N984">
        <v>1.0198670000000001</v>
      </c>
    </row>
    <row r="985" spans="1:14" x14ac:dyDescent="0.35">
      <c r="A985" s="156" t="s">
        <v>542</v>
      </c>
      <c r="B985" s="52">
        <v>44061</v>
      </c>
      <c r="C985" s="156" t="s">
        <v>531</v>
      </c>
      <c r="D985" s="156" t="s">
        <v>531</v>
      </c>
      <c r="E985">
        <v>549301</v>
      </c>
      <c r="F985">
        <v>259838.8217</v>
      </c>
      <c r="G985">
        <v>473.3107</v>
      </c>
      <c r="H985">
        <v>0.98784899999999998</v>
      </c>
      <c r="I985">
        <v>1</v>
      </c>
      <c r="J985" s="156">
        <v>1</v>
      </c>
      <c r="K985">
        <v>1</v>
      </c>
      <c r="L985">
        <v>1</v>
      </c>
      <c r="M985">
        <v>1</v>
      </c>
      <c r="N985">
        <v>0.98784899999999998</v>
      </c>
    </row>
    <row r="986" spans="1:14" x14ac:dyDescent="0.35">
      <c r="A986" s="156" t="s">
        <v>542</v>
      </c>
      <c r="B986" s="52">
        <v>44062</v>
      </c>
      <c r="C986" s="156" t="s">
        <v>531</v>
      </c>
      <c r="D986" s="156" t="s">
        <v>531</v>
      </c>
      <c r="E986">
        <v>608345</v>
      </c>
      <c r="F986">
        <v>283006.76240000001</v>
      </c>
      <c r="G986">
        <v>465.25740000000002</v>
      </c>
      <c r="H986">
        <v>0.98919199999999996</v>
      </c>
      <c r="I986">
        <v>1</v>
      </c>
      <c r="J986" s="156">
        <v>1</v>
      </c>
      <c r="K986">
        <v>1</v>
      </c>
      <c r="L986">
        <v>1</v>
      </c>
      <c r="M986">
        <v>1</v>
      </c>
      <c r="N986">
        <v>0.98919199999999996</v>
      </c>
    </row>
    <row r="987" spans="1:14" x14ac:dyDescent="0.35">
      <c r="A987" s="156" t="s">
        <v>542</v>
      </c>
      <c r="B987" s="52">
        <v>44063</v>
      </c>
      <c r="C987" s="156" t="s">
        <v>531</v>
      </c>
      <c r="D987" s="156" t="s">
        <v>531</v>
      </c>
      <c r="E987">
        <v>543709</v>
      </c>
      <c r="F987">
        <v>254730.03159999999</v>
      </c>
      <c r="G987">
        <v>468.42</v>
      </c>
      <c r="H987">
        <v>1.0134700000000001</v>
      </c>
      <c r="I987">
        <v>1</v>
      </c>
      <c r="J987" s="156">
        <v>1</v>
      </c>
      <c r="K987">
        <v>1</v>
      </c>
      <c r="L987">
        <v>1</v>
      </c>
      <c r="M987">
        <v>1</v>
      </c>
      <c r="N987">
        <v>1.0134700000000001</v>
      </c>
    </row>
    <row r="988" spans="1:14" x14ac:dyDescent="0.35">
      <c r="A988" s="156" t="s">
        <v>542</v>
      </c>
      <c r="B988" s="52">
        <v>44064</v>
      </c>
      <c r="C988" s="156" t="s">
        <v>531</v>
      </c>
      <c r="D988" s="156" t="s">
        <v>531</v>
      </c>
      <c r="E988">
        <v>578886</v>
      </c>
      <c r="F988">
        <v>269384.82980000001</v>
      </c>
      <c r="G988">
        <v>465.54770000000002</v>
      </c>
      <c r="H988">
        <v>0.98196700000000003</v>
      </c>
      <c r="I988">
        <v>1</v>
      </c>
      <c r="J988" s="156">
        <v>1</v>
      </c>
      <c r="K988">
        <v>1</v>
      </c>
      <c r="L988">
        <v>1</v>
      </c>
      <c r="M988">
        <v>1</v>
      </c>
      <c r="N988">
        <v>0.98196700000000003</v>
      </c>
    </row>
    <row r="989" spans="1:14" x14ac:dyDescent="0.35">
      <c r="A989" s="156" t="s">
        <v>542</v>
      </c>
      <c r="B989" s="52">
        <v>44067</v>
      </c>
      <c r="C989" s="156" t="s">
        <v>531</v>
      </c>
      <c r="D989" s="156" t="s">
        <v>531</v>
      </c>
      <c r="E989">
        <v>836907</v>
      </c>
      <c r="F989">
        <v>391969.7084</v>
      </c>
      <c r="G989">
        <v>468.37349999999998</v>
      </c>
      <c r="H989">
        <v>1.0105679999999999</v>
      </c>
      <c r="I989">
        <v>1</v>
      </c>
      <c r="J989" s="156">
        <v>1</v>
      </c>
      <c r="K989">
        <v>1</v>
      </c>
      <c r="L989">
        <v>1</v>
      </c>
      <c r="M989">
        <v>1</v>
      </c>
      <c r="N989">
        <v>1.0105679999999999</v>
      </c>
    </row>
    <row r="990" spans="1:14" x14ac:dyDescent="0.35">
      <c r="A990" s="156" t="s">
        <v>542</v>
      </c>
      <c r="B990" s="52">
        <v>44068</v>
      </c>
      <c r="C990" s="156" t="s">
        <v>531</v>
      </c>
      <c r="D990" s="156" t="s">
        <v>531</v>
      </c>
      <c r="E990">
        <v>599377</v>
      </c>
      <c r="F990">
        <v>279471.43459999998</v>
      </c>
      <c r="G990">
        <v>466.2253</v>
      </c>
      <c r="H990">
        <v>1.0069429999999999</v>
      </c>
      <c r="I990">
        <v>1</v>
      </c>
      <c r="J990" s="156">
        <v>1</v>
      </c>
      <c r="K990">
        <v>1</v>
      </c>
      <c r="L990">
        <v>1</v>
      </c>
      <c r="M990">
        <v>1</v>
      </c>
      <c r="N990">
        <v>1.0069429999999999</v>
      </c>
    </row>
    <row r="991" spans="1:14" x14ac:dyDescent="0.35">
      <c r="A991" s="156" t="s">
        <v>542</v>
      </c>
      <c r="B991" s="52">
        <v>44069</v>
      </c>
      <c r="C991" s="156" t="s">
        <v>531</v>
      </c>
      <c r="D991" s="156" t="s">
        <v>531</v>
      </c>
      <c r="E991">
        <v>938363</v>
      </c>
      <c r="F991">
        <v>453797.27100000001</v>
      </c>
      <c r="G991">
        <v>483.50839999999999</v>
      </c>
      <c r="H991">
        <v>1.0237069999999999</v>
      </c>
      <c r="I991">
        <v>1</v>
      </c>
      <c r="J991" s="156">
        <v>1</v>
      </c>
      <c r="K991">
        <v>1</v>
      </c>
      <c r="L991">
        <v>1</v>
      </c>
      <c r="M991">
        <v>1</v>
      </c>
      <c r="N991">
        <v>1.0237069999999999</v>
      </c>
    </row>
    <row r="992" spans="1:14" x14ac:dyDescent="0.35">
      <c r="A992" s="156" t="s">
        <v>542</v>
      </c>
      <c r="B992" s="52">
        <v>44070</v>
      </c>
      <c r="C992" s="156" t="s">
        <v>531</v>
      </c>
      <c r="D992" s="156" t="s">
        <v>531</v>
      </c>
      <c r="E992">
        <v>880447</v>
      </c>
      <c r="F992">
        <v>417374.04759999999</v>
      </c>
      <c r="G992">
        <v>474.16699999999997</v>
      </c>
      <c r="H992">
        <v>0.98557300000000003</v>
      </c>
      <c r="I992">
        <v>1</v>
      </c>
      <c r="J992" s="156">
        <v>1</v>
      </c>
      <c r="K992">
        <v>1</v>
      </c>
      <c r="L992">
        <v>1</v>
      </c>
      <c r="M992">
        <v>1</v>
      </c>
      <c r="N992">
        <v>0.98557300000000003</v>
      </c>
    </row>
    <row r="993" spans="1:14" x14ac:dyDescent="0.35">
      <c r="A993" s="156" t="s">
        <v>542</v>
      </c>
      <c r="B993" s="52">
        <v>44071</v>
      </c>
      <c r="C993" s="156" t="s">
        <v>531</v>
      </c>
      <c r="D993" s="156" t="s">
        <v>531</v>
      </c>
      <c r="E993">
        <v>998336</v>
      </c>
      <c r="F993">
        <v>486053.77769999998</v>
      </c>
      <c r="G993">
        <v>486.79570000000001</v>
      </c>
      <c r="H993">
        <v>1.024467</v>
      </c>
      <c r="I993">
        <v>1</v>
      </c>
      <c r="J993" s="156">
        <v>1</v>
      </c>
      <c r="K993">
        <v>1</v>
      </c>
      <c r="L993">
        <v>1</v>
      </c>
      <c r="M993">
        <v>1</v>
      </c>
      <c r="N993">
        <v>1.024467</v>
      </c>
    </row>
    <row r="994" spans="1:14" x14ac:dyDescent="0.35">
      <c r="A994" s="156" t="s">
        <v>542</v>
      </c>
      <c r="B994" s="52">
        <v>44074</v>
      </c>
      <c r="C994" s="156" t="s">
        <v>531</v>
      </c>
      <c r="D994" s="156" t="s">
        <v>531</v>
      </c>
      <c r="E994">
        <v>621138</v>
      </c>
      <c r="F994">
        <v>299056.85759999999</v>
      </c>
      <c r="G994">
        <v>481.55810000000002</v>
      </c>
      <c r="H994">
        <v>0.99094099999999996</v>
      </c>
      <c r="I994">
        <v>1</v>
      </c>
      <c r="J994" s="156">
        <v>1</v>
      </c>
      <c r="K994">
        <v>1</v>
      </c>
      <c r="L994">
        <v>1</v>
      </c>
      <c r="M994">
        <v>1</v>
      </c>
      <c r="N994">
        <v>0.99094099999999996</v>
      </c>
    </row>
    <row r="995" spans="1:14" x14ac:dyDescent="0.35">
      <c r="A995" s="156" t="s">
        <v>542</v>
      </c>
      <c r="B995" s="52">
        <v>44075</v>
      </c>
      <c r="C995" s="156" t="s">
        <v>531</v>
      </c>
      <c r="D995" s="156" t="s">
        <v>531</v>
      </c>
      <c r="E995">
        <v>819206</v>
      </c>
      <c r="F995">
        <v>406370.18489999999</v>
      </c>
      <c r="G995">
        <v>496.09300000000002</v>
      </c>
      <c r="H995">
        <v>1.041741</v>
      </c>
      <c r="I995">
        <v>1</v>
      </c>
      <c r="J995" s="156">
        <v>1</v>
      </c>
      <c r="K995">
        <v>1</v>
      </c>
      <c r="L995">
        <v>1</v>
      </c>
      <c r="M995">
        <v>1</v>
      </c>
      <c r="N995">
        <v>1.041741</v>
      </c>
    </row>
    <row r="996" spans="1:14" x14ac:dyDescent="0.35">
      <c r="A996" s="156" t="s">
        <v>542</v>
      </c>
      <c r="B996" s="52">
        <v>44076</v>
      </c>
      <c r="C996" s="156" t="s">
        <v>531</v>
      </c>
      <c r="D996" s="156" t="s">
        <v>531</v>
      </c>
      <c r="E996">
        <v>1728542</v>
      </c>
      <c r="F996">
        <v>865772.90659999999</v>
      </c>
      <c r="G996">
        <v>501.06459999999998</v>
      </c>
      <c r="H996">
        <v>1.0271539999999999</v>
      </c>
      <c r="I996">
        <v>1</v>
      </c>
      <c r="J996" s="156">
        <v>1</v>
      </c>
      <c r="K996">
        <v>1</v>
      </c>
      <c r="L996">
        <v>1</v>
      </c>
      <c r="M996">
        <v>1</v>
      </c>
      <c r="N996">
        <v>1.0271539999999999</v>
      </c>
    </row>
    <row r="997" spans="1:14" x14ac:dyDescent="0.35">
      <c r="A997" s="156" t="s">
        <v>542</v>
      </c>
      <c r="B997" s="52">
        <v>44077</v>
      </c>
      <c r="C997" s="156" t="s">
        <v>531</v>
      </c>
      <c r="D997" s="156" t="s">
        <v>531</v>
      </c>
      <c r="E997">
        <v>1520706</v>
      </c>
      <c r="F997">
        <v>718774.74959999998</v>
      </c>
      <c r="G997">
        <v>472.76990000000001</v>
      </c>
      <c r="H997">
        <v>0.90222400000000003</v>
      </c>
      <c r="I997">
        <v>1</v>
      </c>
      <c r="J997" s="156">
        <v>1</v>
      </c>
      <c r="K997">
        <v>1</v>
      </c>
      <c r="L997">
        <v>1</v>
      </c>
      <c r="M997">
        <v>1</v>
      </c>
      <c r="N997">
        <v>0.90222400000000003</v>
      </c>
    </row>
    <row r="998" spans="1:14" x14ac:dyDescent="0.35">
      <c r="A998" s="156" t="s">
        <v>542</v>
      </c>
      <c r="B998" s="52">
        <v>44078</v>
      </c>
      <c r="C998" s="156" t="s">
        <v>531</v>
      </c>
      <c r="D998" s="156" t="s">
        <v>531</v>
      </c>
      <c r="E998">
        <v>2341705</v>
      </c>
      <c r="F998">
        <v>1014507.6004999999</v>
      </c>
      <c r="G998">
        <v>431.98410000000001</v>
      </c>
      <c r="H998">
        <v>0.94966099999999998</v>
      </c>
      <c r="I998">
        <v>1</v>
      </c>
      <c r="J998" s="156">
        <v>1</v>
      </c>
      <c r="K998">
        <v>1</v>
      </c>
      <c r="L998">
        <v>1</v>
      </c>
      <c r="M998">
        <v>1</v>
      </c>
      <c r="N998">
        <v>0.94966099999999998</v>
      </c>
    </row>
    <row r="999" spans="1:14" x14ac:dyDescent="0.35">
      <c r="A999" s="156" t="s">
        <v>542</v>
      </c>
      <c r="B999" s="52">
        <v>44082</v>
      </c>
      <c r="C999" s="156" t="s">
        <v>531</v>
      </c>
      <c r="D999" s="156" t="s">
        <v>531</v>
      </c>
      <c r="E999">
        <v>919790</v>
      </c>
      <c r="F999">
        <v>391865.3443</v>
      </c>
      <c r="G999">
        <v>425.59309999999999</v>
      </c>
      <c r="H999">
        <v>0.95202399999999998</v>
      </c>
      <c r="I999">
        <v>1</v>
      </c>
      <c r="J999" s="156">
        <v>1</v>
      </c>
      <c r="K999">
        <v>1</v>
      </c>
      <c r="L999">
        <v>1</v>
      </c>
      <c r="M999">
        <v>1</v>
      </c>
      <c r="N999">
        <v>0.95202399999999998</v>
      </c>
    </row>
    <row r="1000" spans="1:14" x14ac:dyDescent="0.35">
      <c r="A1000" s="156" t="s">
        <v>542</v>
      </c>
      <c r="B1000" s="52">
        <v>44083</v>
      </c>
      <c r="C1000" s="156" t="s">
        <v>531</v>
      </c>
      <c r="D1000" s="156" t="s">
        <v>531</v>
      </c>
      <c r="E1000">
        <v>947254</v>
      </c>
      <c r="F1000">
        <v>410233.77769999998</v>
      </c>
      <c r="G1000">
        <v>433.0437</v>
      </c>
      <c r="H1000">
        <v>1.0308269999999999</v>
      </c>
      <c r="I1000">
        <v>1</v>
      </c>
      <c r="J1000" s="156">
        <v>1</v>
      </c>
      <c r="K1000">
        <v>1</v>
      </c>
      <c r="L1000">
        <v>1</v>
      </c>
      <c r="M1000">
        <v>1</v>
      </c>
      <c r="N1000">
        <v>1.0308269999999999</v>
      </c>
    </row>
    <row r="1001" spans="1:14" x14ac:dyDescent="0.35">
      <c r="A1001" s="156" t="s">
        <v>542</v>
      </c>
      <c r="B1001" s="52">
        <v>44084</v>
      </c>
      <c r="C1001" s="156" t="s">
        <v>531</v>
      </c>
      <c r="D1001" s="156" t="s">
        <v>531</v>
      </c>
      <c r="E1001">
        <v>880066</v>
      </c>
      <c r="F1001">
        <v>386965.42839999998</v>
      </c>
      <c r="G1001">
        <v>439.94900000000001</v>
      </c>
      <c r="H1001">
        <v>0.98630600000000002</v>
      </c>
      <c r="I1001">
        <v>1</v>
      </c>
      <c r="J1001" s="156">
        <v>1</v>
      </c>
      <c r="K1001">
        <v>1</v>
      </c>
      <c r="L1001">
        <v>1</v>
      </c>
      <c r="M1001">
        <v>1</v>
      </c>
      <c r="N1001">
        <v>0.98630600000000002</v>
      </c>
    </row>
    <row r="1002" spans="1:14" x14ac:dyDescent="0.35">
      <c r="A1002" s="156" t="s">
        <v>542</v>
      </c>
      <c r="B1002" s="52">
        <v>44085</v>
      </c>
      <c r="C1002" s="156" t="s">
        <v>531</v>
      </c>
      <c r="D1002" s="156" t="s">
        <v>531</v>
      </c>
      <c r="E1002">
        <v>719337</v>
      </c>
      <c r="F1002">
        <v>302162.36800000002</v>
      </c>
      <c r="G1002">
        <v>420.1635</v>
      </c>
      <c r="H1002">
        <v>0.98016899999999996</v>
      </c>
      <c r="I1002">
        <v>1</v>
      </c>
      <c r="J1002" s="156">
        <v>1</v>
      </c>
      <c r="K1002">
        <v>1</v>
      </c>
      <c r="L1002">
        <v>1</v>
      </c>
      <c r="M1002">
        <v>1</v>
      </c>
      <c r="N1002">
        <v>0.98016899999999996</v>
      </c>
    </row>
    <row r="1003" spans="1:14" x14ac:dyDescent="0.35">
      <c r="A1003" s="156" t="s">
        <v>542</v>
      </c>
      <c r="B1003" s="52">
        <v>44088</v>
      </c>
      <c r="C1003" s="156" t="s">
        <v>531</v>
      </c>
      <c r="D1003" s="156" t="s">
        <v>531</v>
      </c>
      <c r="E1003">
        <v>565643</v>
      </c>
      <c r="F1003">
        <v>241611.35370000001</v>
      </c>
      <c r="G1003">
        <v>427.1506</v>
      </c>
      <c r="H1003">
        <v>1.021188</v>
      </c>
      <c r="I1003">
        <v>1</v>
      </c>
      <c r="J1003" s="156">
        <v>1</v>
      </c>
      <c r="K1003">
        <v>1</v>
      </c>
      <c r="L1003">
        <v>1</v>
      </c>
      <c r="M1003">
        <v>1</v>
      </c>
      <c r="N1003">
        <v>1.021188</v>
      </c>
    </row>
    <row r="1004" spans="1:14" x14ac:dyDescent="0.35">
      <c r="A1004" s="156" t="s">
        <v>542</v>
      </c>
      <c r="B1004" s="52">
        <v>44089</v>
      </c>
      <c r="C1004" s="156" t="s">
        <v>531</v>
      </c>
      <c r="D1004" s="156" t="s">
        <v>531</v>
      </c>
      <c r="E1004">
        <v>820066</v>
      </c>
      <c r="F1004">
        <v>362579.7366</v>
      </c>
      <c r="G1004">
        <v>442.18009999999998</v>
      </c>
      <c r="H1004">
        <v>1.0416129999999999</v>
      </c>
      <c r="I1004">
        <v>1</v>
      </c>
      <c r="J1004" s="156">
        <v>1</v>
      </c>
      <c r="K1004">
        <v>1</v>
      </c>
      <c r="L1004">
        <v>1</v>
      </c>
      <c r="M1004">
        <v>1</v>
      </c>
      <c r="N1004">
        <v>1.0416129999999999</v>
      </c>
    </row>
    <row r="1005" spans="1:14" x14ac:dyDescent="0.35">
      <c r="A1005" s="156" t="s">
        <v>542</v>
      </c>
      <c r="B1005" s="52">
        <v>44090</v>
      </c>
      <c r="C1005" s="156" t="s">
        <v>531</v>
      </c>
      <c r="D1005" s="156" t="s">
        <v>531</v>
      </c>
      <c r="E1005">
        <v>1131419</v>
      </c>
      <c r="F1005">
        <v>502779.49239999999</v>
      </c>
      <c r="G1005">
        <v>443.90859999999998</v>
      </c>
      <c r="H1005">
        <v>0.99104000000000003</v>
      </c>
      <c r="I1005">
        <v>1</v>
      </c>
      <c r="J1005" s="156">
        <v>1</v>
      </c>
      <c r="K1005">
        <v>1</v>
      </c>
      <c r="L1005">
        <v>1</v>
      </c>
      <c r="M1005">
        <v>1</v>
      </c>
      <c r="N1005">
        <v>0.99104000000000003</v>
      </c>
    </row>
    <row r="1006" spans="1:14" x14ac:dyDescent="0.35">
      <c r="A1006" s="156" t="s">
        <v>542</v>
      </c>
      <c r="B1006" s="52">
        <v>44091</v>
      </c>
      <c r="C1006" s="156" t="s">
        <v>531</v>
      </c>
      <c r="D1006" s="156" t="s">
        <v>531</v>
      </c>
      <c r="E1006">
        <v>1457604</v>
      </c>
      <c r="F1006">
        <v>616689.03449999995</v>
      </c>
      <c r="G1006">
        <v>422.79329999999999</v>
      </c>
      <c r="H1006">
        <v>0.97158500000000003</v>
      </c>
      <c r="I1006">
        <v>1</v>
      </c>
      <c r="J1006" s="156">
        <v>1</v>
      </c>
      <c r="K1006">
        <v>1</v>
      </c>
      <c r="L1006">
        <v>1</v>
      </c>
      <c r="M1006">
        <v>1</v>
      </c>
      <c r="N1006">
        <v>0.97158500000000003</v>
      </c>
    </row>
    <row r="1007" spans="1:14" x14ac:dyDescent="0.35">
      <c r="A1007" s="156" t="s">
        <v>542</v>
      </c>
      <c r="B1007" s="52">
        <v>44092</v>
      </c>
      <c r="C1007" s="156" t="s">
        <v>531</v>
      </c>
      <c r="D1007" s="156" t="s">
        <v>531</v>
      </c>
      <c r="E1007">
        <v>1371392</v>
      </c>
      <c r="F1007">
        <v>594475.69759999996</v>
      </c>
      <c r="G1007">
        <v>433.98559999999998</v>
      </c>
      <c r="H1007">
        <v>1.0162789999999999</v>
      </c>
      <c r="I1007">
        <v>1</v>
      </c>
      <c r="J1007" s="156">
        <v>1</v>
      </c>
      <c r="K1007">
        <v>1</v>
      </c>
      <c r="L1007">
        <v>1</v>
      </c>
      <c r="M1007">
        <v>1</v>
      </c>
      <c r="N1007">
        <v>1.0162789999999999</v>
      </c>
    </row>
    <row r="1008" spans="1:14" x14ac:dyDescent="0.35">
      <c r="A1008" s="156" t="s">
        <v>542</v>
      </c>
      <c r="B1008" s="52">
        <v>44095</v>
      </c>
      <c r="C1008" s="156" t="s">
        <v>531</v>
      </c>
      <c r="D1008" s="156" t="s">
        <v>531</v>
      </c>
      <c r="E1008">
        <v>1334722</v>
      </c>
      <c r="F1008">
        <v>600852.1727</v>
      </c>
      <c r="G1008">
        <v>450.83109999999999</v>
      </c>
      <c r="H1008">
        <v>1.0592079999999999</v>
      </c>
      <c r="I1008">
        <v>1</v>
      </c>
      <c r="J1008" s="156">
        <v>1</v>
      </c>
      <c r="K1008">
        <v>1</v>
      </c>
      <c r="L1008">
        <v>1</v>
      </c>
      <c r="M1008">
        <v>1</v>
      </c>
      <c r="N1008">
        <v>1.0592079999999999</v>
      </c>
    </row>
    <row r="1009" spans="1:14" x14ac:dyDescent="0.35">
      <c r="A1009" s="156" t="s">
        <v>542</v>
      </c>
      <c r="B1009" s="52">
        <v>44096</v>
      </c>
      <c r="C1009" s="156" t="s">
        <v>531</v>
      </c>
      <c r="D1009" s="156" t="s">
        <v>531</v>
      </c>
      <c r="E1009">
        <v>967948</v>
      </c>
      <c r="F1009">
        <v>447699.47330000001</v>
      </c>
      <c r="G1009">
        <v>463.06889999999999</v>
      </c>
      <c r="H1009">
        <v>1.013368</v>
      </c>
      <c r="I1009">
        <v>1</v>
      </c>
      <c r="J1009" s="156">
        <v>1</v>
      </c>
      <c r="K1009">
        <v>1</v>
      </c>
      <c r="L1009">
        <v>1</v>
      </c>
      <c r="M1009">
        <v>1</v>
      </c>
      <c r="N1009">
        <v>1.013368</v>
      </c>
    </row>
    <row r="1010" spans="1:14" x14ac:dyDescent="0.35">
      <c r="A1010" s="156" t="s">
        <v>542</v>
      </c>
      <c r="B1010" s="52">
        <v>44097</v>
      </c>
      <c r="C1010" s="156" t="s">
        <v>531</v>
      </c>
      <c r="D1010" s="156" t="s">
        <v>531</v>
      </c>
      <c r="E1010">
        <v>685782</v>
      </c>
      <c r="F1010">
        <v>318428.89870000002</v>
      </c>
      <c r="G1010">
        <v>464.42329999999998</v>
      </c>
      <c r="H1010">
        <v>0.97765800000000003</v>
      </c>
      <c r="I1010">
        <v>1</v>
      </c>
      <c r="J1010" s="156">
        <v>1</v>
      </c>
      <c r="K1010">
        <v>1</v>
      </c>
      <c r="L1010">
        <v>1</v>
      </c>
      <c r="M1010">
        <v>1</v>
      </c>
      <c r="N1010">
        <v>0.97765800000000003</v>
      </c>
    </row>
    <row r="1011" spans="1:14" x14ac:dyDescent="0.35">
      <c r="A1011" s="156" t="s">
        <v>542</v>
      </c>
      <c r="B1011" s="52">
        <v>44098</v>
      </c>
      <c r="C1011" s="156" t="s">
        <v>531</v>
      </c>
      <c r="D1011" s="156" t="s">
        <v>531</v>
      </c>
      <c r="E1011">
        <v>862652</v>
      </c>
      <c r="F1011">
        <v>388124.02110000001</v>
      </c>
      <c r="G1011">
        <v>449.66050000000001</v>
      </c>
      <c r="H1011">
        <v>0.99109899999999995</v>
      </c>
      <c r="I1011">
        <v>1</v>
      </c>
      <c r="J1011" s="156">
        <v>1</v>
      </c>
      <c r="K1011">
        <v>1</v>
      </c>
      <c r="L1011">
        <v>1</v>
      </c>
      <c r="M1011">
        <v>1</v>
      </c>
      <c r="N1011">
        <v>0.99109899999999995</v>
      </c>
    </row>
    <row r="1012" spans="1:14" x14ac:dyDescent="0.35">
      <c r="A1012" s="156" t="s">
        <v>542</v>
      </c>
      <c r="B1012" s="52">
        <v>44099</v>
      </c>
      <c r="C1012" s="156" t="s">
        <v>531</v>
      </c>
      <c r="D1012" s="156" t="s">
        <v>531</v>
      </c>
      <c r="E1012">
        <v>712917</v>
      </c>
      <c r="F1012">
        <v>333399.78009999997</v>
      </c>
      <c r="G1012">
        <v>467.58339999999998</v>
      </c>
      <c r="H1012">
        <v>1.0440640000000001</v>
      </c>
      <c r="I1012">
        <v>1</v>
      </c>
      <c r="J1012" s="156">
        <v>1</v>
      </c>
      <c r="K1012">
        <v>1</v>
      </c>
      <c r="L1012">
        <v>1</v>
      </c>
      <c r="M1012">
        <v>1</v>
      </c>
      <c r="N1012">
        <v>1.0440640000000001</v>
      </c>
    </row>
    <row r="1013" spans="1:14" x14ac:dyDescent="0.35">
      <c r="A1013" s="156" t="s">
        <v>542</v>
      </c>
      <c r="B1013" s="52">
        <v>44102</v>
      </c>
      <c r="C1013" s="156" t="s">
        <v>531</v>
      </c>
      <c r="D1013" s="156" t="s">
        <v>531</v>
      </c>
      <c r="E1013">
        <v>577988</v>
      </c>
      <c r="F1013">
        <v>279747.87229999999</v>
      </c>
      <c r="G1013">
        <v>483.87139999999999</v>
      </c>
      <c r="H1013">
        <v>1.0305599999999999</v>
      </c>
      <c r="I1013">
        <v>1</v>
      </c>
      <c r="J1013" s="156">
        <v>1</v>
      </c>
      <c r="K1013">
        <v>1</v>
      </c>
      <c r="L1013">
        <v>1</v>
      </c>
      <c r="M1013">
        <v>1</v>
      </c>
      <c r="N1013">
        <v>1.0305599999999999</v>
      </c>
    </row>
    <row r="1014" spans="1:14" x14ac:dyDescent="0.35">
      <c r="A1014" s="156" t="s">
        <v>542</v>
      </c>
      <c r="B1014" s="52">
        <v>44103</v>
      </c>
      <c r="C1014" s="156" t="s">
        <v>531</v>
      </c>
      <c r="D1014" s="156" t="s">
        <v>531</v>
      </c>
      <c r="E1014">
        <v>1227728</v>
      </c>
      <c r="F1014">
        <v>613391.44869999995</v>
      </c>
      <c r="G1014">
        <v>499.43669999999997</v>
      </c>
      <c r="H1014">
        <v>1.021881</v>
      </c>
      <c r="I1014">
        <v>1</v>
      </c>
      <c r="J1014" s="156">
        <v>1</v>
      </c>
      <c r="K1014">
        <v>1</v>
      </c>
      <c r="L1014">
        <v>1</v>
      </c>
      <c r="M1014">
        <v>1</v>
      </c>
      <c r="N1014">
        <v>1.021881</v>
      </c>
    </row>
    <row r="1015" spans="1:14" x14ac:dyDescent="0.35">
      <c r="A1015" s="156" t="s">
        <v>542</v>
      </c>
      <c r="B1015" s="52">
        <v>44104</v>
      </c>
      <c r="C1015" s="156" t="s">
        <v>531</v>
      </c>
      <c r="D1015" s="156" t="s">
        <v>531</v>
      </c>
      <c r="E1015">
        <v>1081171</v>
      </c>
      <c r="F1015">
        <v>555562.06790000002</v>
      </c>
      <c r="G1015">
        <v>513.85720000000003</v>
      </c>
      <c r="H1015">
        <v>1.0410999999999999</v>
      </c>
      <c r="I1015">
        <v>1</v>
      </c>
      <c r="J1015" s="156">
        <v>1</v>
      </c>
      <c r="K1015">
        <v>1</v>
      </c>
      <c r="L1015">
        <v>1</v>
      </c>
      <c r="M1015">
        <v>1</v>
      </c>
      <c r="N1015">
        <v>1.0410999999999999</v>
      </c>
    </row>
    <row r="1016" spans="1:14" x14ac:dyDescent="0.35">
      <c r="A1016" s="156" t="s">
        <v>542</v>
      </c>
      <c r="B1016" s="52">
        <v>44105</v>
      </c>
      <c r="C1016" s="156" t="s">
        <v>531</v>
      </c>
      <c r="D1016" s="156" t="s">
        <v>531</v>
      </c>
      <c r="E1016">
        <v>1666404</v>
      </c>
      <c r="F1016">
        <v>911063.4227</v>
      </c>
      <c r="G1016">
        <v>546.41629999999998</v>
      </c>
      <c r="H1016">
        <v>1.0701449999999999</v>
      </c>
      <c r="I1016">
        <v>1</v>
      </c>
      <c r="J1016" s="156">
        <v>1</v>
      </c>
      <c r="K1016">
        <v>1</v>
      </c>
      <c r="L1016">
        <v>1</v>
      </c>
      <c r="M1016">
        <v>1</v>
      </c>
      <c r="N1016">
        <v>1.0701449999999999</v>
      </c>
    </row>
    <row r="1017" spans="1:14" x14ac:dyDescent="0.35">
      <c r="A1017" s="156" t="s">
        <v>542</v>
      </c>
      <c r="B1017" s="52">
        <v>44106</v>
      </c>
      <c r="C1017" s="156" t="s">
        <v>531</v>
      </c>
      <c r="D1017" s="156" t="s">
        <v>531</v>
      </c>
      <c r="E1017">
        <v>1351472</v>
      </c>
      <c r="F1017">
        <v>751199.85690000001</v>
      </c>
      <c r="G1017">
        <v>555.53390000000002</v>
      </c>
      <c r="H1017">
        <v>1.0023599999999999</v>
      </c>
      <c r="I1017">
        <v>1</v>
      </c>
      <c r="J1017" s="156">
        <v>1</v>
      </c>
      <c r="K1017">
        <v>1</v>
      </c>
      <c r="L1017">
        <v>1</v>
      </c>
      <c r="M1017">
        <v>1</v>
      </c>
      <c r="N1017">
        <v>1.0023599999999999</v>
      </c>
    </row>
    <row r="1018" spans="1:14" x14ac:dyDescent="0.35">
      <c r="A1018" s="156" t="s">
        <v>542</v>
      </c>
      <c r="B1018" s="52">
        <v>44109</v>
      </c>
      <c r="C1018" s="156" t="s">
        <v>531</v>
      </c>
      <c r="D1018" s="156" t="s">
        <v>531</v>
      </c>
      <c r="E1018">
        <v>773109</v>
      </c>
      <c r="F1018">
        <v>440658.0295</v>
      </c>
      <c r="G1018">
        <v>570.11959999999999</v>
      </c>
      <c r="H1018">
        <v>1.0313220000000001</v>
      </c>
      <c r="I1018">
        <v>1</v>
      </c>
      <c r="J1018" s="156">
        <v>1</v>
      </c>
      <c r="K1018">
        <v>1</v>
      </c>
      <c r="L1018">
        <v>1</v>
      </c>
      <c r="M1018">
        <v>1</v>
      </c>
      <c r="N1018">
        <v>1.0313220000000001</v>
      </c>
    </row>
    <row r="1019" spans="1:14" x14ac:dyDescent="0.35">
      <c r="A1019" s="156" t="s">
        <v>542</v>
      </c>
      <c r="B1019" s="52">
        <v>44110</v>
      </c>
      <c r="C1019" s="156" t="s">
        <v>531</v>
      </c>
      <c r="D1019" s="156" t="s">
        <v>531</v>
      </c>
      <c r="E1019">
        <v>1152258</v>
      </c>
      <c r="F1019">
        <v>677220.03029999998</v>
      </c>
      <c r="G1019">
        <v>587.62739999999997</v>
      </c>
      <c r="H1019">
        <v>1.0197590000000001</v>
      </c>
      <c r="I1019">
        <v>1</v>
      </c>
      <c r="J1019" s="156">
        <v>1</v>
      </c>
      <c r="K1019">
        <v>1</v>
      </c>
      <c r="L1019">
        <v>1</v>
      </c>
      <c r="M1019">
        <v>1</v>
      </c>
      <c r="N1019">
        <v>1.0197590000000001</v>
      </c>
    </row>
    <row r="1020" spans="1:14" x14ac:dyDescent="0.35">
      <c r="A1020" s="156" t="s">
        <v>542</v>
      </c>
      <c r="B1020" s="52">
        <v>44111</v>
      </c>
      <c r="C1020" s="156" t="s">
        <v>531</v>
      </c>
      <c r="D1020" s="156" t="s">
        <v>531</v>
      </c>
      <c r="E1020">
        <v>1204441</v>
      </c>
      <c r="F1020">
        <v>720924.12109999999</v>
      </c>
      <c r="G1020">
        <v>598.63660000000004</v>
      </c>
      <c r="H1020">
        <v>1.0139769999999999</v>
      </c>
      <c r="I1020">
        <v>1</v>
      </c>
      <c r="J1020" s="156">
        <v>1</v>
      </c>
      <c r="K1020">
        <v>1</v>
      </c>
      <c r="L1020">
        <v>1</v>
      </c>
      <c r="M1020">
        <v>1</v>
      </c>
      <c r="N1020">
        <v>1.0139769999999999</v>
      </c>
    </row>
    <row r="1021" spans="1:14" x14ac:dyDescent="0.35">
      <c r="A1021" s="156" t="s">
        <v>542</v>
      </c>
      <c r="B1021" s="52">
        <v>44112</v>
      </c>
      <c r="C1021" s="156" t="s">
        <v>531</v>
      </c>
      <c r="D1021" s="156" t="s">
        <v>531</v>
      </c>
      <c r="E1021">
        <v>700419</v>
      </c>
      <c r="F1021">
        <v>421804.8787</v>
      </c>
      <c r="G1021">
        <v>602.17259999999999</v>
      </c>
      <c r="H1021">
        <v>1.020424</v>
      </c>
      <c r="I1021">
        <v>1</v>
      </c>
      <c r="J1021" s="156">
        <v>1</v>
      </c>
      <c r="K1021">
        <v>1</v>
      </c>
      <c r="L1021">
        <v>1</v>
      </c>
      <c r="M1021">
        <v>1</v>
      </c>
      <c r="N1021">
        <v>1.020424</v>
      </c>
    </row>
    <row r="1022" spans="1:14" x14ac:dyDescent="0.35">
      <c r="A1022" s="156" t="s">
        <v>542</v>
      </c>
      <c r="B1022" s="52">
        <v>44113</v>
      </c>
      <c r="C1022" s="156" t="s">
        <v>531</v>
      </c>
      <c r="D1022" s="156" t="s">
        <v>531</v>
      </c>
      <c r="E1022">
        <v>902112</v>
      </c>
      <c r="F1022">
        <v>553392.93819999998</v>
      </c>
      <c r="G1022">
        <v>613.30100000000004</v>
      </c>
      <c r="H1022">
        <v>1.0124850000000001</v>
      </c>
      <c r="I1022">
        <v>1</v>
      </c>
      <c r="J1022" s="156">
        <v>1</v>
      </c>
      <c r="K1022">
        <v>1</v>
      </c>
      <c r="L1022">
        <v>1</v>
      </c>
      <c r="M1022">
        <v>1</v>
      </c>
      <c r="N1022">
        <v>1.0124850000000001</v>
      </c>
    </row>
    <row r="1023" spans="1:14" x14ac:dyDescent="0.35">
      <c r="A1023" s="156" t="s">
        <v>542</v>
      </c>
      <c r="B1023" s="52">
        <v>44116</v>
      </c>
      <c r="C1023" s="156" t="s">
        <v>531</v>
      </c>
      <c r="D1023" s="156" t="s">
        <v>531</v>
      </c>
      <c r="E1023">
        <v>761798</v>
      </c>
      <c r="F1023">
        <v>472430.049</v>
      </c>
      <c r="G1023">
        <v>620.26880000000006</v>
      </c>
      <c r="H1023">
        <v>1.0221</v>
      </c>
      <c r="I1023">
        <v>1</v>
      </c>
      <c r="J1023" s="156">
        <v>1</v>
      </c>
      <c r="K1023">
        <v>1</v>
      </c>
      <c r="L1023">
        <v>1</v>
      </c>
      <c r="M1023">
        <v>1</v>
      </c>
      <c r="N1023">
        <v>1.0221</v>
      </c>
    </row>
    <row r="1024" spans="1:14" x14ac:dyDescent="0.35">
      <c r="A1024" s="156" t="s">
        <v>542</v>
      </c>
      <c r="B1024" s="52">
        <v>44117</v>
      </c>
      <c r="C1024" s="156" t="s">
        <v>531</v>
      </c>
      <c r="D1024" s="156" t="s">
        <v>531</v>
      </c>
      <c r="E1024">
        <v>823901</v>
      </c>
      <c r="F1024">
        <v>528837.995</v>
      </c>
      <c r="G1024">
        <v>641.40859999999998</v>
      </c>
      <c r="H1024">
        <v>1.038394</v>
      </c>
      <c r="I1024">
        <v>1</v>
      </c>
      <c r="J1024" s="156">
        <v>1</v>
      </c>
      <c r="K1024">
        <v>1</v>
      </c>
      <c r="L1024">
        <v>1</v>
      </c>
      <c r="M1024">
        <v>1</v>
      </c>
      <c r="N1024">
        <v>1.038394</v>
      </c>
    </row>
    <row r="1025" spans="1:14" x14ac:dyDescent="0.35">
      <c r="A1025" s="156" t="s">
        <v>542</v>
      </c>
      <c r="B1025" s="52">
        <v>44118</v>
      </c>
      <c r="C1025" s="156" t="s">
        <v>531</v>
      </c>
      <c r="D1025" s="156" t="s">
        <v>531</v>
      </c>
      <c r="E1025">
        <v>1684414</v>
      </c>
      <c r="F1025">
        <v>1111420.7812999999</v>
      </c>
      <c r="G1025">
        <v>659.90729999999996</v>
      </c>
      <c r="H1025">
        <v>1.0049790000000001</v>
      </c>
      <c r="I1025">
        <v>1</v>
      </c>
      <c r="J1025" s="156">
        <v>1</v>
      </c>
      <c r="K1025">
        <v>1</v>
      </c>
      <c r="L1025">
        <v>1</v>
      </c>
      <c r="M1025">
        <v>1</v>
      </c>
      <c r="N1025">
        <v>1.0049790000000001</v>
      </c>
    </row>
    <row r="1026" spans="1:14" x14ac:dyDescent="0.35">
      <c r="A1026" s="156" t="s">
        <v>542</v>
      </c>
      <c r="B1026" s="52">
        <v>44119</v>
      </c>
      <c r="C1026" s="156" t="s">
        <v>531</v>
      </c>
      <c r="D1026" s="156" t="s">
        <v>531</v>
      </c>
      <c r="E1026">
        <v>2366235</v>
      </c>
      <c r="F1026">
        <v>1443676.6449</v>
      </c>
      <c r="G1026">
        <v>609.79049999999995</v>
      </c>
      <c r="H1026">
        <v>0.91750299999999996</v>
      </c>
      <c r="I1026">
        <v>1</v>
      </c>
      <c r="J1026" s="156">
        <v>1</v>
      </c>
      <c r="K1026">
        <v>1</v>
      </c>
      <c r="L1026">
        <v>1</v>
      </c>
      <c r="M1026">
        <v>1</v>
      </c>
      <c r="N1026">
        <v>0.91750299999999996</v>
      </c>
    </row>
    <row r="1027" spans="1:14" x14ac:dyDescent="0.35">
      <c r="A1027" s="156" t="s">
        <v>542</v>
      </c>
      <c r="B1027" s="52">
        <v>44120</v>
      </c>
      <c r="C1027" s="156" t="s">
        <v>531</v>
      </c>
      <c r="D1027" s="156" t="s">
        <v>531</v>
      </c>
      <c r="E1027">
        <v>1366076</v>
      </c>
      <c r="F1027">
        <v>827442.89370000002</v>
      </c>
      <c r="G1027">
        <v>605.66129999999998</v>
      </c>
      <c r="H1027">
        <v>1.0083169999999999</v>
      </c>
      <c r="I1027">
        <v>1</v>
      </c>
      <c r="J1027" s="156">
        <v>1</v>
      </c>
      <c r="K1027">
        <v>1</v>
      </c>
      <c r="L1027">
        <v>1</v>
      </c>
      <c r="M1027">
        <v>1</v>
      </c>
      <c r="N1027">
        <v>1.0083169999999999</v>
      </c>
    </row>
    <row r="1028" spans="1:14" x14ac:dyDescent="0.35">
      <c r="A1028" s="156" t="s">
        <v>542</v>
      </c>
      <c r="B1028" s="52">
        <v>44123</v>
      </c>
      <c r="C1028" s="156" t="s">
        <v>531</v>
      </c>
      <c r="D1028" s="156" t="s">
        <v>531</v>
      </c>
      <c r="E1028">
        <v>836938</v>
      </c>
      <c r="F1028">
        <v>517685.33679999999</v>
      </c>
      <c r="G1028">
        <v>618.26949999999999</v>
      </c>
      <c r="H1028">
        <v>1.0219670000000001</v>
      </c>
      <c r="I1028">
        <v>1</v>
      </c>
      <c r="J1028" s="156">
        <v>1</v>
      </c>
      <c r="K1028">
        <v>1</v>
      </c>
      <c r="L1028">
        <v>1</v>
      </c>
      <c r="M1028">
        <v>1</v>
      </c>
      <c r="N1028">
        <v>1.0219670000000001</v>
      </c>
    </row>
    <row r="1029" spans="1:14" x14ac:dyDescent="0.35">
      <c r="A1029" s="156" t="s">
        <v>542</v>
      </c>
      <c r="B1029" s="52">
        <v>44124</v>
      </c>
      <c r="C1029" s="156" t="s">
        <v>531</v>
      </c>
      <c r="D1029" s="156" t="s">
        <v>531</v>
      </c>
      <c r="E1029">
        <v>613976</v>
      </c>
      <c r="F1029">
        <v>380577.65399999998</v>
      </c>
      <c r="G1029">
        <v>619.85839999999996</v>
      </c>
      <c r="H1029">
        <v>0.99029599999999995</v>
      </c>
      <c r="I1029">
        <v>1</v>
      </c>
      <c r="J1029" s="156">
        <v>1</v>
      </c>
      <c r="K1029">
        <v>1</v>
      </c>
      <c r="L1029">
        <v>1</v>
      </c>
      <c r="M1029">
        <v>1</v>
      </c>
      <c r="N1029">
        <v>0.99029599999999995</v>
      </c>
    </row>
    <row r="1030" spans="1:14" x14ac:dyDescent="0.35">
      <c r="A1030" s="156" t="s">
        <v>542</v>
      </c>
      <c r="B1030" s="52">
        <v>44125</v>
      </c>
      <c r="C1030" s="156" t="s">
        <v>531</v>
      </c>
      <c r="D1030" s="156" t="s">
        <v>531</v>
      </c>
      <c r="E1030">
        <v>1040016</v>
      </c>
      <c r="F1030">
        <v>655459.86349999998</v>
      </c>
      <c r="G1030">
        <v>630.49580000000003</v>
      </c>
      <c r="H1030">
        <v>1.020219</v>
      </c>
      <c r="I1030">
        <v>1</v>
      </c>
      <c r="J1030" s="156">
        <v>1</v>
      </c>
      <c r="K1030">
        <v>1</v>
      </c>
      <c r="L1030">
        <v>1</v>
      </c>
      <c r="M1030">
        <v>1</v>
      </c>
      <c r="N1030">
        <v>1.020219</v>
      </c>
    </row>
    <row r="1031" spans="1:14" x14ac:dyDescent="0.35">
      <c r="A1031" s="156" t="s">
        <v>542</v>
      </c>
      <c r="B1031" s="52">
        <v>44126</v>
      </c>
      <c r="C1031" s="156" t="s">
        <v>531</v>
      </c>
      <c r="D1031" s="156" t="s">
        <v>531</v>
      </c>
      <c r="E1031">
        <v>781719</v>
      </c>
      <c r="F1031">
        <v>478214.60859999998</v>
      </c>
      <c r="G1031">
        <v>611.81389999999999</v>
      </c>
      <c r="H1031">
        <v>0.97156900000000002</v>
      </c>
      <c r="I1031">
        <v>1</v>
      </c>
      <c r="J1031" s="156">
        <v>1</v>
      </c>
      <c r="K1031">
        <v>1</v>
      </c>
      <c r="L1031">
        <v>1</v>
      </c>
      <c r="M1031">
        <v>1</v>
      </c>
      <c r="N1031">
        <v>0.97156900000000002</v>
      </c>
    </row>
    <row r="1032" spans="1:14" x14ac:dyDescent="0.35">
      <c r="A1032" s="156" t="s">
        <v>542</v>
      </c>
      <c r="B1032" s="52">
        <v>44127</v>
      </c>
      <c r="C1032" s="156" t="s">
        <v>531</v>
      </c>
      <c r="D1032" s="156" t="s">
        <v>531</v>
      </c>
      <c r="E1032">
        <v>621270</v>
      </c>
      <c r="F1032">
        <v>378034.96130000002</v>
      </c>
      <c r="G1032">
        <v>608.38120000000004</v>
      </c>
      <c r="H1032">
        <v>1.02142</v>
      </c>
      <c r="I1032">
        <v>1</v>
      </c>
      <c r="J1032" s="156">
        <v>1</v>
      </c>
      <c r="K1032">
        <v>1</v>
      </c>
      <c r="L1032">
        <v>1</v>
      </c>
      <c r="M1032">
        <v>1</v>
      </c>
      <c r="N1032">
        <v>1.02142</v>
      </c>
    </row>
    <row r="1033" spans="1:14" x14ac:dyDescent="0.35">
      <c r="A1033" s="156" t="s">
        <v>542</v>
      </c>
      <c r="B1033" s="52">
        <v>44130</v>
      </c>
      <c r="C1033" s="156" t="s">
        <v>531</v>
      </c>
      <c r="D1033" s="156" t="s">
        <v>531</v>
      </c>
      <c r="E1033">
        <v>548310</v>
      </c>
      <c r="F1033">
        <v>335112.47700000001</v>
      </c>
      <c r="G1033">
        <v>611.61260000000004</v>
      </c>
      <c r="H1033">
        <v>0.98130399999999995</v>
      </c>
      <c r="I1033">
        <v>1</v>
      </c>
      <c r="J1033" s="156">
        <v>1</v>
      </c>
      <c r="K1033">
        <v>1</v>
      </c>
      <c r="L1033">
        <v>1</v>
      </c>
      <c r="M1033">
        <v>1</v>
      </c>
      <c r="N1033">
        <v>0.98130399999999995</v>
      </c>
    </row>
    <row r="1034" spans="1:14" x14ac:dyDescent="0.35">
      <c r="A1034" s="156" t="s">
        <v>542</v>
      </c>
      <c r="B1034" s="52">
        <v>44131</v>
      </c>
      <c r="C1034" s="156" t="s">
        <v>531</v>
      </c>
      <c r="D1034" s="156" t="s">
        <v>531</v>
      </c>
      <c r="E1034">
        <v>466577</v>
      </c>
      <c r="F1034">
        <v>286446.00400000002</v>
      </c>
      <c r="G1034">
        <v>614.13250000000005</v>
      </c>
      <c r="H1034">
        <v>1.0082850000000001</v>
      </c>
      <c r="I1034">
        <v>1</v>
      </c>
      <c r="J1034" s="156">
        <v>1</v>
      </c>
      <c r="K1034">
        <v>1</v>
      </c>
      <c r="L1034">
        <v>1</v>
      </c>
      <c r="M1034">
        <v>1</v>
      </c>
      <c r="N1034">
        <v>1.0082850000000001</v>
      </c>
    </row>
    <row r="1035" spans="1:14" x14ac:dyDescent="0.35">
      <c r="A1035" s="156" t="s">
        <v>542</v>
      </c>
      <c r="B1035" s="52">
        <v>44132</v>
      </c>
      <c r="C1035" s="156" t="s">
        <v>531</v>
      </c>
      <c r="D1035" s="156" t="s">
        <v>531</v>
      </c>
      <c r="E1035">
        <v>601928</v>
      </c>
      <c r="F1035">
        <v>357707.98060000001</v>
      </c>
      <c r="G1035">
        <v>594.40060000000005</v>
      </c>
      <c r="H1035">
        <v>0.97249600000000003</v>
      </c>
      <c r="I1035">
        <v>1</v>
      </c>
      <c r="J1035" s="156">
        <v>1</v>
      </c>
      <c r="K1035">
        <v>1</v>
      </c>
      <c r="L1035">
        <v>1</v>
      </c>
      <c r="M1035">
        <v>1</v>
      </c>
      <c r="N1035">
        <v>0.97249600000000003</v>
      </c>
    </row>
    <row r="1036" spans="1:14" x14ac:dyDescent="0.35">
      <c r="A1036" s="156" t="s">
        <v>542</v>
      </c>
      <c r="B1036" s="52">
        <v>44133</v>
      </c>
      <c r="C1036" s="156" t="s">
        <v>531</v>
      </c>
      <c r="D1036" s="156" t="s">
        <v>531</v>
      </c>
      <c r="E1036">
        <v>563099</v>
      </c>
      <c r="F1036">
        <v>346173.24790000002</v>
      </c>
      <c r="G1036">
        <v>614.38390000000004</v>
      </c>
      <c r="H1036">
        <v>1.036027</v>
      </c>
      <c r="I1036">
        <v>1</v>
      </c>
      <c r="J1036" s="156">
        <v>1</v>
      </c>
      <c r="K1036">
        <v>1</v>
      </c>
      <c r="L1036">
        <v>1</v>
      </c>
      <c r="M1036">
        <v>1</v>
      </c>
      <c r="N1036">
        <v>1.036027</v>
      </c>
    </row>
    <row r="1037" spans="1:14" x14ac:dyDescent="0.35">
      <c r="A1037" s="156" t="s">
        <v>542</v>
      </c>
      <c r="B1037" s="52">
        <v>44134</v>
      </c>
      <c r="C1037" s="156" t="s">
        <v>531</v>
      </c>
      <c r="D1037" s="156" t="s">
        <v>531</v>
      </c>
      <c r="E1037">
        <v>1084059</v>
      </c>
      <c r="F1037">
        <v>624885.63199999998</v>
      </c>
      <c r="G1037">
        <v>576.95780000000002</v>
      </c>
      <c r="H1037">
        <v>0.91661499999999996</v>
      </c>
      <c r="I1037">
        <v>1</v>
      </c>
      <c r="J1037" s="156">
        <v>1</v>
      </c>
      <c r="K1037">
        <v>1</v>
      </c>
      <c r="L1037">
        <v>1</v>
      </c>
      <c r="M1037">
        <v>1</v>
      </c>
      <c r="N1037">
        <v>0.91661499999999996</v>
      </c>
    </row>
    <row r="1038" spans="1:14" x14ac:dyDescent="0.35">
      <c r="A1038" s="156" t="s">
        <v>542</v>
      </c>
      <c r="B1038" s="52">
        <v>44137</v>
      </c>
      <c r="C1038" s="156" t="s">
        <v>531</v>
      </c>
      <c r="D1038" s="156" t="s">
        <v>531</v>
      </c>
      <c r="E1038">
        <v>870084</v>
      </c>
      <c r="F1038">
        <v>484190.88740000001</v>
      </c>
      <c r="G1038">
        <v>556.70410000000004</v>
      </c>
      <c r="H1038">
        <v>0.98712999999999995</v>
      </c>
      <c r="I1038">
        <v>1</v>
      </c>
      <c r="J1038" s="156">
        <v>1</v>
      </c>
      <c r="K1038">
        <v>1</v>
      </c>
      <c r="L1038">
        <v>1</v>
      </c>
      <c r="M1038">
        <v>1</v>
      </c>
      <c r="N1038">
        <v>0.98712999999999995</v>
      </c>
    </row>
    <row r="1039" spans="1:14" x14ac:dyDescent="0.35">
      <c r="A1039" s="156" t="s">
        <v>542</v>
      </c>
      <c r="B1039" s="52">
        <v>44138</v>
      </c>
      <c r="C1039" s="156" t="s">
        <v>531</v>
      </c>
      <c r="D1039" s="156" t="s">
        <v>531</v>
      </c>
      <c r="E1039">
        <v>610055</v>
      </c>
      <c r="F1039">
        <v>354363.0503</v>
      </c>
      <c r="G1039">
        <v>580.72799999999995</v>
      </c>
      <c r="H1039">
        <v>1.048144</v>
      </c>
      <c r="I1039">
        <v>1</v>
      </c>
      <c r="J1039" s="156">
        <v>1</v>
      </c>
      <c r="K1039">
        <v>1</v>
      </c>
      <c r="L1039">
        <v>1</v>
      </c>
      <c r="M1039">
        <v>1</v>
      </c>
      <c r="N1039">
        <v>1.048144</v>
      </c>
    </row>
    <row r="1040" spans="1:14" x14ac:dyDescent="0.35">
      <c r="A1040" s="156" t="s">
        <v>542</v>
      </c>
      <c r="B1040" s="52">
        <v>44139</v>
      </c>
      <c r="C1040" s="156" t="s">
        <v>531</v>
      </c>
      <c r="D1040" s="156" t="s">
        <v>531</v>
      </c>
      <c r="E1040">
        <v>1217157</v>
      </c>
      <c r="F1040">
        <v>769389.25309999997</v>
      </c>
      <c r="G1040">
        <v>631.81100000000004</v>
      </c>
      <c r="H1040">
        <v>1.0790679999999999</v>
      </c>
      <c r="I1040">
        <v>1</v>
      </c>
      <c r="J1040" s="156">
        <v>1</v>
      </c>
      <c r="K1040">
        <v>1</v>
      </c>
      <c r="L1040">
        <v>1</v>
      </c>
      <c r="M1040">
        <v>1</v>
      </c>
      <c r="N1040">
        <v>1.0790679999999999</v>
      </c>
    </row>
    <row r="1041" spans="1:14" x14ac:dyDescent="0.35">
      <c r="A1041" s="156" t="s">
        <v>542</v>
      </c>
      <c r="B1041" s="52">
        <v>44140</v>
      </c>
      <c r="C1041" s="156" t="s">
        <v>531</v>
      </c>
      <c r="D1041" s="156" t="s">
        <v>531</v>
      </c>
      <c r="E1041">
        <v>1404094</v>
      </c>
      <c r="F1041">
        <v>928615.64350000001</v>
      </c>
      <c r="G1041">
        <v>659.99270000000001</v>
      </c>
      <c r="H1041">
        <v>1.0235289999999999</v>
      </c>
      <c r="I1041">
        <v>1</v>
      </c>
      <c r="J1041" s="156">
        <v>1</v>
      </c>
      <c r="K1041">
        <v>1</v>
      </c>
      <c r="L1041">
        <v>1</v>
      </c>
      <c r="M1041">
        <v>1</v>
      </c>
      <c r="N1041">
        <v>1.0235289999999999</v>
      </c>
    </row>
    <row r="1042" spans="1:14" x14ac:dyDescent="0.35">
      <c r="A1042" s="156" t="s">
        <v>542</v>
      </c>
      <c r="B1042" s="52">
        <v>44141</v>
      </c>
      <c r="C1042" s="156" t="s">
        <v>531</v>
      </c>
      <c r="D1042" s="156" t="s">
        <v>531</v>
      </c>
      <c r="E1042">
        <v>4464523</v>
      </c>
      <c r="F1042">
        <v>3607574.9811</v>
      </c>
      <c r="G1042">
        <v>809.20929999999998</v>
      </c>
      <c r="H1042">
        <v>1.265781</v>
      </c>
      <c r="I1042">
        <v>1</v>
      </c>
      <c r="J1042" s="156">
        <v>1</v>
      </c>
      <c r="K1042">
        <v>1</v>
      </c>
      <c r="L1042">
        <v>1</v>
      </c>
      <c r="M1042">
        <v>1</v>
      </c>
      <c r="N1042">
        <v>1.265781</v>
      </c>
    </row>
    <row r="1043" spans="1:14" x14ac:dyDescent="0.35">
      <c r="A1043" s="156" t="s">
        <v>542</v>
      </c>
      <c r="B1043" s="52">
        <v>44144</v>
      </c>
      <c r="C1043" s="156" t="s">
        <v>531</v>
      </c>
      <c r="D1043" s="156" t="s">
        <v>531</v>
      </c>
      <c r="E1043">
        <v>1633932</v>
      </c>
      <c r="F1043">
        <v>1288017.2304</v>
      </c>
      <c r="G1043">
        <v>787.95640000000003</v>
      </c>
      <c r="H1043">
        <v>0.92924799999999996</v>
      </c>
      <c r="I1043">
        <v>1</v>
      </c>
      <c r="J1043" s="156">
        <v>1</v>
      </c>
      <c r="K1043">
        <v>1</v>
      </c>
      <c r="L1043">
        <v>1</v>
      </c>
      <c r="M1043">
        <v>1</v>
      </c>
      <c r="N1043">
        <v>0.92924799999999996</v>
      </c>
    </row>
    <row r="1044" spans="1:14" x14ac:dyDescent="0.35">
      <c r="A1044" s="156" t="s">
        <v>542</v>
      </c>
      <c r="B1044" s="52">
        <v>44145</v>
      </c>
      <c r="C1044" s="156" t="s">
        <v>531</v>
      </c>
      <c r="D1044" s="156" t="s">
        <v>531</v>
      </c>
      <c r="E1044">
        <v>1653661</v>
      </c>
      <c r="F1044">
        <v>1186642.6417</v>
      </c>
      <c r="G1044">
        <v>717.88580000000002</v>
      </c>
      <c r="H1044">
        <v>0.92895700000000003</v>
      </c>
      <c r="I1044">
        <v>1</v>
      </c>
      <c r="J1044" s="156">
        <v>1</v>
      </c>
      <c r="K1044">
        <v>1</v>
      </c>
      <c r="L1044">
        <v>1</v>
      </c>
      <c r="M1044">
        <v>1</v>
      </c>
      <c r="N1044">
        <v>0.92895700000000003</v>
      </c>
    </row>
    <row r="1045" spans="1:14" x14ac:dyDescent="0.35">
      <c r="A1045" s="156" t="s">
        <v>542</v>
      </c>
      <c r="B1045" s="52">
        <v>44146</v>
      </c>
      <c r="C1045" s="156" t="s">
        <v>531</v>
      </c>
      <c r="D1045" s="156" t="s">
        <v>531</v>
      </c>
      <c r="E1045">
        <v>1184552</v>
      </c>
      <c r="F1045">
        <v>871546.60620000004</v>
      </c>
      <c r="G1045">
        <v>735.84169999999995</v>
      </c>
      <c r="H1045">
        <v>1.0491459999999999</v>
      </c>
      <c r="I1045">
        <v>1</v>
      </c>
      <c r="J1045" s="156">
        <v>1</v>
      </c>
      <c r="K1045">
        <v>1</v>
      </c>
      <c r="L1045">
        <v>1</v>
      </c>
      <c r="M1045">
        <v>1</v>
      </c>
      <c r="N1045">
        <v>1.0491459999999999</v>
      </c>
    </row>
    <row r="1046" spans="1:14" x14ac:dyDescent="0.35">
      <c r="A1046" s="156" t="s">
        <v>542</v>
      </c>
      <c r="B1046" s="52">
        <v>44147</v>
      </c>
      <c r="C1046" s="156" t="s">
        <v>531</v>
      </c>
      <c r="D1046" s="156" t="s">
        <v>531</v>
      </c>
      <c r="E1046">
        <v>604951</v>
      </c>
      <c r="F1046">
        <v>451376.44349999999</v>
      </c>
      <c r="G1046">
        <v>746.20270000000005</v>
      </c>
      <c r="H1046">
        <v>0.997251</v>
      </c>
      <c r="I1046">
        <v>1</v>
      </c>
      <c r="J1046" s="156">
        <v>1</v>
      </c>
      <c r="K1046">
        <v>1</v>
      </c>
      <c r="L1046">
        <v>1</v>
      </c>
      <c r="M1046">
        <v>1</v>
      </c>
      <c r="N1046">
        <v>0.997251</v>
      </c>
    </row>
    <row r="1047" spans="1:14" x14ac:dyDescent="0.35">
      <c r="A1047" s="156" t="s">
        <v>542</v>
      </c>
      <c r="B1047" s="52">
        <v>44148</v>
      </c>
      <c r="C1047" s="156" t="s">
        <v>531</v>
      </c>
      <c r="D1047" s="156" t="s">
        <v>531</v>
      </c>
      <c r="E1047">
        <v>629116</v>
      </c>
      <c r="F1047">
        <v>463930.77240000002</v>
      </c>
      <c r="G1047">
        <v>738.0607</v>
      </c>
      <c r="H1047">
        <v>0.99293200000000004</v>
      </c>
      <c r="I1047">
        <v>1</v>
      </c>
      <c r="J1047" s="156">
        <v>1</v>
      </c>
      <c r="K1047">
        <v>1</v>
      </c>
      <c r="L1047">
        <v>1</v>
      </c>
      <c r="M1047">
        <v>1</v>
      </c>
      <c r="N1047">
        <v>0.99293200000000004</v>
      </c>
    </row>
    <row r="1048" spans="1:14" x14ac:dyDescent="0.35">
      <c r="A1048" s="156" t="s">
        <v>542</v>
      </c>
      <c r="B1048" s="52">
        <v>44151</v>
      </c>
      <c r="C1048" s="156" t="s">
        <v>531</v>
      </c>
      <c r="D1048" s="156" t="s">
        <v>531</v>
      </c>
      <c r="E1048">
        <v>852475</v>
      </c>
      <c r="F1048">
        <v>630874.34580000001</v>
      </c>
      <c r="G1048">
        <v>740.53769999999997</v>
      </c>
      <c r="H1048">
        <v>1.0154609999999999</v>
      </c>
      <c r="I1048">
        <v>1</v>
      </c>
      <c r="J1048" s="156">
        <v>1</v>
      </c>
      <c r="K1048">
        <v>1</v>
      </c>
      <c r="L1048">
        <v>1</v>
      </c>
      <c r="M1048">
        <v>1</v>
      </c>
      <c r="N1048">
        <v>1.0154609999999999</v>
      </c>
    </row>
    <row r="1049" spans="1:14" x14ac:dyDescent="0.35">
      <c r="A1049" s="156" t="s">
        <v>542</v>
      </c>
      <c r="B1049" s="52">
        <v>44152</v>
      </c>
      <c r="C1049" s="156" t="s">
        <v>531</v>
      </c>
      <c r="D1049" s="156" t="s">
        <v>531</v>
      </c>
      <c r="E1049">
        <v>1154338</v>
      </c>
      <c r="F1049">
        <v>899935.47690000001</v>
      </c>
      <c r="G1049">
        <v>779.2962</v>
      </c>
      <c r="H1049">
        <v>1.0655779999999999</v>
      </c>
      <c r="I1049">
        <v>1</v>
      </c>
      <c r="J1049" s="156">
        <v>1</v>
      </c>
      <c r="K1049">
        <v>1</v>
      </c>
      <c r="L1049">
        <v>1</v>
      </c>
      <c r="M1049">
        <v>1</v>
      </c>
      <c r="N1049">
        <v>1.0655779999999999</v>
      </c>
    </row>
    <row r="1050" spans="1:14" x14ac:dyDescent="0.35">
      <c r="A1050" s="156" t="s">
        <v>542</v>
      </c>
      <c r="B1050" s="52">
        <v>44153</v>
      </c>
      <c r="C1050" s="156" t="s">
        <v>531</v>
      </c>
      <c r="D1050" s="156" t="s">
        <v>531</v>
      </c>
      <c r="E1050">
        <v>732069</v>
      </c>
      <c r="F1050">
        <v>568061.32409999997</v>
      </c>
      <c r="G1050">
        <v>775.94619999999998</v>
      </c>
      <c r="H1050">
        <v>0.97152400000000005</v>
      </c>
      <c r="I1050">
        <v>1</v>
      </c>
      <c r="J1050" s="156">
        <v>1</v>
      </c>
      <c r="K1050">
        <v>1</v>
      </c>
      <c r="L1050">
        <v>1</v>
      </c>
      <c r="M1050">
        <v>1</v>
      </c>
      <c r="N1050">
        <v>0.97152400000000005</v>
      </c>
    </row>
    <row r="1051" spans="1:14" x14ac:dyDescent="0.35">
      <c r="A1051" s="156" t="s">
        <v>542</v>
      </c>
      <c r="B1051" s="52">
        <v>44154</v>
      </c>
      <c r="C1051" s="156" t="s">
        <v>531</v>
      </c>
      <c r="D1051" s="156" t="s">
        <v>531</v>
      </c>
      <c r="E1051">
        <v>1022001</v>
      </c>
      <c r="F1051">
        <v>824961.46120000002</v>
      </c>
      <c r="G1051">
        <v>806.80119999999999</v>
      </c>
      <c r="H1051">
        <v>1.0433699999999999</v>
      </c>
      <c r="I1051">
        <v>1</v>
      </c>
      <c r="J1051" s="156">
        <v>1</v>
      </c>
      <c r="K1051">
        <v>1</v>
      </c>
      <c r="L1051">
        <v>1</v>
      </c>
      <c r="M1051">
        <v>1</v>
      </c>
      <c r="N1051">
        <v>1.0433699999999999</v>
      </c>
    </row>
    <row r="1052" spans="1:14" x14ac:dyDescent="0.35">
      <c r="A1052" s="156" t="s">
        <v>542</v>
      </c>
      <c r="B1052" s="52">
        <v>44155</v>
      </c>
      <c r="C1052" s="156" t="s">
        <v>531</v>
      </c>
      <c r="D1052" s="156" t="s">
        <v>531</v>
      </c>
      <c r="E1052">
        <v>754528</v>
      </c>
      <c r="F1052">
        <v>623489.35589999997</v>
      </c>
      <c r="G1052">
        <v>825.92939999999999</v>
      </c>
      <c r="H1052">
        <v>1.0261560000000001</v>
      </c>
      <c r="I1052">
        <v>1</v>
      </c>
      <c r="J1052" s="156">
        <v>1</v>
      </c>
      <c r="K1052">
        <v>1</v>
      </c>
      <c r="L1052">
        <v>1</v>
      </c>
      <c r="M1052">
        <v>1</v>
      </c>
      <c r="N1052">
        <v>1.0261560000000001</v>
      </c>
    </row>
    <row r="1053" spans="1:14" x14ac:dyDescent="0.35">
      <c r="A1053" s="156" t="s">
        <v>542</v>
      </c>
      <c r="B1053" s="52">
        <v>44158</v>
      </c>
      <c r="C1053" s="156" t="s">
        <v>531</v>
      </c>
      <c r="D1053" s="156" t="s">
        <v>531</v>
      </c>
      <c r="E1053">
        <v>919801</v>
      </c>
      <c r="F1053">
        <v>764652.73369999998</v>
      </c>
      <c r="G1053">
        <v>831.86300000000006</v>
      </c>
      <c r="H1053">
        <v>1.015296</v>
      </c>
      <c r="I1053">
        <v>1</v>
      </c>
      <c r="J1053" s="156">
        <v>1</v>
      </c>
      <c r="K1053">
        <v>1</v>
      </c>
      <c r="L1053">
        <v>1</v>
      </c>
      <c r="M1053">
        <v>1</v>
      </c>
      <c r="N1053">
        <v>1.015296</v>
      </c>
    </row>
    <row r="1054" spans="1:14" x14ac:dyDescent="0.35">
      <c r="A1054" s="156" t="s">
        <v>542</v>
      </c>
      <c r="B1054" s="52">
        <v>44159</v>
      </c>
      <c r="C1054" s="156" t="s">
        <v>531</v>
      </c>
      <c r="D1054" s="156" t="s">
        <v>531</v>
      </c>
      <c r="E1054">
        <v>801113</v>
      </c>
      <c r="F1054">
        <v>676463.10290000006</v>
      </c>
      <c r="G1054">
        <v>844.01530000000002</v>
      </c>
      <c r="H1054">
        <v>1.0053000000000001</v>
      </c>
      <c r="I1054">
        <v>1</v>
      </c>
      <c r="J1054" s="156">
        <v>1</v>
      </c>
      <c r="K1054">
        <v>1</v>
      </c>
      <c r="L1054">
        <v>1</v>
      </c>
      <c r="M1054">
        <v>1</v>
      </c>
      <c r="N1054">
        <v>1.0053000000000001</v>
      </c>
    </row>
    <row r="1055" spans="1:14" x14ac:dyDescent="0.35">
      <c r="A1055" s="156" t="s">
        <v>542</v>
      </c>
      <c r="B1055" s="52">
        <v>44160</v>
      </c>
      <c r="C1055" s="156" t="s">
        <v>531</v>
      </c>
      <c r="D1055" s="156" t="s">
        <v>531</v>
      </c>
      <c r="E1055">
        <v>593004</v>
      </c>
      <c r="F1055">
        <v>508040.94270000001</v>
      </c>
      <c r="G1055">
        <v>857.18190000000004</v>
      </c>
      <c r="H1055">
        <v>1.0215259999999999</v>
      </c>
      <c r="I1055">
        <v>1</v>
      </c>
      <c r="J1055" s="156">
        <v>1</v>
      </c>
      <c r="K1055">
        <v>1</v>
      </c>
      <c r="L1055">
        <v>1</v>
      </c>
      <c r="M1055">
        <v>1</v>
      </c>
      <c r="N1055">
        <v>1.0215259999999999</v>
      </c>
    </row>
    <row r="1056" spans="1:14" x14ac:dyDescent="0.35">
      <c r="A1056" s="156" t="s">
        <v>542</v>
      </c>
      <c r="B1056" s="52">
        <v>44162</v>
      </c>
      <c r="C1056" s="156" t="s">
        <v>531</v>
      </c>
      <c r="D1056" s="156" t="s">
        <v>531</v>
      </c>
      <c r="E1056">
        <v>426614</v>
      </c>
      <c r="F1056">
        <v>371796.49690000003</v>
      </c>
      <c r="G1056">
        <v>871.5838</v>
      </c>
      <c r="H1056">
        <v>1.0125599999999999</v>
      </c>
      <c r="I1056">
        <v>1</v>
      </c>
      <c r="J1056" s="156">
        <v>1</v>
      </c>
      <c r="K1056">
        <v>1</v>
      </c>
      <c r="L1056">
        <v>1</v>
      </c>
      <c r="M1056">
        <v>1</v>
      </c>
      <c r="N1056">
        <v>1.0125599999999999</v>
      </c>
    </row>
    <row r="1057" spans="1:14" x14ac:dyDescent="0.35">
      <c r="A1057" s="156" t="s">
        <v>542</v>
      </c>
      <c r="B1057" s="52">
        <v>44165</v>
      </c>
      <c r="C1057" s="156" t="s">
        <v>531</v>
      </c>
      <c r="D1057" s="156" t="s">
        <v>531</v>
      </c>
      <c r="E1057">
        <v>966087</v>
      </c>
      <c r="F1057">
        <v>860454.56140000001</v>
      </c>
      <c r="G1057">
        <v>892.3655</v>
      </c>
      <c r="H1057">
        <v>1.032035</v>
      </c>
      <c r="I1057">
        <v>1</v>
      </c>
      <c r="J1057" s="156">
        <v>1</v>
      </c>
      <c r="K1057">
        <v>1</v>
      </c>
      <c r="L1057">
        <v>1</v>
      </c>
      <c r="M1057">
        <v>1</v>
      </c>
      <c r="N1057">
        <v>1.032035</v>
      </c>
    </row>
    <row r="1058" spans="1:14" x14ac:dyDescent="0.35">
      <c r="A1058" s="156" t="s">
        <v>542</v>
      </c>
      <c r="B1058" s="52">
        <v>44166</v>
      </c>
      <c r="C1058" s="156" t="s">
        <v>531</v>
      </c>
      <c r="D1058" s="156" t="s">
        <v>531</v>
      </c>
      <c r="E1058">
        <v>761602</v>
      </c>
      <c r="F1058">
        <v>675817.37809999997</v>
      </c>
      <c r="G1058">
        <v>888.0059</v>
      </c>
      <c r="H1058">
        <v>0.98785900000000004</v>
      </c>
      <c r="I1058">
        <v>1</v>
      </c>
      <c r="J1058" s="156">
        <v>1</v>
      </c>
      <c r="K1058">
        <v>1</v>
      </c>
      <c r="L1058">
        <v>1</v>
      </c>
      <c r="M1058">
        <v>1</v>
      </c>
      <c r="N1058">
        <v>0.98785900000000004</v>
      </c>
    </row>
    <row r="1059" spans="1:14" x14ac:dyDescent="0.35">
      <c r="A1059" s="156" t="s">
        <v>542</v>
      </c>
      <c r="B1059" s="52">
        <v>44167</v>
      </c>
      <c r="C1059" s="156" t="s">
        <v>531</v>
      </c>
      <c r="D1059" s="156" t="s">
        <v>531</v>
      </c>
      <c r="E1059">
        <v>623267</v>
      </c>
      <c r="F1059">
        <v>539000.69310000003</v>
      </c>
      <c r="G1059">
        <v>864.99339999999995</v>
      </c>
      <c r="H1059">
        <v>0.97392500000000004</v>
      </c>
      <c r="I1059">
        <v>1</v>
      </c>
      <c r="J1059" s="156">
        <v>1</v>
      </c>
      <c r="K1059">
        <v>1</v>
      </c>
      <c r="L1059">
        <v>1</v>
      </c>
      <c r="M1059">
        <v>1</v>
      </c>
      <c r="N1059">
        <v>0.97392500000000004</v>
      </c>
    </row>
    <row r="1060" spans="1:14" x14ac:dyDescent="0.35">
      <c r="A1060" s="156" t="s">
        <v>542</v>
      </c>
      <c r="B1060" s="52">
        <v>44168</v>
      </c>
      <c r="C1060" s="156" t="s">
        <v>531</v>
      </c>
      <c r="D1060" s="156" t="s">
        <v>531</v>
      </c>
      <c r="E1060">
        <v>496466</v>
      </c>
      <c r="F1060">
        <v>441157.79369999998</v>
      </c>
      <c r="G1060">
        <v>887.33159999999998</v>
      </c>
      <c r="H1060">
        <v>1.0233699999999999</v>
      </c>
      <c r="I1060">
        <v>1</v>
      </c>
      <c r="J1060" s="156">
        <v>1</v>
      </c>
      <c r="K1060">
        <v>1</v>
      </c>
      <c r="L1060">
        <v>1</v>
      </c>
      <c r="M1060">
        <v>1</v>
      </c>
      <c r="N1060">
        <v>1.0233699999999999</v>
      </c>
    </row>
    <row r="1061" spans="1:14" x14ac:dyDescent="0.35">
      <c r="A1061" s="156" t="s">
        <v>542</v>
      </c>
      <c r="B1061" s="52">
        <v>44169</v>
      </c>
      <c r="C1061" s="156" t="s">
        <v>531</v>
      </c>
      <c r="D1061" s="156" t="s">
        <v>531</v>
      </c>
      <c r="E1061">
        <v>505430</v>
      </c>
      <c r="F1061">
        <v>456181.37170000002</v>
      </c>
      <c r="G1061">
        <v>902.55930000000001</v>
      </c>
      <c r="H1061">
        <v>1.0187109999999999</v>
      </c>
      <c r="I1061">
        <v>1</v>
      </c>
      <c r="J1061" s="156">
        <v>1</v>
      </c>
      <c r="K1061">
        <v>1</v>
      </c>
      <c r="L1061">
        <v>1</v>
      </c>
      <c r="M1061">
        <v>1</v>
      </c>
      <c r="N1061">
        <v>1.0187109999999999</v>
      </c>
    </row>
    <row r="1062" spans="1:14" x14ac:dyDescent="0.35">
      <c r="A1062" s="156" t="s">
        <v>542</v>
      </c>
      <c r="B1062" s="52">
        <v>44172</v>
      </c>
      <c r="C1062" s="156" t="s">
        <v>531</v>
      </c>
      <c r="D1062" s="156" t="s">
        <v>531</v>
      </c>
      <c r="E1062">
        <v>383495</v>
      </c>
      <c r="F1062">
        <v>348165.9056</v>
      </c>
      <c r="G1062">
        <v>907.83230000000003</v>
      </c>
      <c r="H1062">
        <v>1.009792</v>
      </c>
      <c r="I1062">
        <v>1</v>
      </c>
      <c r="J1062" s="156">
        <v>1</v>
      </c>
      <c r="K1062">
        <v>1</v>
      </c>
      <c r="L1062">
        <v>1</v>
      </c>
      <c r="M1062">
        <v>1</v>
      </c>
      <c r="N1062">
        <v>1.009792</v>
      </c>
    </row>
    <row r="1063" spans="1:14" x14ac:dyDescent="0.35">
      <c r="A1063" s="156" t="s">
        <v>542</v>
      </c>
      <c r="B1063" s="52">
        <v>44173</v>
      </c>
      <c r="C1063" s="156" t="s">
        <v>531</v>
      </c>
      <c r="D1063" s="156" t="s">
        <v>531</v>
      </c>
      <c r="E1063">
        <v>377662</v>
      </c>
      <c r="F1063">
        <v>346302.07280000002</v>
      </c>
      <c r="G1063">
        <v>916.7482</v>
      </c>
      <c r="H1063">
        <v>1.002597</v>
      </c>
      <c r="I1063">
        <v>1</v>
      </c>
      <c r="J1063" s="156">
        <v>1</v>
      </c>
      <c r="K1063">
        <v>1</v>
      </c>
      <c r="L1063">
        <v>1</v>
      </c>
      <c r="M1063">
        <v>1</v>
      </c>
      <c r="N1063">
        <v>1.002597</v>
      </c>
    </row>
    <row r="1064" spans="1:14" x14ac:dyDescent="0.35">
      <c r="A1064" s="156" t="s">
        <v>542</v>
      </c>
      <c r="B1064" s="52">
        <v>44174</v>
      </c>
      <c r="C1064" s="156" t="s">
        <v>531</v>
      </c>
      <c r="D1064" s="156" t="s">
        <v>531</v>
      </c>
      <c r="E1064">
        <v>902260</v>
      </c>
      <c r="F1064">
        <v>810611.1263</v>
      </c>
      <c r="G1064">
        <v>902.77599999999995</v>
      </c>
      <c r="H1064">
        <v>0.96749700000000005</v>
      </c>
      <c r="I1064">
        <v>1</v>
      </c>
      <c r="J1064" s="156">
        <v>1</v>
      </c>
      <c r="K1064">
        <v>1</v>
      </c>
      <c r="L1064">
        <v>1</v>
      </c>
      <c r="M1064">
        <v>1</v>
      </c>
      <c r="N1064">
        <v>0.96749700000000005</v>
      </c>
    </row>
    <row r="1065" spans="1:14" x14ac:dyDescent="0.35">
      <c r="A1065" s="156" t="s">
        <v>542</v>
      </c>
      <c r="B1065" s="52">
        <v>44175</v>
      </c>
      <c r="C1065" s="156" t="s">
        <v>531</v>
      </c>
      <c r="D1065" s="156" t="s">
        <v>531</v>
      </c>
      <c r="E1065">
        <v>544621</v>
      </c>
      <c r="F1065">
        <v>493641.0759</v>
      </c>
      <c r="G1065">
        <v>905.92780000000005</v>
      </c>
      <c r="H1065">
        <v>1.0365089999999999</v>
      </c>
      <c r="I1065">
        <v>1</v>
      </c>
      <c r="J1065" s="156">
        <v>1</v>
      </c>
      <c r="K1065">
        <v>1</v>
      </c>
      <c r="L1065">
        <v>1</v>
      </c>
      <c r="M1065">
        <v>1</v>
      </c>
      <c r="N1065">
        <v>1.0365089999999999</v>
      </c>
    </row>
    <row r="1066" spans="1:14" x14ac:dyDescent="0.35">
      <c r="A1066" s="156" t="s">
        <v>542</v>
      </c>
      <c r="B1066" s="52">
        <v>44176</v>
      </c>
      <c r="C1066" s="156" t="s">
        <v>531</v>
      </c>
      <c r="D1066" s="156" t="s">
        <v>531</v>
      </c>
      <c r="E1066">
        <v>507518</v>
      </c>
      <c r="F1066">
        <v>467091.0123</v>
      </c>
      <c r="G1066">
        <v>920.72109999999998</v>
      </c>
      <c r="H1066">
        <v>1.0093289999999999</v>
      </c>
      <c r="I1066">
        <v>1</v>
      </c>
      <c r="J1066" s="156">
        <v>1</v>
      </c>
      <c r="K1066">
        <v>1</v>
      </c>
      <c r="L1066">
        <v>1</v>
      </c>
      <c r="M1066">
        <v>1</v>
      </c>
      <c r="N1066">
        <v>1.0093289999999999</v>
      </c>
    </row>
    <row r="1067" spans="1:14" x14ac:dyDescent="0.35">
      <c r="A1067" s="156" t="s">
        <v>542</v>
      </c>
      <c r="B1067" s="52">
        <v>44179</v>
      </c>
      <c r="C1067" s="156" t="s">
        <v>531</v>
      </c>
      <c r="D1067" s="156" t="s">
        <v>531</v>
      </c>
      <c r="E1067">
        <v>576656</v>
      </c>
      <c r="F1067">
        <v>529559.09230000002</v>
      </c>
      <c r="G1067">
        <v>918.51890000000003</v>
      </c>
      <c r="H1067">
        <v>0.99598299999999995</v>
      </c>
      <c r="I1067">
        <v>1</v>
      </c>
      <c r="J1067" s="156">
        <v>1</v>
      </c>
      <c r="K1067">
        <v>1</v>
      </c>
      <c r="L1067">
        <v>1</v>
      </c>
      <c r="M1067">
        <v>1</v>
      </c>
      <c r="N1067">
        <v>0.99598299999999995</v>
      </c>
    </row>
    <row r="1068" spans="1:14" x14ac:dyDescent="0.35">
      <c r="A1068" s="156" t="s">
        <v>542</v>
      </c>
      <c r="B1068" s="52">
        <v>44180</v>
      </c>
      <c r="C1068" s="156" t="s">
        <v>531</v>
      </c>
      <c r="D1068" s="156" t="s">
        <v>531</v>
      </c>
      <c r="E1068">
        <v>732963</v>
      </c>
      <c r="F1068">
        <v>685117.63600000006</v>
      </c>
      <c r="G1068">
        <v>934.18240000000003</v>
      </c>
      <c r="H1068">
        <v>1.011611</v>
      </c>
      <c r="I1068">
        <v>1</v>
      </c>
      <c r="J1068" s="156">
        <v>1</v>
      </c>
      <c r="K1068">
        <v>1</v>
      </c>
      <c r="L1068">
        <v>1</v>
      </c>
      <c r="M1068">
        <v>1</v>
      </c>
      <c r="N1068">
        <v>1.011611</v>
      </c>
    </row>
    <row r="1069" spans="1:14" x14ac:dyDescent="0.35">
      <c r="A1069" s="156" t="s">
        <v>542</v>
      </c>
      <c r="B1069" s="52">
        <v>44181</v>
      </c>
      <c r="C1069" s="156" t="s">
        <v>531</v>
      </c>
      <c r="D1069" s="156" t="s">
        <v>531</v>
      </c>
      <c r="E1069">
        <v>516771</v>
      </c>
      <c r="F1069">
        <v>480246.98670000001</v>
      </c>
      <c r="G1069">
        <v>929.66330000000005</v>
      </c>
      <c r="H1069">
        <v>1.0070619999999999</v>
      </c>
      <c r="I1069">
        <v>1</v>
      </c>
      <c r="J1069" s="156">
        <v>1</v>
      </c>
      <c r="K1069">
        <v>1</v>
      </c>
      <c r="L1069">
        <v>1</v>
      </c>
      <c r="M1069">
        <v>1</v>
      </c>
      <c r="N1069">
        <v>1.0070619999999999</v>
      </c>
    </row>
    <row r="1070" spans="1:14" x14ac:dyDescent="0.35">
      <c r="A1070" s="156" t="s">
        <v>542</v>
      </c>
      <c r="B1070" s="52">
        <v>44182</v>
      </c>
      <c r="C1070" s="156" t="s">
        <v>531</v>
      </c>
      <c r="D1070" s="156" t="s">
        <v>531</v>
      </c>
      <c r="E1070">
        <v>426190</v>
      </c>
      <c r="F1070">
        <v>401700.75170000002</v>
      </c>
      <c r="G1070">
        <v>942.68439999999998</v>
      </c>
      <c r="H1070">
        <v>1.0028520000000001</v>
      </c>
      <c r="I1070">
        <v>1</v>
      </c>
      <c r="J1070" s="156">
        <v>1</v>
      </c>
      <c r="K1070">
        <v>1</v>
      </c>
      <c r="L1070">
        <v>1</v>
      </c>
      <c r="M1070">
        <v>1</v>
      </c>
      <c r="N1070">
        <v>1.0028520000000001</v>
      </c>
    </row>
    <row r="1071" spans="1:14" x14ac:dyDescent="0.35">
      <c r="A1071" s="156" t="s">
        <v>542</v>
      </c>
      <c r="B1071" s="52">
        <v>44183</v>
      </c>
      <c r="C1071" s="156" t="s">
        <v>531</v>
      </c>
      <c r="D1071" s="156" t="s">
        <v>531</v>
      </c>
      <c r="E1071">
        <v>625408</v>
      </c>
      <c r="F1071">
        <v>593499.84620000003</v>
      </c>
      <c r="G1071">
        <v>949.56539999999995</v>
      </c>
      <c r="H1071">
        <v>1.0096560000000001</v>
      </c>
      <c r="I1071">
        <v>1</v>
      </c>
      <c r="J1071" s="156">
        <v>1</v>
      </c>
      <c r="K1071">
        <v>1</v>
      </c>
      <c r="L1071">
        <v>1</v>
      </c>
      <c r="M1071">
        <v>1</v>
      </c>
      <c r="N1071">
        <v>1.0096560000000001</v>
      </c>
    </row>
    <row r="1072" spans="1:14" x14ac:dyDescent="0.35">
      <c r="A1072" s="156" t="s">
        <v>542</v>
      </c>
      <c r="B1072" s="52">
        <v>44186</v>
      </c>
      <c r="C1072" s="156" t="s">
        <v>531</v>
      </c>
      <c r="D1072" s="156" t="s">
        <v>531</v>
      </c>
      <c r="E1072">
        <v>753709</v>
      </c>
      <c r="F1072">
        <v>705915.11970000004</v>
      </c>
      <c r="G1072">
        <v>936.92280000000005</v>
      </c>
      <c r="H1072">
        <v>0.98321599999999998</v>
      </c>
      <c r="I1072">
        <v>1</v>
      </c>
      <c r="J1072" s="156">
        <v>1</v>
      </c>
      <c r="K1072">
        <v>1</v>
      </c>
      <c r="L1072">
        <v>1</v>
      </c>
      <c r="M1072">
        <v>1</v>
      </c>
      <c r="N1072">
        <v>0.98321599999999998</v>
      </c>
    </row>
    <row r="1073" spans="1:14" x14ac:dyDescent="0.35">
      <c r="A1073" s="156" t="s">
        <v>542</v>
      </c>
      <c r="B1073" s="52">
        <v>44187</v>
      </c>
      <c r="C1073" s="156" t="s">
        <v>531</v>
      </c>
      <c r="D1073" s="156" t="s">
        <v>531</v>
      </c>
      <c r="E1073">
        <v>598655</v>
      </c>
      <c r="F1073">
        <v>574510.67059999995</v>
      </c>
      <c r="G1073">
        <v>960.41890000000001</v>
      </c>
      <c r="H1073">
        <v>1.038043</v>
      </c>
      <c r="I1073">
        <v>1</v>
      </c>
      <c r="J1073" s="156">
        <v>1</v>
      </c>
      <c r="K1073">
        <v>1</v>
      </c>
      <c r="L1073">
        <v>1</v>
      </c>
      <c r="M1073">
        <v>1</v>
      </c>
      <c r="N1073">
        <v>1.038043</v>
      </c>
    </row>
    <row r="1074" spans="1:14" x14ac:dyDescent="0.35">
      <c r="A1074" s="156" t="s">
        <v>542</v>
      </c>
      <c r="B1074" s="52">
        <v>44188</v>
      </c>
      <c r="C1074" s="156" t="s">
        <v>531</v>
      </c>
      <c r="D1074" s="156" t="s">
        <v>531</v>
      </c>
      <c r="E1074">
        <v>818335</v>
      </c>
      <c r="F1074">
        <v>768020.04579999996</v>
      </c>
      <c r="G1074">
        <v>938.2808</v>
      </c>
      <c r="H1074">
        <v>0.95146799999999998</v>
      </c>
      <c r="I1074">
        <v>1</v>
      </c>
      <c r="J1074" s="156">
        <v>1</v>
      </c>
      <c r="K1074">
        <v>1</v>
      </c>
      <c r="L1074">
        <v>1</v>
      </c>
      <c r="M1074">
        <v>1</v>
      </c>
      <c r="N1074">
        <v>0.95146799999999998</v>
      </c>
    </row>
    <row r="1075" spans="1:14" x14ac:dyDescent="0.35">
      <c r="A1075" s="156" t="s">
        <v>542</v>
      </c>
      <c r="B1075" s="52">
        <v>44189</v>
      </c>
      <c r="C1075" s="156" t="s">
        <v>531</v>
      </c>
      <c r="D1075" s="156" t="s">
        <v>531</v>
      </c>
      <c r="E1075">
        <v>318447</v>
      </c>
      <c r="F1075">
        <v>297947.28149999998</v>
      </c>
      <c r="G1075">
        <v>935.47349999999994</v>
      </c>
      <c r="H1075">
        <v>1.0084200000000001</v>
      </c>
      <c r="I1075">
        <v>1</v>
      </c>
      <c r="J1075" s="156">
        <v>1</v>
      </c>
      <c r="K1075">
        <v>1</v>
      </c>
      <c r="L1075">
        <v>1</v>
      </c>
      <c r="M1075">
        <v>1</v>
      </c>
      <c r="N1075">
        <v>1.0084200000000001</v>
      </c>
    </row>
    <row r="1076" spans="1:14" x14ac:dyDescent="0.35">
      <c r="A1076" s="156" t="s">
        <v>542</v>
      </c>
      <c r="B1076" s="52">
        <v>44193</v>
      </c>
      <c r="C1076" s="156" t="s">
        <v>531</v>
      </c>
      <c r="D1076" s="156" t="s">
        <v>531</v>
      </c>
      <c r="E1076">
        <v>2308467</v>
      </c>
      <c r="F1076">
        <v>1969068.2305999999</v>
      </c>
      <c r="G1076">
        <v>852.48609999999996</v>
      </c>
      <c r="H1076">
        <v>0.89359</v>
      </c>
      <c r="I1076">
        <v>1</v>
      </c>
      <c r="J1076" s="156">
        <v>1</v>
      </c>
      <c r="K1076">
        <v>1</v>
      </c>
      <c r="L1076">
        <v>1</v>
      </c>
      <c r="M1076">
        <v>1</v>
      </c>
      <c r="N1076">
        <v>0.89359</v>
      </c>
    </row>
    <row r="1077" spans="1:14" x14ac:dyDescent="0.35">
      <c r="A1077" s="156" t="s">
        <v>542</v>
      </c>
      <c r="B1077" s="52">
        <v>44194</v>
      </c>
      <c r="C1077" s="156" t="s">
        <v>531</v>
      </c>
      <c r="D1077" s="156" t="s">
        <v>531</v>
      </c>
      <c r="E1077">
        <v>1587608</v>
      </c>
      <c r="F1077">
        <v>1294232.7633</v>
      </c>
      <c r="G1077">
        <v>815.57010000000002</v>
      </c>
      <c r="H1077">
        <v>0.98519100000000004</v>
      </c>
      <c r="I1077">
        <v>1</v>
      </c>
      <c r="J1077" s="156">
        <v>1</v>
      </c>
      <c r="K1077">
        <v>1</v>
      </c>
      <c r="L1077">
        <v>1</v>
      </c>
      <c r="M1077">
        <v>1</v>
      </c>
      <c r="N1077">
        <v>0.98519100000000004</v>
      </c>
    </row>
    <row r="1078" spans="1:14" x14ac:dyDescent="0.35">
      <c r="A1078" s="156" t="s">
        <v>542</v>
      </c>
      <c r="B1078" s="52">
        <v>44195</v>
      </c>
      <c r="C1078" s="156" t="s">
        <v>531</v>
      </c>
      <c r="D1078" s="156" t="s">
        <v>531</v>
      </c>
      <c r="E1078">
        <v>1364888</v>
      </c>
      <c r="F1078">
        <v>1118591.5412000001</v>
      </c>
      <c r="G1078">
        <v>819.45090000000005</v>
      </c>
      <c r="H1078">
        <v>0.99720799999999998</v>
      </c>
      <c r="I1078">
        <v>1</v>
      </c>
      <c r="J1078" s="156">
        <v>1</v>
      </c>
      <c r="K1078">
        <v>1</v>
      </c>
      <c r="L1078">
        <v>1</v>
      </c>
      <c r="M1078">
        <v>1</v>
      </c>
      <c r="N1078">
        <v>0.99720799999999998</v>
      </c>
    </row>
    <row r="1079" spans="1:14" x14ac:dyDescent="0.35">
      <c r="A1079" s="156" t="s">
        <v>542</v>
      </c>
      <c r="B1079" s="52">
        <v>44196</v>
      </c>
      <c r="C1079" s="156" t="s">
        <v>531</v>
      </c>
      <c r="D1079" s="156" t="s">
        <v>531</v>
      </c>
      <c r="E1079">
        <v>789960</v>
      </c>
      <c r="F1079">
        <v>634959.69819999998</v>
      </c>
      <c r="G1079">
        <v>803.77030000000002</v>
      </c>
      <c r="H1079">
        <v>0.97921800000000003</v>
      </c>
      <c r="I1079">
        <v>1</v>
      </c>
      <c r="J1079" s="156">
        <v>1</v>
      </c>
      <c r="K1079">
        <v>1</v>
      </c>
      <c r="L1079">
        <v>1</v>
      </c>
      <c r="M1079">
        <v>1</v>
      </c>
      <c r="N1079">
        <v>0.97921800000000003</v>
      </c>
    </row>
    <row r="1080" spans="1:14" x14ac:dyDescent="0.35">
      <c r="A1080" s="156" t="s">
        <v>542</v>
      </c>
      <c r="B1080" s="52">
        <v>44200</v>
      </c>
      <c r="C1080" s="156" t="s">
        <v>531</v>
      </c>
      <c r="D1080" s="156" t="s">
        <v>531</v>
      </c>
      <c r="E1080">
        <v>1217726</v>
      </c>
      <c r="F1080">
        <v>944686.78130000003</v>
      </c>
      <c r="G1080">
        <v>776.19290000000001</v>
      </c>
      <c r="H1080">
        <v>0.96558100000000002</v>
      </c>
      <c r="I1080">
        <v>1</v>
      </c>
      <c r="J1080" s="156">
        <v>1</v>
      </c>
      <c r="K1080">
        <v>1</v>
      </c>
      <c r="L1080">
        <v>1</v>
      </c>
      <c r="M1080">
        <v>1</v>
      </c>
      <c r="N1080">
        <v>0.96558100000000002</v>
      </c>
    </row>
    <row r="1081" spans="1:14" x14ac:dyDescent="0.35">
      <c r="A1081" s="156" t="s">
        <v>542</v>
      </c>
      <c r="B1081" s="52">
        <v>44201</v>
      </c>
      <c r="C1081" s="156" t="s">
        <v>531</v>
      </c>
      <c r="D1081" s="156" t="s">
        <v>531</v>
      </c>
      <c r="E1081">
        <v>820219</v>
      </c>
      <c r="F1081">
        <v>645572.1152</v>
      </c>
      <c r="G1081">
        <v>787.09059999999999</v>
      </c>
      <c r="H1081">
        <v>1.019536</v>
      </c>
      <c r="I1081">
        <v>1</v>
      </c>
      <c r="J1081" s="156">
        <v>1</v>
      </c>
      <c r="K1081">
        <v>1</v>
      </c>
      <c r="L1081">
        <v>1</v>
      </c>
      <c r="M1081">
        <v>1</v>
      </c>
      <c r="N1081">
        <v>1.019536</v>
      </c>
    </row>
    <row r="1082" spans="1:14" x14ac:dyDescent="0.35">
      <c r="A1082" s="156" t="s">
        <v>542</v>
      </c>
      <c r="B1082" s="52">
        <v>44202</v>
      </c>
      <c r="C1082" s="156" t="s">
        <v>531</v>
      </c>
      <c r="D1082" s="156" t="s">
        <v>531</v>
      </c>
      <c r="E1082">
        <v>1459941</v>
      </c>
      <c r="F1082">
        <v>1104363.4779000001</v>
      </c>
      <c r="G1082">
        <v>756.00450000000001</v>
      </c>
      <c r="H1082">
        <v>0.93921699999999997</v>
      </c>
      <c r="I1082">
        <v>1</v>
      </c>
      <c r="J1082" s="156">
        <v>1</v>
      </c>
      <c r="K1082">
        <v>1</v>
      </c>
      <c r="L1082">
        <v>1</v>
      </c>
      <c r="M1082">
        <v>1</v>
      </c>
      <c r="N1082">
        <v>0.93921699999999997</v>
      </c>
    </row>
    <row r="1083" spans="1:14" x14ac:dyDescent="0.35">
      <c r="A1083" s="156" t="s">
        <v>542</v>
      </c>
      <c r="B1083" s="52">
        <v>44203</v>
      </c>
      <c r="C1083" s="156" t="s">
        <v>531</v>
      </c>
      <c r="D1083" s="156" t="s">
        <v>531</v>
      </c>
      <c r="E1083">
        <v>1437660</v>
      </c>
      <c r="F1083">
        <v>1083314.9763</v>
      </c>
      <c r="G1083">
        <v>753.47950000000003</v>
      </c>
      <c r="H1083">
        <v>1.0302720000000001</v>
      </c>
      <c r="I1083">
        <v>1</v>
      </c>
      <c r="J1083" s="156">
        <v>1</v>
      </c>
      <c r="K1083">
        <v>1</v>
      </c>
      <c r="L1083">
        <v>1</v>
      </c>
      <c r="M1083">
        <v>1</v>
      </c>
      <c r="N1083">
        <v>1.0302720000000001</v>
      </c>
    </row>
    <row r="1084" spans="1:14" x14ac:dyDescent="0.35">
      <c r="A1084" s="156" t="s">
        <v>542</v>
      </c>
      <c r="B1084" s="52">
        <v>44204</v>
      </c>
      <c r="C1084" s="156" t="s">
        <v>531</v>
      </c>
      <c r="D1084" s="156" t="s">
        <v>531</v>
      </c>
      <c r="E1084">
        <v>1080818</v>
      </c>
      <c r="F1084">
        <v>851797.07409999997</v>
      </c>
      <c r="G1084">
        <v>788.23789999999997</v>
      </c>
      <c r="H1084">
        <v>1.0429600000000001</v>
      </c>
      <c r="I1084">
        <v>1</v>
      </c>
      <c r="J1084" s="156">
        <v>1</v>
      </c>
      <c r="K1084">
        <v>1</v>
      </c>
      <c r="L1084">
        <v>1</v>
      </c>
      <c r="M1084">
        <v>1</v>
      </c>
      <c r="N1084">
        <v>1.0429600000000001</v>
      </c>
    </row>
    <row r="1085" spans="1:14" x14ac:dyDescent="0.35">
      <c r="A1085" s="156" t="s">
        <v>542</v>
      </c>
      <c r="B1085" s="52">
        <v>44207</v>
      </c>
      <c r="C1085" s="156" t="s">
        <v>531</v>
      </c>
      <c r="D1085" s="156" t="s">
        <v>531</v>
      </c>
      <c r="E1085">
        <v>650961</v>
      </c>
      <c r="F1085">
        <v>512397.78149999998</v>
      </c>
      <c r="G1085">
        <v>786.91539999999998</v>
      </c>
      <c r="H1085">
        <v>0.97924100000000003</v>
      </c>
      <c r="I1085">
        <v>1</v>
      </c>
      <c r="J1085" s="156">
        <v>1</v>
      </c>
      <c r="K1085">
        <v>1</v>
      </c>
      <c r="L1085">
        <v>1</v>
      </c>
      <c r="M1085">
        <v>1</v>
      </c>
      <c r="N1085">
        <v>0.97924100000000003</v>
      </c>
    </row>
    <row r="1086" spans="1:14" x14ac:dyDescent="0.35">
      <c r="A1086" s="156" t="s">
        <v>542</v>
      </c>
      <c r="B1086" s="52">
        <v>44208</v>
      </c>
      <c r="C1086" s="156" t="s">
        <v>531</v>
      </c>
      <c r="D1086" s="156" t="s">
        <v>531</v>
      </c>
      <c r="E1086">
        <v>789405</v>
      </c>
      <c r="F1086">
        <v>633693.48549999995</v>
      </c>
      <c r="G1086">
        <v>802.57380000000001</v>
      </c>
      <c r="H1086">
        <v>1.0337609999999999</v>
      </c>
      <c r="I1086">
        <v>1</v>
      </c>
      <c r="J1086" s="156">
        <v>1</v>
      </c>
      <c r="K1086">
        <v>1</v>
      </c>
      <c r="L1086">
        <v>1</v>
      </c>
      <c r="M1086">
        <v>1</v>
      </c>
      <c r="N1086">
        <v>1.0337609999999999</v>
      </c>
    </row>
    <row r="1087" spans="1:14" x14ac:dyDescent="0.35">
      <c r="A1087" s="156" t="s">
        <v>542</v>
      </c>
      <c r="B1087" s="52">
        <v>44209</v>
      </c>
      <c r="C1087" s="156" t="s">
        <v>531</v>
      </c>
      <c r="D1087" s="156" t="s">
        <v>531</v>
      </c>
      <c r="E1087">
        <v>673801</v>
      </c>
      <c r="F1087">
        <v>536769.68359999999</v>
      </c>
      <c r="G1087">
        <v>796.40949999999998</v>
      </c>
      <c r="H1087">
        <v>0.97498799999999997</v>
      </c>
      <c r="I1087">
        <v>1</v>
      </c>
      <c r="J1087" s="156">
        <v>1</v>
      </c>
      <c r="K1087">
        <v>1</v>
      </c>
      <c r="L1087">
        <v>1</v>
      </c>
      <c r="M1087">
        <v>1</v>
      </c>
      <c r="N1087">
        <v>0.97498799999999997</v>
      </c>
    </row>
    <row r="1088" spans="1:14" x14ac:dyDescent="0.35">
      <c r="A1088" s="156" t="s">
        <v>542</v>
      </c>
      <c r="B1088" s="52">
        <v>44210</v>
      </c>
      <c r="C1088" s="156" t="s">
        <v>531</v>
      </c>
      <c r="D1088" s="156" t="s">
        <v>531</v>
      </c>
      <c r="E1088">
        <v>638641</v>
      </c>
      <c r="F1088">
        <v>500681.89439999999</v>
      </c>
      <c r="G1088">
        <v>783.71640000000002</v>
      </c>
      <c r="H1088">
        <v>0.98707699999999998</v>
      </c>
      <c r="I1088">
        <v>1</v>
      </c>
      <c r="J1088" s="156">
        <v>1</v>
      </c>
      <c r="K1088">
        <v>1</v>
      </c>
      <c r="L1088">
        <v>1</v>
      </c>
      <c r="M1088">
        <v>1</v>
      </c>
      <c r="N1088">
        <v>0.98707699999999998</v>
      </c>
    </row>
    <row r="1089" spans="1:14" x14ac:dyDescent="0.35">
      <c r="A1089" s="156" t="s">
        <v>542</v>
      </c>
      <c r="B1089" s="52">
        <v>44211</v>
      </c>
      <c r="C1089" s="156" t="s">
        <v>531</v>
      </c>
      <c r="D1089" s="156" t="s">
        <v>531</v>
      </c>
      <c r="E1089">
        <v>521782</v>
      </c>
      <c r="F1089">
        <v>408971.6102</v>
      </c>
      <c r="G1089">
        <v>783.50369999999998</v>
      </c>
      <c r="H1089">
        <v>1.0129760000000001</v>
      </c>
      <c r="I1089">
        <v>1</v>
      </c>
      <c r="J1089" s="156">
        <v>1</v>
      </c>
      <c r="K1089">
        <v>1</v>
      </c>
      <c r="L1089">
        <v>1</v>
      </c>
      <c r="M1089">
        <v>1</v>
      </c>
      <c r="N1089">
        <v>1.0129760000000001</v>
      </c>
    </row>
    <row r="1090" spans="1:14" x14ac:dyDescent="0.35">
      <c r="A1090" s="156" t="s">
        <v>542</v>
      </c>
      <c r="B1090" s="52">
        <v>44215</v>
      </c>
      <c r="C1090" s="156" t="s">
        <v>531</v>
      </c>
      <c r="D1090" s="156" t="s">
        <v>531</v>
      </c>
      <c r="E1090">
        <v>642169</v>
      </c>
      <c r="F1090">
        <v>499430.86349999998</v>
      </c>
      <c r="G1090">
        <v>778.10900000000004</v>
      </c>
      <c r="H1090">
        <v>0.99396499999999999</v>
      </c>
      <c r="I1090">
        <v>1</v>
      </c>
      <c r="J1090" s="156">
        <v>1</v>
      </c>
      <c r="K1090">
        <v>1</v>
      </c>
      <c r="L1090">
        <v>1</v>
      </c>
      <c r="M1090">
        <v>1</v>
      </c>
      <c r="N1090">
        <v>0.99396499999999999</v>
      </c>
    </row>
    <row r="1091" spans="1:14" x14ac:dyDescent="0.35">
      <c r="A1091" s="156" t="s">
        <v>542</v>
      </c>
      <c r="B1091" s="52">
        <v>44216</v>
      </c>
      <c r="C1091" s="156" t="s">
        <v>531</v>
      </c>
      <c r="D1091" s="156" t="s">
        <v>531</v>
      </c>
      <c r="E1091">
        <v>697347</v>
      </c>
      <c r="F1091">
        <v>560612.36880000005</v>
      </c>
      <c r="G1091">
        <v>803.82449999999994</v>
      </c>
      <c r="H1091">
        <v>1.038905</v>
      </c>
      <c r="I1091">
        <v>1</v>
      </c>
      <c r="J1091" s="156">
        <v>1</v>
      </c>
      <c r="K1091">
        <v>1</v>
      </c>
      <c r="L1091">
        <v>1</v>
      </c>
      <c r="M1091">
        <v>1</v>
      </c>
      <c r="N1091">
        <v>1.038905</v>
      </c>
    </row>
    <row r="1092" spans="1:14" x14ac:dyDescent="0.35">
      <c r="A1092" s="156" t="s">
        <v>542</v>
      </c>
      <c r="B1092" s="52">
        <v>44217</v>
      </c>
      <c r="C1092" s="156" t="s">
        <v>531</v>
      </c>
      <c r="D1092" s="156" t="s">
        <v>531</v>
      </c>
      <c r="E1092">
        <v>761562</v>
      </c>
      <c r="F1092">
        <v>628908.70319999999</v>
      </c>
      <c r="G1092">
        <v>825.55020000000002</v>
      </c>
      <c r="H1092">
        <v>1.002515</v>
      </c>
      <c r="I1092">
        <v>1</v>
      </c>
      <c r="J1092" s="156">
        <v>1</v>
      </c>
      <c r="K1092">
        <v>1</v>
      </c>
      <c r="L1092">
        <v>1</v>
      </c>
      <c r="M1092">
        <v>1</v>
      </c>
      <c r="N1092">
        <v>1.002515</v>
      </c>
    </row>
    <row r="1093" spans="1:14" x14ac:dyDescent="0.35">
      <c r="A1093" s="156" t="s">
        <v>542</v>
      </c>
      <c r="B1093" s="52">
        <v>44218</v>
      </c>
      <c r="C1093" s="156" t="s">
        <v>531</v>
      </c>
      <c r="D1093" s="156" t="s">
        <v>531</v>
      </c>
      <c r="E1093">
        <v>378072</v>
      </c>
      <c r="F1093">
        <v>306414.84389999998</v>
      </c>
      <c r="G1093">
        <v>810.64449999999999</v>
      </c>
      <c r="H1093">
        <v>0.99991399999999997</v>
      </c>
      <c r="I1093">
        <v>1</v>
      </c>
      <c r="J1093" s="156">
        <v>1</v>
      </c>
      <c r="K1093">
        <v>1</v>
      </c>
      <c r="L1093">
        <v>1</v>
      </c>
      <c r="M1093">
        <v>1</v>
      </c>
      <c r="N1093">
        <v>0.99991399999999997</v>
      </c>
    </row>
    <row r="1094" spans="1:14" x14ac:dyDescent="0.35">
      <c r="A1094" s="156" t="s">
        <v>542</v>
      </c>
      <c r="B1094" s="52">
        <v>44221</v>
      </c>
      <c r="C1094" s="156" t="s">
        <v>531</v>
      </c>
      <c r="D1094" s="156" t="s">
        <v>531</v>
      </c>
      <c r="E1094">
        <v>765804</v>
      </c>
      <c r="F1094">
        <v>605179.26229999994</v>
      </c>
      <c r="G1094">
        <v>792.52419999999995</v>
      </c>
      <c r="H1094">
        <v>0.966333</v>
      </c>
      <c r="I1094">
        <v>1</v>
      </c>
      <c r="J1094" s="156">
        <v>1</v>
      </c>
      <c r="K1094">
        <v>1</v>
      </c>
      <c r="L1094">
        <v>1</v>
      </c>
      <c r="M1094">
        <v>1</v>
      </c>
      <c r="N1094">
        <v>0.966333</v>
      </c>
    </row>
    <row r="1095" spans="1:14" x14ac:dyDescent="0.35">
      <c r="A1095" s="156" t="s">
        <v>542</v>
      </c>
      <c r="B1095" s="52">
        <v>44222</v>
      </c>
      <c r="C1095" s="156" t="s">
        <v>531</v>
      </c>
      <c r="D1095" s="156" t="s">
        <v>531</v>
      </c>
      <c r="E1095">
        <v>451134</v>
      </c>
      <c r="F1095">
        <v>353344.47200000001</v>
      </c>
      <c r="G1095">
        <v>783.16309999999999</v>
      </c>
      <c r="H1095">
        <v>0.98816199999999998</v>
      </c>
      <c r="I1095">
        <v>1</v>
      </c>
      <c r="J1095" s="156">
        <v>1</v>
      </c>
      <c r="K1095">
        <v>1</v>
      </c>
      <c r="L1095">
        <v>1</v>
      </c>
      <c r="M1095">
        <v>1</v>
      </c>
      <c r="N1095">
        <v>0.98816199999999998</v>
      </c>
    </row>
    <row r="1096" spans="1:14" x14ac:dyDescent="0.35">
      <c r="A1096" s="156" t="s">
        <v>542</v>
      </c>
      <c r="B1096" s="52">
        <v>44223</v>
      </c>
      <c r="C1096" s="156" t="s">
        <v>531</v>
      </c>
      <c r="D1096" s="156" t="s">
        <v>531</v>
      </c>
      <c r="E1096">
        <v>707372</v>
      </c>
      <c r="F1096">
        <v>536669.7095</v>
      </c>
      <c r="G1096">
        <v>758.62260000000003</v>
      </c>
      <c r="H1096">
        <v>0.97424900000000003</v>
      </c>
      <c r="I1096">
        <v>1</v>
      </c>
      <c r="J1096" s="156">
        <v>1</v>
      </c>
      <c r="K1096">
        <v>1</v>
      </c>
      <c r="L1096">
        <v>1</v>
      </c>
      <c r="M1096">
        <v>1</v>
      </c>
      <c r="N1096">
        <v>0.97424900000000003</v>
      </c>
    </row>
    <row r="1097" spans="1:14" x14ac:dyDescent="0.35">
      <c r="A1097" s="156" t="s">
        <v>542</v>
      </c>
      <c r="B1097" s="52">
        <v>44224</v>
      </c>
      <c r="C1097" s="156" t="s">
        <v>531</v>
      </c>
      <c r="D1097" s="156" t="s">
        <v>531</v>
      </c>
      <c r="E1097">
        <v>793334</v>
      </c>
      <c r="F1097">
        <v>627836.35750000004</v>
      </c>
      <c r="G1097">
        <v>791.40700000000004</v>
      </c>
      <c r="H1097">
        <v>1.0505359999999999</v>
      </c>
      <c r="I1097">
        <v>1</v>
      </c>
      <c r="J1097" s="156">
        <v>1</v>
      </c>
      <c r="K1097">
        <v>1</v>
      </c>
      <c r="L1097">
        <v>1</v>
      </c>
      <c r="M1097">
        <v>1</v>
      </c>
      <c r="N1097">
        <v>1.0505359999999999</v>
      </c>
    </row>
    <row r="1098" spans="1:14" x14ac:dyDescent="0.35">
      <c r="A1098" s="156" t="s">
        <v>542</v>
      </c>
      <c r="B1098" s="52">
        <v>44225</v>
      </c>
      <c r="C1098" s="156" t="s">
        <v>531</v>
      </c>
      <c r="D1098" s="156" t="s">
        <v>531</v>
      </c>
      <c r="E1098">
        <v>582363</v>
      </c>
      <c r="F1098">
        <v>448927.12030000001</v>
      </c>
      <c r="G1098">
        <v>770.75739999999996</v>
      </c>
      <c r="H1098">
        <v>0.96409100000000003</v>
      </c>
      <c r="I1098">
        <v>1</v>
      </c>
      <c r="J1098" s="156">
        <v>1</v>
      </c>
      <c r="K1098">
        <v>1</v>
      </c>
      <c r="L1098">
        <v>1</v>
      </c>
      <c r="M1098">
        <v>1</v>
      </c>
      <c r="N1098">
        <v>0.96409100000000003</v>
      </c>
    </row>
    <row r="1099" spans="1:14" x14ac:dyDescent="0.35">
      <c r="A1099" s="156" t="s">
        <v>542</v>
      </c>
      <c r="B1099" s="52">
        <v>44228</v>
      </c>
      <c r="C1099" s="156" t="s">
        <v>531</v>
      </c>
      <c r="D1099" s="156" t="s">
        <v>531</v>
      </c>
      <c r="E1099">
        <v>681195</v>
      </c>
      <c r="F1099">
        <v>538178.83929999999</v>
      </c>
      <c r="G1099">
        <v>790.47519999999997</v>
      </c>
      <c r="H1099">
        <v>1.035536</v>
      </c>
      <c r="I1099">
        <v>1</v>
      </c>
      <c r="J1099" s="156">
        <v>1</v>
      </c>
      <c r="K1099">
        <v>1</v>
      </c>
      <c r="L1099">
        <v>1</v>
      </c>
      <c r="M1099">
        <v>1</v>
      </c>
      <c r="N1099">
        <v>1.035536</v>
      </c>
    </row>
    <row r="1100" spans="1:14" x14ac:dyDescent="0.35">
      <c r="A1100" s="156" t="s">
        <v>542</v>
      </c>
      <c r="B1100" s="52">
        <v>44229</v>
      </c>
      <c r="C1100" s="156" t="s">
        <v>531</v>
      </c>
      <c r="D1100" s="156" t="s">
        <v>531</v>
      </c>
      <c r="E1100">
        <v>652721</v>
      </c>
      <c r="F1100">
        <v>538378.924</v>
      </c>
      <c r="G1100">
        <v>824.81539999999995</v>
      </c>
      <c r="H1100">
        <v>1.0482089999999999</v>
      </c>
      <c r="I1100">
        <v>1</v>
      </c>
      <c r="J1100" s="156">
        <v>1</v>
      </c>
      <c r="K1100">
        <v>1</v>
      </c>
      <c r="L1100">
        <v>1</v>
      </c>
      <c r="M1100">
        <v>1</v>
      </c>
      <c r="N1100">
        <v>1.0482089999999999</v>
      </c>
    </row>
    <row r="1101" spans="1:14" x14ac:dyDescent="0.35">
      <c r="A1101" s="156" t="s">
        <v>542</v>
      </c>
      <c r="B1101" s="52">
        <v>44230</v>
      </c>
      <c r="C1101" s="156" t="s">
        <v>531</v>
      </c>
      <c r="D1101" s="156" t="s">
        <v>531</v>
      </c>
      <c r="E1101">
        <v>836416</v>
      </c>
      <c r="F1101">
        <v>715402.62699999998</v>
      </c>
      <c r="G1101">
        <v>855.07320000000004</v>
      </c>
      <c r="H1101">
        <v>1.009261</v>
      </c>
      <c r="I1101">
        <v>1</v>
      </c>
      <c r="J1101" s="156">
        <v>1</v>
      </c>
      <c r="K1101">
        <v>1</v>
      </c>
      <c r="L1101">
        <v>1</v>
      </c>
      <c r="M1101">
        <v>1</v>
      </c>
      <c r="N1101">
        <v>1.009261</v>
      </c>
    </row>
    <row r="1102" spans="1:14" x14ac:dyDescent="0.35">
      <c r="A1102" s="156" t="s">
        <v>542</v>
      </c>
      <c r="B1102" s="52">
        <v>44231</v>
      </c>
      <c r="C1102" s="156" t="s">
        <v>531</v>
      </c>
      <c r="D1102" s="156" t="s">
        <v>531</v>
      </c>
      <c r="E1102">
        <v>410572</v>
      </c>
      <c r="F1102">
        <v>349713.84210000001</v>
      </c>
      <c r="G1102">
        <v>851.83399999999995</v>
      </c>
      <c r="H1102">
        <v>1.01772</v>
      </c>
      <c r="I1102">
        <v>1</v>
      </c>
      <c r="J1102" s="156">
        <v>1</v>
      </c>
      <c r="K1102">
        <v>1</v>
      </c>
      <c r="L1102">
        <v>1</v>
      </c>
      <c r="M1102">
        <v>1</v>
      </c>
      <c r="N1102">
        <v>1.01772</v>
      </c>
    </row>
    <row r="1103" spans="1:14" x14ac:dyDescent="0.35">
      <c r="A1103" s="156" t="s">
        <v>542</v>
      </c>
      <c r="B1103" s="52">
        <v>44232</v>
      </c>
      <c r="C1103" s="156" t="s">
        <v>531</v>
      </c>
      <c r="D1103" s="156" t="s">
        <v>531</v>
      </c>
      <c r="E1103">
        <v>576443</v>
      </c>
      <c r="F1103">
        <v>493841.77130000002</v>
      </c>
      <c r="G1103">
        <v>857.00109999999995</v>
      </c>
      <c r="H1103">
        <v>1.0012179999999999</v>
      </c>
      <c r="I1103">
        <v>1</v>
      </c>
      <c r="J1103" s="156">
        <v>1</v>
      </c>
      <c r="K1103">
        <v>1</v>
      </c>
      <c r="L1103">
        <v>1</v>
      </c>
      <c r="M1103">
        <v>1</v>
      </c>
      <c r="N1103">
        <v>1.0012179999999999</v>
      </c>
    </row>
    <row r="1104" spans="1:14" x14ac:dyDescent="0.35">
      <c r="A1104" s="156" t="s">
        <v>542</v>
      </c>
      <c r="B1104" s="52">
        <v>44235</v>
      </c>
      <c r="C1104" s="156" t="s">
        <v>531</v>
      </c>
      <c r="D1104" s="156" t="s">
        <v>531</v>
      </c>
      <c r="E1104">
        <v>486057</v>
      </c>
      <c r="F1104">
        <v>418050.18190000003</v>
      </c>
      <c r="G1104">
        <v>860.1617</v>
      </c>
      <c r="H1104">
        <v>0.996784</v>
      </c>
      <c r="I1104">
        <v>1</v>
      </c>
      <c r="J1104" s="156">
        <v>1</v>
      </c>
      <c r="K1104">
        <v>1</v>
      </c>
      <c r="L1104">
        <v>1</v>
      </c>
      <c r="M1104">
        <v>1</v>
      </c>
      <c r="N1104">
        <v>0.996784</v>
      </c>
    </row>
    <row r="1105" spans="1:14" x14ac:dyDescent="0.35">
      <c r="A1105" s="156" t="s">
        <v>542</v>
      </c>
      <c r="B1105" s="52">
        <v>44236</v>
      </c>
      <c r="C1105" s="156" t="s">
        <v>531</v>
      </c>
      <c r="D1105" s="156" t="s">
        <v>531</v>
      </c>
      <c r="E1105">
        <v>426539</v>
      </c>
      <c r="F1105">
        <v>365295.0134</v>
      </c>
      <c r="G1105">
        <v>856.3537</v>
      </c>
      <c r="H1105">
        <v>1.0144310000000001</v>
      </c>
      <c r="I1105">
        <v>1</v>
      </c>
      <c r="J1105" s="156">
        <v>1</v>
      </c>
      <c r="K1105">
        <v>1</v>
      </c>
      <c r="L1105">
        <v>1</v>
      </c>
      <c r="M1105">
        <v>1</v>
      </c>
      <c r="N1105">
        <v>1.0144310000000001</v>
      </c>
    </row>
    <row r="1106" spans="1:14" x14ac:dyDescent="0.35">
      <c r="A1106" s="156" t="s">
        <v>542</v>
      </c>
      <c r="B1106" s="52">
        <v>44237</v>
      </c>
      <c r="C1106" s="156" t="s">
        <v>531</v>
      </c>
      <c r="D1106" s="156" t="s">
        <v>531</v>
      </c>
      <c r="E1106">
        <v>536028</v>
      </c>
      <c r="F1106">
        <v>461834.75929999998</v>
      </c>
      <c r="G1106">
        <v>861.58929999999998</v>
      </c>
      <c r="H1106">
        <v>0.99688900000000003</v>
      </c>
      <c r="I1106">
        <v>1</v>
      </c>
      <c r="J1106" s="156">
        <v>1</v>
      </c>
      <c r="K1106">
        <v>1</v>
      </c>
      <c r="L1106">
        <v>1</v>
      </c>
      <c r="M1106">
        <v>1</v>
      </c>
      <c r="N1106">
        <v>0.99688900000000003</v>
      </c>
    </row>
    <row r="1107" spans="1:14" x14ac:dyDescent="0.35">
      <c r="A1107" s="156" t="s">
        <v>542</v>
      </c>
      <c r="B1107" s="52">
        <v>44238</v>
      </c>
      <c r="C1107" s="156" t="s">
        <v>531</v>
      </c>
      <c r="D1107" s="156" t="s">
        <v>531</v>
      </c>
      <c r="E1107">
        <v>396044</v>
      </c>
      <c r="F1107">
        <v>339946.67469999997</v>
      </c>
      <c r="G1107">
        <v>858.64940000000001</v>
      </c>
      <c r="H1107">
        <v>1.005708</v>
      </c>
      <c r="I1107">
        <v>1</v>
      </c>
      <c r="J1107" s="156">
        <v>1</v>
      </c>
      <c r="K1107">
        <v>1</v>
      </c>
      <c r="L1107">
        <v>1</v>
      </c>
      <c r="M1107">
        <v>1</v>
      </c>
      <c r="N1107">
        <v>1.005708</v>
      </c>
    </row>
    <row r="1108" spans="1:14" x14ac:dyDescent="0.35">
      <c r="A1108" s="156" t="s">
        <v>542</v>
      </c>
      <c r="B1108" s="52">
        <v>44239</v>
      </c>
      <c r="C1108" s="156" t="s">
        <v>531</v>
      </c>
      <c r="D1108" s="156" t="s">
        <v>531</v>
      </c>
      <c r="E1108">
        <v>407420</v>
      </c>
      <c r="F1108">
        <v>352109.74900000001</v>
      </c>
      <c r="G1108">
        <v>864.43079999999998</v>
      </c>
      <c r="H1108">
        <v>0.99672400000000005</v>
      </c>
      <c r="I1108">
        <v>1</v>
      </c>
      <c r="J1108" s="156">
        <v>1</v>
      </c>
      <c r="K1108">
        <v>1</v>
      </c>
      <c r="L1108">
        <v>1</v>
      </c>
      <c r="M1108">
        <v>1</v>
      </c>
      <c r="N1108">
        <v>0.99672400000000005</v>
      </c>
    </row>
    <row r="1109" spans="1:14" x14ac:dyDescent="0.35">
      <c r="A1109" s="156" t="s">
        <v>542</v>
      </c>
      <c r="B1109" s="52">
        <v>44243</v>
      </c>
      <c r="C1109" s="156" t="s">
        <v>531</v>
      </c>
      <c r="D1109" s="156" t="s">
        <v>531</v>
      </c>
      <c r="E1109">
        <v>687893</v>
      </c>
      <c r="F1109">
        <v>596282.81969999999</v>
      </c>
      <c r="G1109">
        <v>866.97220000000004</v>
      </c>
      <c r="H1109">
        <v>1.0057640000000001</v>
      </c>
      <c r="I1109">
        <v>1</v>
      </c>
      <c r="J1109" s="156">
        <v>1</v>
      </c>
      <c r="K1109">
        <v>1</v>
      </c>
      <c r="L1109">
        <v>1</v>
      </c>
      <c r="M1109">
        <v>1</v>
      </c>
      <c r="N1109">
        <v>1.0057640000000001</v>
      </c>
    </row>
    <row r="1110" spans="1:14" x14ac:dyDescent="0.35">
      <c r="A1110" s="156" t="s">
        <v>542</v>
      </c>
      <c r="B1110" s="52">
        <v>44244</v>
      </c>
      <c r="C1110" s="156" t="s">
        <v>531</v>
      </c>
      <c r="D1110" s="156" t="s">
        <v>531</v>
      </c>
      <c r="E1110">
        <v>762784</v>
      </c>
      <c r="F1110">
        <v>638690.0686</v>
      </c>
      <c r="G1110">
        <v>838.1644</v>
      </c>
      <c r="H1110">
        <v>0.97173699999999996</v>
      </c>
      <c r="I1110">
        <v>1</v>
      </c>
      <c r="J1110" s="156">
        <v>1</v>
      </c>
      <c r="K1110">
        <v>1</v>
      </c>
      <c r="L1110">
        <v>1</v>
      </c>
      <c r="M1110">
        <v>1</v>
      </c>
      <c r="N1110">
        <v>0.97173699999999996</v>
      </c>
    </row>
    <row r="1111" spans="1:14" x14ac:dyDescent="0.35">
      <c r="A1111" s="156" t="s">
        <v>542</v>
      </c>
      <c r="B1111" s="52">
        <v>44245</v>
      </c>
      <c r="C1111" s="156" t="s">
        <v>531</v>
      </c>
      <c r="D1111" s="156" t="s">
        <v>531</v>
      </c>
      <c r="E1111">
        <v>888350</v>
      </c>
      <c r="F1111">
        <v>745050.66500000004</v>
      </c>
      <c r="G1111">
        <v>838.74670000000003</v>
      </c>
      <c r="H1111">
        <v>1.0024630000000001</v>
      </c>
      <c r="I1111">
        <v>1</v>
      </c>
      <c r="J1111" s="156">
        <v>1</v>
      </c>
      <c r="K1111">
        <v>1</v>
      </c>
      <c r="L1111">
        <v>1</v>
      </c>
      <c r="M1111">
        <v>1</v>
      </c>
      <c r="N1111">
        <v>1.0024630000000001</v>
      </c>
    </row>
    <row r="1112" spans="1:14" x14ac:dyDescent="0.35">
      <c r="A1112" s="156" t="s">
        <v>542</v>
      </c>
      <c r="B1112" s="52">
        <v>44246</v>
      </c>
      <c r="C1112" s="156" t="s">
        <v>531</v>
      </c>
      <c r="D1112" s="156" t="s">
        <v>531</v>
      </c>
      <c r="E1112">
        <v>2375980</v>
      </c>
      <c r="F1112">
        <v>2138488.6338999998</v>
      </c>
      <c r="G1112">
        <v>899.77200000000005</v>
      </c>
      <c r="H1112">
        <v>1.067159</v>
      </c>
      <c r="I1112">
        <v>1</v>
      </c>
      <c r="J1112" s="156">
        <v>1</v>
      </c>
      <c r="K1112">
        <v>1</v>
      </c>
      <c r="L1112">
        <v>1</v>
      </c>
      <c r="M1112">
        <v>1</v>
      </c>
      <c r="N1112">
        <v>1.067159</v>
      </c>
    </row>
    <row r="1113" spans="1:14" x14ac:dyDescent="0.35">
      <c r="A1113" s="156" t="s">
        <v>542</v>
      </c>
      <c r="B1113" s="52">
        <v>44249</v>
      </c>
      <c r="C1113" s="156" t="s">
        <v>531</v>
      </c>
      <c r="D1113" s="156" t="s">
        <v>531</v>
      </c>
      <c r="E1113">
        <v>1164259</v>
      </c>
      <c r="F1113">
        <v>1011342.0723</v>
      </c>
      <c r="G1113">
        <v>867.83910000000003</v>
      </c>
      <c r="H1113">
        <v>0.93565100000000001</v>
      </c>
      <c r="I1113">
        <v>1</v>
      </c>
      <c r="J1113" s="156">
        <v>1</v>
      </c>
      <c r="K1113">
        <v>1</v>
      </c>
      <c r="L1113">
        <v>1</v>
      </c>
      <c r="M1113">
        <v>1</v>
      </c>
      <c r="N1113">
        <v>0.93565100000000001</v>
      </c>
    </row>
    <row r="1114" spans="1:14" x14ac:dyDescent="0.35">
      <c r="A1114" s="156" t="s">
        <v>542</v>
      </c>
      <c r="B1114" s="52">
        <v>44250</v>
      </c>
      <c r="C1114" s="156" t="s">
        <v>531</v>
      </c>
      <c r="D1114" s="156" t="s">
        <v>531</v>
      </c>
      <c r="E1114">
        <v>1483371</v>
      </c>
      <c r="F1114">
        <v>1156796.3038000001</v>
      </c>
      <c r="G1114">
        <v>779.44119999999998</v>
      </c>
      <c r="H1114">
        <v>0.93595799999999996</v>
      </c>
      <c r="I1114">
        <v>1</v>
      </c>
      <c r="J1114" s="156">
        <v>1</v>
      </c>
      <c r="K1114">
        <v>1</v>
      </c>
      <c r="L1114">
        <v>1</v>
      </c>
      <c r="M1114">
        <v>1</v>
      </c>
      <c r="N1114">
        <v>0.93595799999999996</v>
      </c>
    </row>
    <row r="1115" spans="1:14" x14ac:dyDescent="0.35">
      <c r="A1115" s="156" t="s">
        <v>542</v>
      </c>
      <c r="B1115" s="52">
        <v>44251</v>
      </c>
      <c r="C1115" s="156" t="s">
        <v>531</v>
      </c>
      <c r="D1115" s="156" t="s">
        <v>531</v>
      </c>
      <c r="E1115">
        <v>683652</v>
      </c>
      <c r="F1115">
        <v>532259.54460000002</v>
      </c>
      <c r="G1115">
        <v>778.98659999999995</v>
      </c>
      <c r="H1115">
        <v>0.98729599999999995</v>
      </c>
      <c r="I1115">
        <v>1</v>
      </c>
      <c r="J1115" s="156">
        <v>1</v>
      </c>
      <c r="K1115">
        <v>1</v>
      </c>
      <c r="L1115">
        <v>1</v>
      </c>
      <c r="M1115">
        <v>1</v>
      </c>
      <c r="N1115">
        <v>0.98729599999999995</v>
      </c>
    </row>
    <row r="1116" spans="1:14" x14ac:dyDescent="0.35">
      <c r="A1116" s="156" t="s">
        <v>542</v>
      </c>
      <c r="B1116" s="52">
        <v>44252</v>
      </c>
      <c r="C1116" s="156" t="s">
        <v>531</v>
      </c>
      <c r="D1116" s="156" t="s">
        <v>531</v>
      </c>
      <c r="E1116">
        <v>796615</v>
      </c>
      <c r="F1116">
        <v>610664.87049999996</v>
      </c>
      <c r="G1116">
        <v>767.10940000000005</v>
      </c>
      <c r="H1116">
        <v>0.96613499999999997</v>
      </c>
      <c r="I1116">
        <v>1</v>
      </c>
      <c r="J1116" s="156">
        <v>1</v>
      </c>
      <c r="K1116">
        <v>1</v>
      </c>
      <c r="L1116">
        <v>1</v>
      </c>
      <c r="M1116">
        <v>1</v>
      </c>
      <c r="N1116">
        <v>0.96613499999999997</v>
      </c>
    </row>
    <row r="1117" spans="1:14" x14ac:dyDescent="0.35">
      <c r="A1117" s="156" t="s">
        <v>542</v>
      </c>
      <c r="B1117" s="52">
        <v>44253</v>
      </c>
      <c r="C1117" s="156" t="s">
        <v>531</v>
      </c>
      <c r="D1117" s="156" t="s">
        <v>531</v>
      </c>
      <c r="E1117">
        <v>905989</v>
      </c>
      <c r="F1117">
        <v>720439.91469999996</v>
      </c>
      <c r="G1117">
        <v>795.38570000000004</v>
      </c>
      <c r="H1117">
        <v>1.067321</v>
      </c>
      <c r="I1117">
        <v>1</v>
      </c>
      <c r="J1117" s="156">
        <v>1</v>
      </c>
      <c r="K1117">
        <v>1</v>
      </c>
      <c r="L1117">
        <v>1</v>
      </c>
      <c r="M1117">
        <v>1</v>
      </c>
      <c r="N1117">
        <v>1.067321</v>
      </c>
    </row>
    <row r="1118" spans="1:14" x14ac:dyDescent="0.35">
      <c r="A1118" s="156" t="s">
        <v>542</v>
      </c>
      <c r="B1118" s="52">
        <v>44256</v>
      </c>
      <c r="C1118" s="156" t="s">
        <v>531</v>
      </c>
      <c r="D1118" s="156" t="s">
        <v>531</v>
      </c>
      <c r="E1118">
        <v>514044</v>
      </c>
      <c r="F1118">
        <v>421844.17</v>
      </c>
      <c r="G1118">
        <v>820.54970000000003</v>
      </c>
      <c r="H1118">
        <v>1.0334620000000001</v>
      </c>
      <c r="I1118">
        <v>1</v>
      </c>
      <c r="J1118" s="156">
        <v>1</v>
      </c>
      <c r="K1118">
        <v>1</v>
      </c>
      <c r="L1118">
        <v>1</v>
      </c>
      <c r="M1118">
        <v>1</v>
      </c>
      <c r="N1118">
        <v>1.0334620000000001</v>
      </c>
    </row>
    <row r="1119" spans="1:14" x14ac:dyDescent="0.35">
      <c r="A1119" s="156" t="s">
        <v>542</v>
      </c>
      <c r="B1119" s="52">
        <v>44257</v>
      </c>
      <c r="C1119" s="156" t="s">
        <v>531</v>
      </c>
      <c r="D1119" s="156" t="s">
        <v>531</v>
      </c>
      <c r="E1119">
        <v>462970</v>
      </c>
      <c r="F1119">
        <v>376184.37410000002</v>
      </c>
      <c r="G1119">
        <v>813.44929999999999</v>
      </c>
      <c r="H1119">
        <v>0.95863500000000001</v>
      </c>
      <c r="I1119">
        <v>1</v>
      </c>
      <c r="J1119" s="156">
        <v>1</v>
      </c>
      <c r="K1119">
        <v>1</v>
      </c>
      <c r="L1119">
        <v>1</v>
      </c>
      <c r="M1119">
        <v>1</v>
      </c>
      <c r="N1119">
        <v>0.95863500000000001</v>
      </c>
    </row>
    <row r="1120" spans="1:14" x14ac:dyDescent="0.35">
      <c r="A1120" s="156" t="s">
        <v>542</v>
      </c>
      <c r="B1120" s="52">
        <v>44258</v>
      </c>
      <c r="C1120" s="156" t="s">
        <v>531</v>
      </c>
      <c r="D1120" s="156" t="s">
        <v>531</v>
      </c>
      <c r="E1120">
        <v>1866788</v>
      </c>
      <c r="F1120">
        <v>1350291.5629</v>
      </c>
      <c r="G1120">
        <v>723.55690000000004</v>
      </c>
      <c r="H1120">
        <v>0.87219099999999994</v>
      </c>
      <c r="I1120">
        <v>1</v>
      </c>
      <c r="J1120" s="156">
        <v>1</v>
      </c>
      <c r="K1120">
        <v>1</v>
      </c>
      <c r="L1120">
        <v>1</v>
      </c>
      <c r="M1120">
        <v>1</v>
      </c>
      <c r="N1120">
        <v>0.87219099999999994</v>
      </c>
    </row>
    <row r="1121" spans="1:14" x14ac:dyDescent="0.35">
      <c r="A1121" s="156" t="s">
        <v>542</v>
      </c>
      <c r="B1121" s="52">
        <v>44259</v>
      </c>
      <c r="C1121" s="156" t="s">
        <v>531</v>
      </c>
      <c r="D1121" s="156" t="s">
        <v>531</v>
      </c>
      <c r="E1121">
        <v>2132731</v>
      </c>
      <c r="F1121">
        <v>1381187.7685</v>
      </c>
      <c r="G1121">
        <v>647.83960000000002</v>
      </c>
      <c r="H1121">
        <v>0.91986299999999999</v>
      </c>
      <c r="I1121">
        <v>1</v>
      </c>
      <c r="J1121" s="156">
        <v>1</v>
      </c>
      <c r="K1121">
        <v>1</v>
      </c>
      <c r="L1121">
        <v>1</v>
      </c>
      <c r="M1121">
        <v>1</v>
      </c>
      <c r="N1121">
        <v>0.91986299999999999</v>
      </c>
    </row>
    <row r="1122" spans="1:14" x14ac:dyDescent="0.35">
      <c r="A1122" s="156" t="s">
        <v>542</v>
      </c>
      <c r="B1122" s="52">
        <v>44260</v>
      </c>
      <c r="C1122" s="156" t="s">
        <v>531</v>
      </c>
      <c r="D1122" s="156" t="s">
        <v>531</v>
      </c>
      <c r="E1122">
        <v>3028238</v>
      </c>
      <c r="F1122">
        <v>1873562.9549</v>
      </c>
      <c r="G1122">
        <v>619.55039999999997</v>
      </c>
      <c r="H1122">
        <v>1.0218849999999999</v>
      </c>
      <c r="I1122">
        <v>1</v>
      </c>
      <c r="J1122" s="156">
        <v>1</v>
      </c>
      <c r="K1122">
        <v>1</v>
      </c>
      <c r="L1122">
        <v>1</v>
      </c>
      <c r="M1122">
        <v>1</v>
      </c>
      <c r="N1122">
        <v>1.0218849999999999</v>
      </c>
    </row>
    <row r="1123" spans="1:14" x14ac:dyDescent="0.35">
      <c r="A1123" s="156" t="s">
        <v>542</v>
      </c>
      <c r="B1123" s="52">
        <v>44263</v>
      </c>
      <c r="C1123" s="156" t="s">
        <v>531</v>
      </c>
      <c r="D1123" s="156" t="s">
        <v>531</v>
      </c>
      <c r="E1123">
        <v>2463584</v>
      </c>
      <c r="F1123">
        <v>1708369.5356000001</v>
      </c>
      <c r="G1123">
        <v>693.57680000000005</v>
      </c>
      <c r="H1123">
        <v>1.037865</v>
      </c>
      <c r="I1123">
        <v>1</v>
      </c>
      <c r="J1123" s="156">
        <v>1</v>
      </c>
      <c r="K1123">
        <v>1</v>
      </c>
      <c r="L1123">
        <v>1</v>
      </c>
      <c r="M1123">
        <v>1</v>
      </c>
      <c r="N1123">
        <v>1.037865</v>
      </c>
    </row>
    <row r="1124" spans="1:14" x14ac:dyDescent="0.35">
      <c r="A1124" s="156" t="s">
        <v>542</v>
      </c>
      <c r="B1124" s="52">
        <v>44264</v>
      </c>
      <c r="C1124" s="156" t="s">
        <v>531</v>
      </c>
      <c r="D1124" s="156" t="s">
        <v>531</v>
      </c>
      <c r="E1124">
        <v>1376770</v>
      </c>
      <c r="F1124">
        <v>978631.63939999999</v>
      </c>
      <c r="G1124">
        <v>710.10149999999999</v>
      </c>
      <c r="H1124">
        <v>1.0594749999999999</v>
      </c>
      <c r="I1124">
        <v>1</v>
      </c>
      <c r="J1124" s="156">
        <v>1</v>
      </c>
      <c r="K1124">
        <v>1</v>
      </c>
      <c r="L1124">
        <v>1</v>
      </c>
      <c r="M1124">
        <v>1</v>
      </c>
      <c r="N1124">
        <v>1.0594749999999999</v>
      </c>
    </row>
    <row r="1125" spans="1:14" x14ac:dyDescent="0.35">
      <c r="A1125" s="156" t="s">
        <v>542</v>
      </c>
      <c r="B1125" s="52">
        <v>44265</v>
      </c>
      <c r="C1125" s="156" t="s">
        <v>531</v>
      </c>
      <c r="D1125" s="156" t="s">
        <v>531</v>
      </c>
      <c r="E1125">
        <v>775281</v>
      </c>
      <c r="F1125">
        <v>562071.15890000004</v>
      </c>
      <c r="G1125">
        <v>724.84910000000002</v>
      </c>
      <c r="H1125">
        <v>1.0045740000000001</v>
      </c>
      <c r="I1125">
        <v>1</v>
      </c>
      <c r="J1125" s="156">
        <v>1</v>
      </c>
      <c r="K1125">
        <v>1</v>
      </c>
      <c r="L1125">
        <v>1</v>
      </c>
      <c r="M1125">
        <v>1</v>
      </c>
      <c r="N1125">
        <v>1.0045740000000001</v>
      </c>
    </row>
    <row r="1126" spans="1:14" x14ac:dyDescent="0.35">
      <c r="A1126" s="156" t="s">
        <v>542</v>
      </c>
      <c r="B1126" s="52">
        <v>44266</v>
      </c>
      <c r="C1126" s="156" t="s">
        <v>531</v>
      </c>
      <c r="D1126" s="156" t="s">
        <v>531</v>
      </c>
      <c r="E1126">
        <v>674353</v>
      </c>
      <c r="F1126">
        <v>504095.72600000002</v>
      </c>
      <c r="G1126">
        <v>747.67319999999995</v>
      </c>
      <c r="H1126">
        <v>1.046899</v>
      </c>
      <c r="I1126">
        <v>1</v>
      </c>
      <c r="J1126" s="156">
        <v>1</v>
      </c>
      <c r="K1126">
        <v>1</v>
      </c>
      <c r="L1126">
        <v>1</v>
      </c>
      <c r="M1126">
        <v>1</v>
      </c>
      <c r="N1126">
        <v>1.046899</v>
      </c>
    </row>
    <row r="1127" spans="1:14" x14ac:dyDescent="0.35">
      <c r="A1127" s="156" t="s">
        <v>542</v>
      </c>
      <c r="B1127" s="52">
        <v>44267</v>
      </c>
      <c r="C1127" s="156" t="s">
        <v>531</v>
      </c>
      <c r="D1127" s="156" t="s">
        <v>531</v>
      </c>
      <c r="E1127">
        <v>583259</v>
      </c>
      <c r="F1127">
        <v>432889.60029999999</v>
      </c>
      <c r="G1127">
        <v>742.10429999999997</v>
      </c>
      <c r="H1127">
        <v>0.99302000000000001</v>
      </c>
      <c r="I1127">
        <v>1</v>
      </c>
      <c r="J1127" s="156">
        <v>1</v>
      </c>
      <c r="K1127">
        <v>1</v>
      </c>
      <c r="L1127">
        <v>1</v>
      </c>
      <c r="M1127">
        <v>1</v>
      </c>
      <c r="N1127">
        <v>0.99302000000000001</v>
      </c>
    </row>
    <row r="1128" spans="1:14" x14ac:dyDescent="0.35">
      <c r="A1128" s="156" t="s">
        <v>542</v>
      </c>
      <c r="B1128" s="52">
        <v>44270</v>
      </c>
      <c r="C1128" s="156" t="s">
        <v>531</v>
      </c>
      <c r="D1128" s="156" t="s">
        <v>531</v>
      </c>
      <c r="E1128">
        <v>548295</v>
      </c>
      <c r="F1128">
        <v>412546.23009999999</v>
      </c>
      <c r="G1128">
        <v>752.68740000000003</v>
      </c>
      <c r="H1128">
        <v>1.009371</v>
      </c>
      <c r="I1128">
        <v>1</v>
      </c>
      <c r="J1128" s="156">
        <v>1</v>
      </c>
      <c r="K1128">
        <v>1</v>
      </c>
      <c r="L1128">
        <v>1</v>
      </c>
      <c r="M1128">
        <v>1</v>
      </c>
      <c r="N1128">
        <v>1.009371</v>
      </c>
    </row>
    <row r="1129" spans="1:14" x14ac:dyDescent="0.35">
      <c r="A1129" s="156" t="s">
        <v>542</v>
      </c>
      <c r="B1129" s="52">
        <v>44271</v>
      </c>
      <c r="C1129" s="156" t="s">
        <v>531</v>
      </c>
      <c r="D1129" s="156" t="s">
        <v>531</v>
      </c>
      <c r="E1129">
        <v>1121795</v>
      </c>
      <c r="F1129">
        <v>875698.68830000004</v>
      </c>
      <c r="G1129">
        <v>780.99440000000004</v>
      </c>
      <c r="H1129">
        <v>1.014059</v>
      </c>
      <c r="I1129">
        <v>1</v>
      </c>
      <c r="J1129" s="156">
        <v>1</v>
      </c>
      <c r="K1129">
        <v>1</v>
      </c>
      <c r="L1129">
        <v>1</v>
      </c>
      <c r="M1129">
        <v>1</v>
      </c>
      <c r="N1129">
        <v>1.014059</v>
      </c>
    </row>
    <row r="1130" spans="1:14" x14ac:dyDescent="0.35">
      <c r="A1130" s="156" t="s">
        <v>542</v>
      </c>
      <c r="B1130" s="52">
        <v>44272</v>
      </c>
      <c r="C1130" s="156" t="s">
        <v>531</v>
      </c>
      <c r="D1130" s="156" t="s">
        <v>531</v>
      </c>
      <c r="E1130">
        <v>810312</v>
      </c>
      <c r="F1130">
        <v>612147.69519999996</v>
      </c>
      <c r="G1130">
        <v>754.4683</v>
      </c>
      <c r="H1130">
        <v>1.003368</v>
      </c>
      <c r="I1130">
        <v>1</v>
      </c>
      <c r="J1130" s="156">
        <v>1</v>
      </c>
      <c r="K1130">
        <v>1</v>
      </c>
      <c r="L1130">
        <v>1</v>
      </c>
      <c r="M1130">
        <v>1</v>
      </c>
      <c r="N1130">
        <v>1.003368</v>
      </c>
    </row>
    <row r="1131" spans="1:14" x14ac:dyDescent="0.35">
      <c r="A1131" s="156" t="s">
        <v>542</v>
      </c>
      <c r="B1131" s="52">
        <v>44273</v>
      </c>
      <c r="C1131" s="156" t="s">
        <v>531</v>
      </c>
      <c r="D1131" s="156" t="s">
        <v>531</v>
      </c>
      <c r="E1131">
        <v>965406</v>
      </c>
      <c r="F1131">
        <v>692085.57550000004</v>
      </c>
      <c r="G1131">
        <v>716.0607</v>
      </c>
      <c r="H1131">
        <v>0.90744099999999994</v>
      </c>
      <c r="I1131">
        <v>1</v>
      </c>
      <c r="J1131" s="156">
        <v>1</v>
      </c>
      <c r="K1131">
        <v>1</v>
      </c>
      <c r="L1131">
        <v>1</v>
      </c>
      <c r="M1131">
        <v>1</v>
      </c>
      <c r="N1131">
        <v>0.90744099999999994</v>
      </c>
    </row>
    <row r="1132" spans="1:14" x14ac:dyDescent="0.35">
      <c r="A1132" s="156" t="s">
        <v>542</v>
      </c>
      <c r="B1132" s="52">
        <v>44274</v>
      </c>
      <c r="C1132" s="156" t="s">
        <v>531</v>
      </c>
      <c r="D1132" s="156" t="s">
        <v>531</v>
      </c>
      <c r="E1132">
        <v>799265</v>
      </c>
      <c r="F1132">
        <v>579974.84069999994</v>
      </c>
      <c r="G1132">
        <v>725.95820000000003</v>
      </c>
      <c r="H1132">
        <v>1.047293</v>
      </c>
      <c r="I1132">
        <v>1</v>
      </c>
      <c r="J1132" s="156">
        <v>1</v>
      </c>
      <c r="K1132">
        <v>1</v>
      </c>
      <c r="L1132">
        <v>1</v>
      </c>
      <c r="M1132">
        <v>1</v>
      </c>
      <c r="N1132">
        <v>1.047293</v>
      </c>
    </row>
    <row r="1133" spans="1:14" x14ac:dyDescent="0.35">
      <c r="A1133" s="156" t="s">
        <v>542</v>
      </c>
      <c r="B1133" s="52">
        <v>44277</v>
      </c>
      <c r="C1133" s="156" t="s">
        <v>531</v>
      </c>
      <c r="D1133" s="156" t="s">
        <v>531</v>
      </c>
      <c r="E1133">
        <v>563457</v>
      </c>
      <c r="F1133">
        <v>417619.00709999999</v>
      </c>
      <c r="G1133">
        <v>740.87670000000003</v>
      </c>
      <c r="H1133">
        <v>1.0104200000000001</v>
      </c>
      <c r="I1133">
        <v>1</v>
      </c>
      <c r="J1133" s="156">
        <v>1</v>
      </c>
      <c r="K1133">
        <v>1</v>
      </c>
      <c r="L1133">
        <v>1</v>
      </c>
      <c r="M1133">
        <v>1</v>
      </c>
      <c r="N1133">
        <v>1.0104200000000001</v>
      </c>
    </row>
    <row r="1134" spans="1:14" x14ac:dyDescent="0.35">
      <c r="A1134" s="156" t="s">
        <v>542</v>
      </c>
      <c r="B1134" s="52">
        <v>44278</v>
      </c>
      <c r="C1134" s="156" t="s">
        <v>531</v>
      </c>
      <c r="D1134" s="156" t="s">
        <v>531</v>
      </c>
      <c r="E1134">
        <v>474555</v>
      </c>
      <c r="F1134">
        <v>347772.94910000003</v>
      </c>
      <c r="G1134">
        <v>732.37819999999999</v>
      </c>
      <c r="H1134">
        <v>0.97767400000000004</v>
      </c>
      <c r="I1134">
        <v>1</v>
      </c>
      <c r="J1134" s="156">
        <v>1</v>
      </c>
      <c r="K1134">
        <v>1</v>
      </c>
      <c r="L1134">
        <v>1</v>
      </c>
      <c r="M1134">
        <v>1</v>
      </c>
      <c r="N1134">
        <v>0.97767400000000004</v>
      </c>
    </row>
    <row r="1135" spans="1:14" x14ac:dyDescent="0.35">
      <c r="A1135" s="156" t="s">
        <v>542</v>
      </c>
      <c r="B1135" s="52">
        <v>44279</v>
      </c>
      <c r="C1135" s="156" t="s">
        <v>531</v>
      </c>
      <c r="D1135" s="156" t="s">
        <v>531</v>
      </c>
      <c r="E1135">
        <v>832201</v>
      </c>
      <c r="F1135">
        <v>568687.60309999995</v>
      </c>
      <c r="G1135">
        <v>683.97400000000005</v>
      </c>
      <c r="H1135">
        <v>0.92233999999999994</v>
      </c>
      <c r="I1135">
        <v>1</v>
      </c>
      <c r="J1135" s="156">
        <v>1</v>
      </c>
      <c r="K1135">
        <v>1</v>
      </c>
      <c r="L1135">
        <v>1</v>
      </c>
      <c r="M1135">
        <v>1</v>
      </c>
      <c r="N1135">
        <v>0.92233999999999994</v>
      </c>
    </row>
    <row r="1136" spans="1:14" x14ac:dyDescent="0.35">
      <c r="A1136" s="156" t="s">
        <v>542</v>
      </c>
      <c r="B1136" s="52">
        <v>44280</v>
      </c>
      <c r="C1136" s="156" t="s">
        <v>531</v>
      </c>
      <c r="D1136" s="156" t="s">
        <v>531</v>
      </c>
      <c r="E1136">
        <v>1267626</v>
      </c>
      <c r="F1136">
        <v>821370.59719999996</v>
      </c>
      <c r="G1136">
        <v>648.35260000000005</v>
      </c>
      <c r="H1136">
        <v>0.97802599999999995</v>
      </c>
      <c r="I1136">
        <v>1</v>
      </c>
      <c r="J1136" s="156">
        <v>1</v>
      </c>
      <c r="K1136">
        <v>1</v>
      </c>
      <c r="L1136">
        <v>1</v>
      </c>
      <c r="M1136">
        <v>1</v>
      </c>
      <c r="N1136">
        <v>0.97802599999999995</v>
      </c>
    </row>
    <row r="1137" spans="1:14" x14ac:dyDescent="0.35">
      <c r="A1137" s="156" t="s">
        <v>542</v>
      </c>
      <c r="B1137" s="52">
        <v>44281</v>
      </c>
      <c r="C1137" s="156" t="s">
        <v>531</v>
      </c>
      <c r="D1137" s="156" t="s">
        <v>531</v>
      </c>
      <c r="E1137">
        <v>677159</v>
      </c>
      <c r="F1137">
        <v>443291.0687</v>
      </c>
      <c r="G1137">
        <v>662.23659999999995</v>
      </c>
      <c r="H1137">
        <v>1.0272889999999999</v>
      </c>
      <c r="I1137">
        <v>1</v>
      </c>
      <c r="J1137" s="156">
        <v>1</v>
      </c>
      <c r="K1137">
        <v>1</v>
      </c>
      <c r="L1137">
        <v>1</v>
      </c>
      <c r="M1137">
        <v>1</v>
      </c>
      <c r="N1137">
        <v>1.0272889999999999</v>
      </c>
    </row>
    <row r="1138" spans="1:14" x14ac:dyDescent="0.35">
      <c r="A1138" s="156" t="s">
        <v>542</v>
      </c>
      <c r="B1138" s="52">
        <v>44284</v>
      </c>
      <c r="C1138" s="156" t="s">
        <v>531</v>
      </c>
      <c r="D1138" s="156" t="s">
        <v>531</v>
      </c>
      <c r="E1138">
        <v>1000349</v>
      </c>
      <c r="F1138">
        <v>624123.94539999997</v>
      </c>
      <c r="G1138">
        <v>627.21439999999996</v>
      </c>
      <c r="H1138">
        <v>0.91264999999999996</v>
      </c>
      <c r="I1138">
        <v>1</v>
      </c>
      <c r="J1138" s="156">
        <v>1</v>
      </c>
      <c r="K1138">
        <v>1</v>
      </c>
      <c r="L1138">
        <v>1</v>
      </c>
      <c r="M1138">
        <v>1</v>
      </c>
      <c r="N1138">
        <v>0.91264999999999996</v>
      </c>
    </row>
    <row r="1139" spans="1:14" x14ac:dyDescent="0.35">
      <c r="A1139" s="156" t="s">
        <v>542</v>
      </c>
      <c r="B1139" s="52">
        <v>44285</v>
      </c>
      <c r="C1139" s="156" t="s">
        <v>531</v>
      </c>
      <c r="D1139" s="156" t="s">
        <v>531</v>
      </c>
      <c r="E1139">
        <v>882353</v>
      </c>
      <c r="F1139">
        <v>540156.60049999994</v>
      </c>
      <c r="G1139">
        <v>614.06309999999996</v>
      </c>
      <c r="H1139">
        <v>1.021711</v>
      </c>
      <c r="I1139">
        <v>1</v>
      </c>
      <c r="J1139" s="156">
        <v>1</v>
      </c>
      <c r="K1139">
        <v>1</v>
      </c>
      <c r="L1139">
        <v>1</v>
      </c>
      <c r="M1139">
        <v>1</v>
      </c>
      <c r="N1139">
        <v>1.021711</v>
      </c>
    </row>
    <row r="1140" spans="1:14" x14ac:dyDescent="0.35">
      <c r="A1140" s="156" t="s">
        <v>542</v>
      </c>
      <c r="B1140" s="52">
        <v>44286</v>
      </c>
      <c r="C1140" s="156" t="s">
        <v>531</v>
      </c>
      <c r="D1140" s="156" t="s">
        <v>531</v>
      </c>
      <c r="E1140">
        <v>727258</v>
      </c>
      <c r="F1140">
        <v>475902.97139999998</v>
      </c>
      <c r="G1140">
        <v>654.79920000000004</v>
      </c>
      <c r="H1140">
        <v>1.0411900000000001</v>
      </c>
      <c r="I1140">
        <v>1</v>
      </c>
      <c r="J1140" s="156">
        <v>1</v>
      </c>
      <c r="K1140">
        <v>1</v>
      </c>
      <c r="L1140">
        <v>1</v>
      </c>
      <c r="M1140">
        <v>1</v>
      </c>
      <c r="N1140">
        <v>1.0411900000000001</v>
      </c>
    </row>
    <row r="1141" spans="1:14" x14ac:dyDescent="0.35">
      <c r="A1141" s="156" t="s">
        <v>542</v>
      </c>
      <c r="B1141" s="52">
        <v>44287</v>
      </c>
      <c r="C1141" s="156" t="s">
        <v>531</v>
      </c>
      <c r="D1141" s="156" t="s">
        <v>531</v>
      </c>
      <c r="E1141">
        <v>564320</v>
      </c>
      <c r="F1141">
        <v>372834.27250000002</v>
      </c>
      <c r="G1141">
        <v>666.35720000000003</v>
      </c>
      <c r="H1141">
        <v>1.011018</v>
      </c>
      <c r="I1141">
        <v>1</v>
      </c>
      <c r="J1141" s="156">
        <v>1</v>
      </c>
      <c r="K1141">
        <v>1</v>
      </c>
      <c r="L1141">
        <v>1</v>
      </c>
      <c r="M1141">
        <v>1</v>
      </c>
      <c r="N1141">
        <v>1.011018</v>
      </c>
    </row>
    <row r="1142" spans="1:14" x14ac:dyDescent="0.35">
      <c r="A1142" s="156" t="s">
        <v>542</v>
      </c>
      <c r="B1142" s="52">
        <v>44291</v>
      </c>
      <c r="C1142" s="156" t="s">
        <v>531</v>
      </c>
      <c r="D1142" s="156" t="s">
        <v>531</v>
      </c>
      <c r="E1142">
        <v>415995</v>
      </c>
      <c r="F1142">
        <v>263230.2904</v>
      </c>
      <c r="G1142">
        <v>654.10040000000004</v>
      </c>
      <c r="H1142">
        <v>0.99140899999999998</v>
      </c>
      <c r="I1142">
        <v>1</v>
      </c>
      <c r="J1142" s="156">
        <v>1</v>
      </c>
      <c r="K1142">
        <v>1</v>
      </c>
      <c r="L1142">
        <v>1</v>
      </c>
      <c r="M1142">
        <v>1</v>
      </c>
      <c r="N1142">
        <v>0.99140899999999998</v>
      </c>
    </row>
    <row r="1143" spans="1:14" x14ac:dyDescent="0.35">
      <c r="A1143" s="156" t="s">
        <v>542</v>
      </c>
      <c r="B1143" s="52">
        <v>44292</v>
      </c>
      <c r="C1143" s="156" t="s">
        <v>531</v>
      </c>
      <c r="D1143" s="156" t="s">
        <v>531</v>
      </c>
      <c r="E1143">
        <v>699593</v>
      </c>
      <c r="F1143">
        <v>463120.46769999998</v>
      </c>
      <c r="G1143">
        <v>671.60490000000004</v>
      </c>
      <c r="H1143">
        <v>1.0251840000000001</v>
      </c>
      <c r="I1143">
        <v>1</v>
      </c>
      <c r="J1143" s="156">
        <v>1</v>
      </c>
      <c r="K1143">
        <v>1</v>
      </c>
      <c r="L1143">
        <v>1</v>
      </c>
      <c r="M1143">
        <v>1</v>
      </c>
      <c r="N1143">
        <v>1.0251840000000001</v>
      </c>
    </row>
    <row r="1144" spans="1:14" x14ac:dyDescent="0.35">
      <c r="A1144" s="156" t="s">
        <v>542</v>
      </c>
      <c r="B1144" s="52">
        <v>44293</v>
      </c>
      <c r="C1144" s="156" t="s">
        <v>531</v>
      </c>
      <c r="D1144" s="156" t="s">
        <v>531</v>
      </c>
      <c r="E1144">
        <v>472036</v>
      </c>
      <c r="F1144">
        <v>311631.71710000001</v>
      </c>
      <c r="G1144">
        <v>676.07629999999995</v>
      </c>
      <c r="H1144">
        <v>1.012305</v>
      </c>
      <c r="I1144">
        <v>1</v>
      </c>
      <c r="J1144" s="156">
        <v>1</v>
      </c>
      <c r="K1144">
        <v>1</v>
      </c>
      <c r="L1144">
        <v>1</v>
      </c>
      <c r="M1144">
        <v>1</v>
      </c>
      <c r="N1144">
        <v>1.012305</v>
      </c>
    </row>
    <row r="1145" spans="1:14" x14ac:dyDescent="0.35">
      <c r="A1145" s="156" t="s">
        <v>542</v>
      </c>
      <c r="B1145" s="52">
        <v>44294</v>
      </c>
      <c r="C1145" s="156" t="s">
        <v>531</v>
      </c>
      <c r="D1145" s="156" t="s">
        <v>531</v>
      </c>
      <c r="E1145">
        <v>678204</v>
      </c>
      <c r="F1145">
        <v>463503.20329999999</v>
      </c>
      <c r="G1145">
        <v>689.0625</v>
      </c>
      <c r="H1145">
        <v>1.0184839999999999</v>
      </c>
      <c r="I1145">
        <v>1</v>
      </c>
      <c r="J1145" s="156">
        <v>1</v>
      </c>
      <c r="K1145">
        <v>1</v>
      </c>
      <c r="L1145">
        <v>1</v>
      </c>
      <c r="M1145">
        <v>1</v>
      </c>
      <c r="N1145">
        <v>1.0184839999999999</v>
      </c>
    </row>
    <row r="1146" spans="1:14" x14ac:dyDescent="0.35">
      <c r="A1146" s="156" t="s">
        <v>542</v>
      </c>
      <c r="B1146" s="52">
        <v>44295</v>
      </c>
      <c r="C1146" s="156" t="s">
        <v>531</v>
      </c>
      <c r="D1146" s="156" t="s">
        <v>531</v>
      </c>
      <c r="E1146">
        <v>583836</v>
      </c>
      <c r="F1146">
        <v>392435.08399999997</v>
      </c>
      <c r="G1146">
        <v>689.14459999999997</v>
      </c>
      <c r="H1146">
        <v>1.0031289999999999</v>
      </c>
      <c r="I1146">
        <v>1</v>
      </c>
      <c r="J1146" s="156">
        <v>1</v>
      </c>
      <c r="K1146">
        <v>1</v>
      </c>
      <c r="L1146">
        <v>1</v>
      </c>
      <c r="M1146">
        <v>1</v>
      </c>
      <c r="N1146">
        <v>1.0031289999999999</v>
      </c>
    </row>
    <row r="1147" spans="1:14" x14ac:dyDescent="0.35">
      <c r="A1147" s="156" t="s">
        <v>542</v>
      </c>
      <c r="B1147" s="52">
        <v>44298</v>
      </c>
      <c r="C1147" s="156" t="s">
        <v>531</v>
      </c>
      <c r="D1147" s="156" t="s">
        <v>531</v>
      </c>
      <c r="E1147">
        <v>607614</v>
      </c>
      <c r="F1147">
        <v>424578.62410000002</v>
      </c>
      <c r="G1147">
        <v>701.6413</v>
      </c>
      <c r="H1147">
        <v>1.019204</v>
      </c>
      <c r="I1147">
        <v>1</v>
      </c>
      <c r="J1147" s="156">
        <v>1</v>
      </c>
      <c r="K1147">
        <v>1</v>
      </c>
      <c r="L1147">
        <v>1</v>
      </c>
      <c r="M1147">
        <v>1</v>
      </c>
      <c r="N1147">
        <v>1.019204</v>
      </c>
    </row>
    <row r="1148" spans="1:14" x14ac:dyDescent="0.35">
      <c r="A1148" s="156" t="s">
        <v>542</v>
      </c>
      <c r="B1148" s="52">
        <v>44299</v>
      </c>
      <c r="C1148" s="156" t="s">
        <v>531</v>
      </c>
      <c r="D1148" s="156" t="s">
        <v>531</v>
      </c>
      <c r="E1148">
        <v>607895</v>
      </c>
      <c r="F1148">
        <v>436771.87439999997</v>
      </c>
      <c r="G1148">
        <v>722.56740000000002</v>
      </c>
      <c r="H1148">
        <v>1.02424</v>
      </c>
      <c r="I1148">
        <v>1</v>
      </c>
      <c r="J1148" s="156">
        <v>1</v>
      </c>
      <c r="K1148">
        <v>1</v>
      </c>
      <c r="L1148">
        <v>1</v>
      </c>
      <c r="M1148">
        <v>1</v>
      </c>
      <c r="N1148">
        <v>1.02424</v>
      </c>
    </row>
    <row r="1149" spans="1:14" x14ac:dyDescent="0.35">
      <c r="A1149" s="156" t="s">
        <v>542</v>
      </c>
      <c r="B1149" s="52">
        <v>44300</v>
      </c>
      <c r="C1149" s="156" t="s">
        <v>531</v>
      </c>
      <c r="D1149" s="156" t="s">
        <v>531</v>
      </c>
      <c r="E1149">
        <v>766210</v>
      </c>
      <c r="F1149">
        <v>541373.27800000005</v>
      </c>
      <c r="G1149">
        <v>717.43169999999998</v>
      </c>
      <c r="H1149">
        <v>0.99049799999999999</v>
      </c>
      <c r="I1149">
        <v>1</v>
      </c>
      <c r="J1149" s="156">
        <v>1</v>
      </c>
      <c r="K1149">
        <v>1</v>
      </c>
      <c r="L1149">
        <v>1</v>
      </c>
      <c r="M1149">
        <v>1</v>
      </c>
      <c r="N1149">
        <v>0.99049799999999999</v>
      </c>
    </row>
    <row r="1150" spans="1:14" x14ac:dyDescent="0.35">
      <c r="A1150" s="156" t="s">
        <v>542</v>
      </c>
      <c r="B1150" s="52">
        <v>44301</v>
      </c>
      <c r="C1150" s="156" t="s">
        <v>531</v>
      </c>
      <c r="D1150" s="156" t="s">
        <v>531</v>
      </c>
      <c r="E1150">
        <v>600176</v>
      </c>
      <c r="F1150">
        <v>431678.66340000002</v>
      </c>
      <c r="G1150">
        <v>733.84609999999998</v>
      </c>
      <c r="H1150">
        <v>1.0263930000000001</v>
      </c>
      <c r="I1150">
        <v>1</v>
      </c>
      <c r="J1150" s="156">
        <v>1</v>
      </c>
      <c r="K1150">
        <v>1</v>
      </c>
      <c r="L1150">
        <v>1</v>
      </c>
      <c r="M1150">
        <v>1</v>
      </c>
      <c r="N1150">
        <v>1.0263930000000001</v>
      </c>
    </row>
    <row r="1151" spans="1:14" x14ac:dyDescent="0.35">
      <c r="A1151" s="156" t="s">
        <v>542</v>
      </c>
      <c r="B1151" s="52">
        <v>44302</v>
      </c>
      <c r="C1151" s="156" t="s">
        <v>531</v>
      </c>
      <c r="D1151" s="156" t="s">
        <v>531</v>
      </c>
      <c r="E1151">
        <v>499563</v>
      </c>
      <c r="F1151">
        <v>359420.62560000003</v>
      </c>
      <c r="G1151">
        <v>721.53880000000004</v>
      </c>
      <c r="H1151">
        <v>0.97804100000000005</v>
      </c>
      <c r="I1151">
        <v>1</v>
      </c>
      <c r="J1151" s="156">
        <v>1</v>
      </c>
      <c r="K1151">
        <v>1</v>
      </c>
      <c r="L1151">
        <v>1</v>
      </c>
      <c r="M1151">
        <v>1</v>
      </c>
      <c r="N1151">
        <v>0.97804100000000005</v>
      </c>
    </row>
    <row r="1152" spans="1:14" x14ac:dyDescent="0.35">
      <c r="A1152" s="156" t="s">
        <v>542</v>
      </c>
      <c r="B1152" s="52">
        <v>44305</v>
      </c>
      <c r="C1152" s="156" t="s">
        <v>531</v>
      </c>
      <c r="D1152" s="156" t="s">
        <v>531</v>
      </c>
      <c r="E1152">
        <v>595311</v>
      </c>
      <c r="F1152">
        <v>406878.23920000001</v>
      </c>
      <c r="G1152">
        <v>697.1626</v>
      </c>
      <c r="H1152">
        <v>0.967476</v>
      </c>
      <c r="I1152">
        <v>1</v>
      </c>
      <c r="J1152" s="156">
        <v>1</v>
      </c>
      <c r="K1152">
        <v>1</v>
      </c>
      <c r="L1152">
        <v>1</v>
      </c>
      <c r="M1152">
        <v>1</v>
      </c>
      <c r="N1152">
        <v>0.967476</v>
      </c>
    </row>
    <row r="1153" spans="1:14" x14ac:dyDescent="0.35">
      <c r="A1153" s="156" t="s">
        <v>542</v>
      </c>
      <c r="B1153" s="52">
        <v>44306</v>
      </c>
      <c r="C1153" s="156" t="s">
        <v>531</v>
      </c>
      <c r="D1153" s="156" t="s">
        <v>531</v>
      </c>
      <c r="E1153">
        <v>471128</v>
      </c>
      <c r="F1153">
        <v>319727.2953</v>
      </c>
      <c r="G1153">
        <v>682.91200000000003</v>
      </c>
      <c r="H1153">
        <v>0.98646999999999996</v>
      </c>
      <c r="I1153">
        <v>1</v>
      </c>
      <c r="J1153" s="156">
        <v>1</v>
      </c>
      <c r="K1153">
        <v>1</v>
      </c>
      <c r="L1153">
        <v>1</v>
      </c>
      <c r="M1153">
        <v>1</v>
      </c>
      <c r="N1153">
        <v>0.98646999999999996</v>
      </c>
    </row>
    <row r="1154" spans="1:14" x14ac:dyDescent="0.35">
      <c r="A1154" s="156" t="s">
        <v>542</v>
      </c>
      <c r="B1154" s="52">
        <v>44307</v>
      </c>
      <c r="C1154" s="156" t="s">
        <v>531</v>
      </c>
      <c r="D1154" s="156" t="s">
        <v>531</v>
      </c>
      <c r="E1154">
        <v>413470</v>
      </c>
      <c r="F1154">
        <v>285506.84269999998</v>
      </c>
      <c r="G1154">
        <v>699.04449999999997</v>
      </c>
      <c r="H1154">
        <v>1.0309010000000001</v>
      </c>
      <c r="I1154">
        <v>1</v>
      </c>
      <c r="J1154" s="156">
        <v>1</v>
      </c>
      <c r="K1154">
        <v>1</v>
      </c>
      <c r="L1154">
        <v>1</v>
      </c>
      <c r="M1154">
        <v>1</v>
      </c>
      <c r="N1154">
        <v>1.0309010000000001</v>
      </c>
    </row>
    <row r="1155" spans="1:14" x14ac:dyDescent="0.35">
      <c r="A1155" s="156" t="s">
        <v>542</v>
      </c>
      <c r="B1155" s="52">
        <v>44308</v>
      </c>
      <c r="C1155" s="156" t="s">
        <v>531</v>
      </c>
      <c r="D1155" s="156" t="s">
        <v>531</v>
      </c>
      <c r="E1155">
        <v>698747</v>
      </c>
      <c r="F1155">
        <v>483747.83970000001</v>
      </c>
      <c r="G1155">
        <v>707.62649999999996</v>
      </c>
      <c r="H1155">
        <v>0.99004599999999998</v>
      </c>
      <c r="I1155">
        <v>1</v>
      </c>
      <c r="J1155" s="156">
        <v>1</v>
      </c>
      <c r="K1155">
        <v>1</v>
      </c>
      <c r="L1155">
        <v>1</v>
      </c>
      <c r="M1155">
        <v>1</v>
      </c>
      <c r="N1155">
        <v>0.99004599999999998</v>
      </c>
    </row>
    <row r="1156" spans="1:14" x14ac:dyDescent="0.35">
      <c r="A1156" s="156" t="s">
        <v>542</v>
      </c>
      <c r="B1156" s="52">
        <v>44309</v>
      </c>
      <c r="C1156" s="156" t="s">
        <v>531</v>
      </c>
      <c r="D1156" s="156" t="s">
        <v>531</v>
      </c>
      <c r="E1156">
        <v>445677</v>
      </c>
      <c r="F1156">
        <v>319459.6164</v>
      </c>
      <c r="G1156">
        <v>720.9</v>
      </c>
      <c r="H1156">
        <v>1.0375019999999999</v>
      </c>
      <c r="I1156">
        <v>1</v>
      </c>
      <c r="J1156" s="156">
        <v>1</v>
      </c>
      <c r="K1156">
        <v>1</v>
      </c>
      <c r="L1156">
        <v>1</v>
      </c>
      <c r="M1156">
        <v>1</v>
      </c>
      <c r="N1156">
        <v>1.0375019999999999</v>
      </c>
    </row>
    <row r="1157" spans="1:14" x14ac:dyDescent="0.35">
      <c r="A1157" s="156" t="s">
        <v>542</v>
      </c>
      <c r="B1157" s="52">
        <v>44312</v>
      </c>
      <c r="C1157" s="156" t="s">
        <v>531</v>
      </c>
      <c r="D1157" s="156" t="s">
        <v>531</v>
      </c>
      <c r="E1157">
        <v>431542</v>
      </c>
      <c r="F1157">
        <v>319067.62670000002</v>
      </c>
      <c r="G1157">
        <v>741.85519999999997</v>
      </c>
      <c r="H1157">
        <v>1.0291129999999999</v>
      </c>
      <c r="I1157">
        <v>1</v>
      </c>
      <c r="J1157" s="156">
        <v>1</v>
      </c>
      <c r="K1157">
        <v>1</v>
      </c>
      <c r="L1157">
        <v>1</v>
      </c>
      <c r="M1157">
        <v>1</v>
      </c>
      <c r="N1157">
        <v>1.0291129999999999</v>
      </c>
    </row>
    <row r="1158" spans="1:14" x14ac:dyDescent="0.35">
      <c r="A1158" s="156" t="s">
        <v>542</v>
      </c>
      <c r="B1158" s="52">
        <v>44313</v>
      </c>
      <c r="C1158" s="156" t="s">
        <v>531</v>
      </c>
      <c r="D1158" s="156" t="s">
        <v>531</v>
      </c>
      <c r="E1158">
        <v>537295</v>
      </c>
      <c r="F1158">
        <v>393309.83480000001</v>
      </c>
      <c r="G1158">
        <v>747.90989999999999</v>
      </c>
      <c r="H1158">
        <v>1.0013110000000001</v>
      </c>
      <c r="I1158">
        <v>1</v>
      </c>
      <c r="J1158" s="156">
        <v>1</v>
      </c>
      <c r="K1158">
        <v>1</v>
      </c>
      <c r="L1158">
        <v>1</v>
      </c>
      <c r="M1158">
        <v>1</v>
      </c>
      <c r="N1158">
        <v>1.0013110000000001</v>
      </c>
    </row>
    <row r="1159" spans="1:14" x14ac:dyDescent="0.35">
      <c r="A1159" s="156" t="s">
        <v>542</v>
      </c>
      <c r="B1159" s="52">
        <v>44314</v>
      </c>
      <c r="C1159" s="156" t="s">
        <v>531</v>
      </c>
      <c r="D1159" s="156" t="s">
        <v>531</v>
      </c>
      <c r="E1159">
        <v>400258</v>
      </c>
      <c r="F1159">
        <v>297388.80040000001</v>
      </c>
      <c r="G1159">
        <v>747.95249999999999</v>
      </c>
      <c r="H1159">
        <v>0.99699400000000005</v>
      </c>
      <c r="I1159">
        <v>1</v>
      </c>
      <c r="J1159" s="156">
        <v>1</v>
      </c>
      <c r="K1159">
        <v>1</v>
      </c>
      <c r="L1159">
        <v>1</v>
      </c>
      <c r="M1159">
        <v>1</v>
      </c>
      <c r="N1159">
        <v>0.99699400000000005</v>
      </c>
    </row>
    <row r="1160" spans="1:14" x14ac:dyDescent="0.35">
      <c r="A1160" s="156" t="s">
        <v>542</v>
      </c>
      <c r="B1160" s="52">
        <v>44315</v>
      </c>
      <c r="C1160" s="156" t="s">
        <v>531</v>
      </c>
      <c r="D1160" s="156" t="s">
        <v>531</v>
      </c>
      <c r="E1160">
        <v>690698</v>
      </c>
      <c r="F1160">
        <v>516997.93030000001</v>
      </c>
      <c r="G1160">
        <v>750.16319999999996</v>
      </c>
      <c r="H1160">
        <v>1.0034970000000001</v>
      </c>
      <c r="I1160">
        <v>1</v>
      </c>
      <c r="J1160" s="156">
        <v>1</v>
      </c>
      <c r="K1160">
        <v>1</v>
      </c>
      <c r="L1160">
        <v>1</v>
      </c>
      <c r="M1160">
        <v>1</v>
      </c>
      <c r="N1160">
        <v>1.0034970000000001</v>
      </c>
    </row>
    <row r="1161" spans="1:14" x14ac:dyDescent="0.35">
      <c r="A1161" s="156" t="s">
        <v>542</v>
      </c>
      <c r="B1161" s="52">
        <v>44316</v>
      </c>
      <c r="C1161" s="156" t="s">
        <v>531</v>
      </c>
      <c r="D1161" s="156" t="s">
        <v>531</v>
      </c>
      <c r="E1161">
        <v>455621</v>
      </c>
      <c r="F1161">
        <v>336080.94400000002</v>
      </c>
      <c r="G1161">
        <v>738.57579999999996</v>
      </c>
      <c r="H1161">
        <v>0.97373799999999999</v>
      </c>
      <c r="I1161">
        <v>1</v>
      </c>
      <c r="J1161" s="156">
        <v>1</v>
      </c>
      <c r="K1161">
        <v>1</v>
      </c>
      <c r="L1161">
        <v>1</v>
      </c>
      <c r="M1161">
        <v>1</v>
      </c>
      <c r="N1161">
        <v>0.97373799999999999</v>
      </c>
    </row>
    <row r="1162" spans="1:14" x14ac:dyDescent="0.35">
      <c r="A1162" s="156" t="s">
        <v>542</v>
      </c>
      <c r="B1162" s="52">
        <v>44319</v>
      </c>
      <c r="C1162" s="156" t="s">
        <v>531</v>
      </c>
      <c r="D1162" s="156" t="s">
        <v>531</v>
      </c>
      <c r="E1162">
        <v>501916</v>
      </c>
      <c r="F1162">
        <v>353896.65970000002</v>
      </c>
      <c r="G1162">
        <v>706.22109999999998</v>
      </c>
      <c r="H1162">
        <v>0.96194999999999997</v>
      </c>
      <c r="I1162">
        <v>1</v>
      </c>
      <c r="J1162" s="156">
        <v>1</v>
      </c>
      <c r="K1162">
        <v>1</v>
      </c>
      <c r="L1162">
        <v>1</v>
      </c>
      <c r="M1162">
        <v>1</v>
      </c>
      <c r="N1162">
        <v>0.96194999999999997</v>
      </c>
    </row>
    <row r="1163" spans="1:14" x14ac:dyDescent="0.35">
      <c r="A1163" s="156" t="s">
        <v>542</v>
      </c>
      <c r="B1163" s="52">
        <v>44320</v>
      </c>
      <c r="C1163" s="156" t="s">
        <v>531</v>
      </c>
      <c r="D1163" s="156" t="s">
        <v>531</v>
      </c>
      <c r="E1163">
        <v>614364</v>
      </c>
      <c r="F1163">
        <v>405986.5379</v>
      </c>
      <c r="G1163">
        <v>662.65309999999999</v>
      </c>
      <c r="H1163">
        <v>0.95009699999999997</v>
      </c>
      <c r="I1163">
        <v>1</v>
      </c>
      <c r="J1163" s="156">
        <v>1</v>
      </c>
      <c r="K1163">
        <v>1</v>
      </c>
      <c r="L1163">
        <v>1</v>
      </c>
      <c r="M1163">
        <v>1</v>
      </c>
      <c r="N1163">
        <v>0.95009699999999997</v>
      </c>
    </row>
    <row r="1164" spans="1:14" x14ac:dyDescent="0.35">
      <c r="A1164" s="156" t="s">
        <v>542</v>
      </c>
      <c r="B1164" s="52">
        <v>44321</v>
      </c>
      <c r="C1164" s="156" t="s">
        <v>531</v>
      </c>
      <c r="D1164" s="156" t="s">
        <v>531</v>
      </c>
      <c r="E1164">
        <v>531215</v>
      </c>
      <c r="F1164">
        <v>344717.81459999998</v>
      </c>
      <c r="G1164">
        <v>652.6748</v>
      </c>
      <c r="H1164">
        <v>0.95887800000000001</v>
      </c>
      <c r="I1164">
        <v>1</v>
      </c>
      <c r="J1164" s="156">
        <v>1</v>
      </c>
      <c r="K1164">
        <v>1</v>
      </c>
      <c r="L1164">
        <v>1</v>
      </c>
      <c r="M1164">
        <v>1</v>
      </c>
      <c r="N1164">
        <v>0.95887800000000001</v>
      </c>
    </row>
    <row r="1165" spans="1:14" x14ac:dyDescent="0.35">
      <c r="A1165" s="156" t="s">
        <v>542</v>
      </c>
      <c r="B1165" s="52">
        <v>44322</v>
      </c>
      <c r="C1165" s="156" t="s">
        <v>531</v>
      </c>
      <c r="D1165" s="156" t="s">
        <v>531</v>
      </c>
      <c r="E1165">
        <v>1122463</v>
      </c>
      <c r="F1165">
        <v>685079.65650000004</v>
      </c>
      <c r="G1165">
        <v>614.44669999999996</v>
      </c>
      <c r="H1165">
        <v>0.95800600000000002</v>
      </c>
      <c r="I1165">
        <v>1</v>
      </c>
      <c r="J1165" s="156">
        <v>1</v>
      </c>
      <c r="K1165">
        <v>1</v>
      </c>
      <c r="L1165">
        <v>1</v>
      </c>
      <c r="M1165">
        <v>1</v>
      </c>
      <c r="N1165">
        <v>0.95800600000000002</v>
      </c>
    </row>
    <row r="1166" spans="1:14" x14ac:dyDescent="0.35">
      <c r="A1166" s="156" t="s">
        <v>542</v>
      </c>
      <c r="B1166" s="52">
        <v>44323</v>
      </c>
      <c r="C1166" s="156" t="s">
        <v>531</v>
      </c>
      <c r="D1166" s="156" t="s">
        <v>531</v>
      </c>
      <c r="E1166">
        <v>1132676</v>
      </c>
      <c r="F1166">
        <v>739724.49129999999</v>
      </c>
      <c r="G1166">
        <v>655.97550000000001</v>
      </c>
      <c r="H1166">
        <v>1.080238</v>
      </c>
      <c r="I1166">
        <v>1</v>
      </c>
      <c r="J1166" s="156">
        <v>1</v>
      </c>
      <c r="K1166">
        <v>1</v>
      </c>
      <c r="L1166">
        <v>1</v>
      </c>
      <c r="M1166">
        <v>1</v>
      </c>
      <c r="N1166">
        <v>1.080238</v>
      </c>
    </row>
    <row r="1167" spans="1:14" x14ac:dyDescent="0.35">
      <c r="A1167" s="156" t="s">
        <v>542</v>
      </c>
      <c r="B1167" s="52">
        <v>44326</v>
      </c>
      <c r="C1167" s="156" t="s">
        <v>531</v>
      </c>
      <c r="D1167" s="156" t="s">
        <v>531</v>
      </c>
      <c r="E1167">
        <v>8730854</v>
      </c>
      <c r="F1167">
        <v>4496865.4423000002</v>
      </c>
      <c r="G1167">
        <v>516.47850000000005</v>
      </c>
      <c r="H1167">
        <v>0.74021399999999993</v>
      </c>
      <c r="I1167">
        <v>1</v>
      </c>
      <c r="J1167" s="156">
        <v>1</v>
      </c>
      <c r="K1167">
        <v>1</v>
      </c>
      <c r="L1167">
        <v>1</v>
      </c>
      <c r="M1167">
        <v>1</v>
      </c>
      <c r="N1167">
        <v>0.74021399999999993</v>
      </c>
    </row>
    <row r="1168" spans="1:14" x14ac:dyDescent="0.35">
      <c r="A1168" s="156" t="s">
        <v>542</v>
      </c>
      <c r="B1168" s="52">
        <v>44327</v>
      </c>
      <c r="C1168" s="156" t="s">
        <v>531</v>
      </c>
      <c r="D1168" s="156" t="s">
        <v>531</v>
      </c>
      <c r="E1168">
        <v>3680529</v>
      </c>
      <c r="F1168">
        <v>1800466.3884000001</v>
      </c>
      <c r="G1168">
        <v>491.7441</v>
      </c>
      <c r="H1168">
        <v>1.050551</v>
      </c>
      <c r="I1168">
        <v>1</v>
      </c>
      <c r="J1168" s="156">
        <v>1</v>
      </c>
      <c r="K1168">
        <v>1</v>
      </c>
      <c r="L1168">
        <v>1</v>
      </c>
      <c r="M1168">
        <v>1</v>
      </c>
      <c r="N1168">
        <v>1.050551</v>
      </c>
    </row>
    <row r="1169" spans="1:14" x14ac:dyDescent="0.35">
      <c r="A1169" s="156" t="s">
        <v>542</v>
      </c>
      <c r="B1169" s="52">
        <v>44328</v>
      </c>
      <c r="C1169" s="156" t="s">
        <v>531</v>
      </c>
      <c r="D1169" s="156" t="s">
        <v>531</v>
      </c>
      <c r="E1169">
        <v>2136288</v>
      </c>
      <c r="F1169">
        <v>1075440.7579000001</v>
      </c>
      <c r="G1169">
        <v>507.0025</v>
      </c>
      <c r="H1169">
        <v>0.98135499999999998</v>
      </c>
      <c r="I1169">
        <v>1</v>
      </c>
      <c r="J1169" s="156">
        <v>1</v>
      </c>
      <c r="K1169">
        <v>1</v>
      </c>
      <c r="L1169">
        <v>1</v>
      </c>
      <c r="M1169">
        <v>1</v>
      </c>
      <c r="N1169">
        <v>0.98135499999999998</v>
      </c>
    </row>
    <row r="1170" spans="1:14" x14ac:dyDescent="0.35">
      <c r="A1170" s="156" t="s">
        <v>542</v>
      </c>
      <c r="B1170" s="52">
        <v>44329</v>
      </c>
      <c r="C1170" s="156" t="s">
        <v>531</v>
      </c>
      <c r="D1170" s="156" t="s">
        <v>531</v>
      </c>
      <c r="E1170">
        <v>1857678</v>
      </c>
      <c r="F1170">
        <v>918140.02729999996</v>
      </c>
      <c r="G1170">
        <v>498.8021</v>
      </c>
      <c r="H1170">
        <v>0.97769200000000001</v>
      </c>
      <c r="I1170">
        <v>1</v>
      </c>
      <c r="J1170" s="156">
        <v>1</v>
      </c>
      <c r="K1170">
        <v>1</v>
      </c>
      <c r="L1170">
        <v>1</v>
      </c>
      <c r="M1170">
        <v>1</v>
      </c>
      <c r="N1170">
        <v>0.97769200000000001</v>
      </c>
    </row>
    <row r="1171" spans="1:14" x14ac:dyDescent="0.35">
      <c r="A1171" s="156" t="s">
        <v>542</v>
      </c>
      <c r="B1171" s="52">
        <v>44330</v>
      </c>
      <c r="C1171" s="156" t="s">
        <v>531</v>
      </c>
      <c r="D1171" s="156" t="s">
        <v>531</v>
      </c>
      <c r="E1171">
        <v>1396106</v>
      </c>
      <c r="F1171">
        <v>709065.49950000003</v>
      </c>
      <c r="G1171">
        <v>513.90269999999998</v>
      </c>
      <c r="H1171">
        <v>1.0486120000000001</v>
      </c>
      <c r="I1171">
        <v>1</v>
      </c>
      <c r="J1171" s="156">
        <v>1</v>
      </c>
      <c r="K1171">
        <v>1</v>
      </c>
      <c r="L1171">
        <v>1</v>
      </c>
      <c r="M1171">
        <v>1</v>
      </c>
      <c r="N1171">
        <v>1.0486120000000001</v>
      </c>
    </row>
    <row r="1172" spans="1:14" x14ac:dyDescent="0.35">
      <c r="A1172" s="156" t="s">
        <v>542</v>
      </c>
      <c r="B1172" s="52">
        <v>44333</v>
      </c>
      <c r="C1172" s="156" t="s">
        <v>531</v>
      </c>
      <c r="D1172" s="156" t="s">
        <v>531</v>
      </c>
      <c r="E1172">
        <v>1166862</v>
      </c>
      <c r="F1172">
        <v>586084.60499999998</v>
      </c>
      <c r="G1172">
        <v>504.22750000000002</v>
      </c>
      <c r="H1172">
        <v>0.980966</v>
      </c>
      <c r="I1172">
        <v>1</v>
      </c>
      <c r="J1172" s="156">
        <v>1</v>
      </c>
      <c r="K1172">
        <v>1</v>
      </c>
      <c r="L1172">
        <v>1</v>
      </c>
      <c r="M1172">
        <v>1</v>
      </c>
      <c r="N1172">
        <v>0.980966</v>
      </c>
    </row>
    <row r="1173" spans="1:14" x14ac:dyDescent="0.35">
      <c r="A1173" s="156" t="s">
        <v>542</v>
      </c>
      <c r="B1173" s="52">
        <v>44334</v>
      </c>
      <c r="C1173" s="156" t="s">
        <v>531</v>
      </c>
      <c r="D1173" s="156" t="s">
        <v>531</v>
      </c>
      <c r="E1173">
        <v>728019</v>
      </c>
      <c r="F1173">
        <v>371433.1556</v>
      </c>
      <c r="G1173">
        <v>512.46280000000002</v>
      </c>
      <c r="H1173">
        <v>1.0016940000000001</v>
      </c>
      <c r="I1173">
        <v>1</v>
      </c>
      <c r="J1173" s="156">
        <v>1</v>
      </c>
      <c r="K1173">
        <v>1</v>
      </c>
      <c r="L1173">
        <v>1</v>
      </c>
      <c r="M1173">
        <v>1</v>
      </c>
      <c r="N1173">
        <v>1.0016940000000001</v>
      </c>
    </row>
    <row r="1174" spans="1:14" x14ac:dyDescent="0.35">
      <c r="A1174" s="156" t="s">
        <v>542</v>
      </c>
      <c r="B1174" s="52">
        <v>44335</v>
      </c>
      <c r="C1174" s="156" t="s">
        <v>531</v>
      </c>
      <c r="D1174" s="156" t="s">
        <v>531</v>
      </c>
      <c r="E1174">
        <v>864239</v>
      </c>
      <c r="F1174">
        <v>432271.11180000001</v>
      </c>
      <c r="G1174">
        <v>503.14299999999997</v>
      </c>
      <c r="H1174">
        <v>1.00118</v>
      </c>
      <c r="I1174">
        <v>1</v>
      </c>
      <c r="J1174" s="156">
        <v>1</v>
      </c>
      <c r="K1174">
        <v>1</v>
      </c>
      <c r="L1174">
        <v>1</v>
      </c>
      <c r="M1174">
        <v>1</v>
      </c>
      <c r="N1174">
        <v>1.00118</v>
      </c>
    </row>
    <row r="1175" spans="1:14" x14ac:dyDescent="0.35">
      <c r="A1175" s="156" t="s">
        <v>542</v>
      </c>
      <c r="B1175" s="52">
        <v>44336</v>
      </c>
      <c r="C1175" s="156" t="s">
        <v>531</v>
      </c>
      <c r="D1175" s="156" t="s">
        <v>531</v>
      </c>
      <c r="E1175">
        <v>1138813</v>
      </c>
      <c r="F1175">
        <v>602090.36360000004</v>
      </c>
      <c r="G1175">
        <v>538.654</v>
      </c>
      <c r="H1175">
        <v>1.067177</v>
      </c>
      <c r="I1175">
        <v>1</v>
      </c>
      <c r="J1175" s="156">
        <v>1</v>
      </c>
      <c r="K1175">
        <v>1</v>
      </c>
      <c r="L1175">
        <v>1</v>
      </c>
      <c r="M1175">
        <v>1</v>
      </c>
      <c r="N1175">
        <v>1.067177</v>
      </c>
    </row>
    <row r="1176" spans="1:14" x14ac:dyDescent="0.35">
      <c r="A1176" s="156" t="s">
        <v>542</v>
      </c>
      <c r="B1176" s="52">
        <v>44337</v>
      </c>
      <c r="C1176" s="156" t="s">
        <v>531</v>
      </c>
      <c r="D1176" s="156" t="s">
        <v>531</v>
      </c>
      <c r="E1176">
        <v>942484</v>
      </c>
      <c r="F1176">
        <v>508385.45990000002</v>
      </c>
      <c r="G1176">
        <v>541.42039999999997</v>
      </c>
      <c r="H1176">
        <v>0.99341100000000004</v>
      </c>
      <c r="I1176">
        <v>1</v>
      </c>
      <c r="J1176" s="156">
        <v>1</v>
      </c>
      <c r="K1176">
        <v>1</v>
      </c>
      <c r="L1176">
        <v>1</v>
      </c>
      <c r="M1176">
        <v>1</v>
      </c>
      <c r="N1176">
        <v>0.99341100000000004</v>
      </c>
    </row>
    <row r="1177" spans="1:14" x14ac:dyDescent="0.35">
      <c r="A1177" s="156" t="s">
        <v>542</v>
      </c>
      <c r="B1177" s="52">
        <v>44340</v>
      </c>
      <c r="C1177" s="156" t="s">
        <v>531</v>
      </c>
      <c r="D1177" s="156" t="s">
        <v>531</v>
      </c>
      <c r="E1177">
        <v>855035</v>
      </c>
      <c r="F1177">
        <v>471798.09820000001</v>
      </c>
      <c r="G1177">
        <v>554.57339999999999</v>
      </c>
      <c r="H1177">
        <v>1.0293669999999999</v>
      </c>
      <c r="I1177">
        <v>1</v>
      </c>
      <c r="J1177" s="156">
        <v>1</v>
      </c>
      <c r="K1177">
        <v>1</v>
      </c>
      <c r="L1177">
        <v>1</v>
      </c>
      <c r="M1177">
        <v>1</v>
      </c>
      <c r="N1177">
        <v>1.0293669999999999</v>
      </c>
    </row>
    <row r="1178" spans="1:14" x14ac:dyDescent="0.35">
      <c r="A1178" s="156" t="s">
        <v>542</v>
      </c>
      <c r="B1178" s="52">
        <v>44341</v>
      </c>
      <c r="C1178" s="156" t="s">
        <v>531</v>
      </c>
      <c r="D1178" s="156" t="s">
        <v>531</v>
      </c>
      <c r="E1178">
        <v>935789</v>
      </c>
      <c r="F1178">
        <v>522464.01089999999</v>
      </c>
      <c r="G1178">
        <v>560.34529999999995</v>
      </c>
      <c r="H1178">
        <v>1.0102960000000001</v>
      </c>
      <c r="I1178">
        <v>1</v>
      </c>
      <c r="J1178" s="156">
        <v>1</v>
      </c>
      <c r="K1178">
        <v>1</v>
      </c>
      <c r="L1178">
        <v>1</v>
      </c>
      <c r="M1178">
        <v>1</v>
      </c>
      <c r="N1178">
        <v>1.0102960000000001</v>
      </c>
    </row>
    <row r="1179" spans="1:14" x14ac:dyDescent="0.35">
      <c r="A1179" s="156" t="s">
        <v>542</v>
      </c>
      <c r="B1179" s="52">
        <v>44342</v>
      </c>
      <c r="C1179" s="156" t="s">
        <v>531</v>
      </c>
      <c r="D1179" s="156" t="s">
        <v>531</v>
      </c>
      <c r="E1179">
        <v>1041104</v>
      </c>
      <c r="F1179">
        <v>596720.38749999995</v>
      </c>
      <c r="G1179">
        <v>576.60270000000003</v>
      </c>
      <c r="H1179">
        <v>1.0359529999999999</v>
      </c>
      <c r="I1179">
        <v>1</v>
      </c>
      <c r="J1179" s="156">
        <v>1</v>
      </c>
      <c r="K1179">
        <v>1</v>
      </c>
      <c r="L1179">
        <v>1</v>
      </c>
      <c r="M1179">
        <v>1</v>
      </c>
      <c r="N1179">
        <v>1.0359529999999999</v>
      </c>
    </row>
    <row r="1180" spans="1:14" x14ac:dyDescent="0.35">
      <c r="A1180" s="156" t="s">
        <v>542</v>
      </c>
      <c r="B1180" s="52">
        <v>44343</v>
      </c>
      <c r="C1180" s="156" t="s">
        <v>531</v>
      </c>
      <c r="D1180" s="156" t="s">
        <v>531</v>
      </c>
      <c r="E1180">
        <v>912124</v>
      </c>
      <c r="F1180">
        <v>526516.60120000003</v>
      </c>
      <c r="G1180">
        <v>582.10519999999997</v>
      </c>
      <c r="H1180">
        <v>1.005349</v>
      </c>
      <c r="I1180">
        <v>1</v>
      </c>
      <c r="J1180" s="156">
        <v>1</v>
      </c>
      <c r="K1180">
        <v>1</v>
      </c>
      <c r="L1180">
        <v>1</v>
      </c>
      <c r="M1180">
        <v>1</v>
      </c>
      <c r="N1180">
        <v>1.005349</v>
      </c>
    </row>
    <row r="1181" spans="1:14" x14ac:dyDescent="0.35">
      <c r="A1181" s="156" t="s">
        <v>542</v>
      </c>
      <c r="B1181" s="52">
        <v>44344</v>
      </c>
      <c r="C1181" s="156" t="s">
        <v>531</v>
      </c>
      <c r="D1181" s="156" t="s">
        <v>531</v>
      </c>
      <c r="E1181">
        <v>642971</v>
      </c>
      <c r="F1181">
        <v>372796.46500000003</v>
      </c>
      <c r="G1181">
        <v>589.09100000000001</v>
      </c>
      <c r="H1181">
        <v>1.0060899999999999</v>
      </c>
      <c r="I1181">
        <v>1</v>
      </c>
      <c r="J1181" s="156">
        <v>1</v>
      </c>
      <c r="K1181">
        <v>1</v>
      </c>
      <c r="L1181">
        <v>1</v>
      </c>
      <c r="M1181">
        <v>1</v>
      </c>
      <c r="N1181">
        <v>1.0060899999999999</v>
      </c>
    </row>
    <row r="1182" spans="1:14" x14ac:dyDescent="0.35">
      <c r="A1182" s="156" t="s">
        <v>542</v>
      </c>
      <c r="B1182" s="52">
        <v>44348</v>
      </c>
      <c r="C1182" s="156" t="s">
        <v>531</v>
      </c>
      <c r="D1182" s="156" t="s">
        <v>531</v>
      </c>
      <c r="E1182">
        <v>646346</v>
      </c>
      <c r="F1182">
        <v>378190.34080000001</v>
      </c>
      <c r="G1182">
        <v>587.91909999999996</v>
      </c>
      <c r="H1182">
        <v>0.99143099999999995</v>
      </c>
      <c r="I1182">
        <v>1</v>
      </c>
      <c r="J1182" s="156">
        <v>1</v>
      </c>
      <c r="K1182">
        <v>1</v>
      </c>
      <c r="L1182">
        <v>1</v>
      </c>
      <c r="M1182">
        <v>1</v>
      </c>
      <c r="N1182">
        <v>0.99143099999999995</v>
      </c>
    </row>
    <row r="1183" spans="1:14" x14ac:dyDescent="0.35">
      <c r="A1183" s="156" t="s">
        <v>542</v>
      </c>
      <c r="B1183" s="52">
        <v>44349</v>
      </c>
      <c r="C1183" s="156" t="s">
        <v>531</v>
      </c>
      <c r="D1183" s="156" t="s">
        <v>531</v>
      </c>
      <c r="E1183">
        <v>668911</v>
      </c>
      <c r="F1183">
        <v>385787.09570000001</v>
      </c>
      <c r="G1183">
        <v>578.84500000000003</v>
      </c>
      <c r="H1183">
        <v>0.99792499999999995</v>
      </c>
      <c r="I1183">
        <v>1</v>
      </c>
      <c r="J1183" s="156">
        <v>1</v>
      </c>
      <c r="K1183">
        <v>1</v>
      </c>
      <c r="L1183">
        <v>1</v>
      </c>
      <c r="M1183">
        <v>1</v>
      </c>
      <c r="N1183">
        <v>0.99792499999999995</v>
      </c>
    </row>
    <row r="1184" spans="1:14" x14ac:dyDescent="0.35">
      <c r="A1184" s="156" t="s">
        <v>542</v>
      </c>
      <c r="B1184" s="52">
        <v>44350</v>
      </c>
      <c r="C1184" s="156" t="s">
        <v>531</v>
      </c>
      <c r="D1184" s="156" t="s">
        <v>531</v>
      </c>
      <c r="E1184">
        <v>581956</v>
      </c>
      <c r="F1184">
        <v>328361.58419999998</v>
      </c>
      <c r="G1184">
        <v>570.23339999999996</v>
      </c>
      <c r="H1184">
        <v>0.97606099999999996</v>
      </c>
      <c r="I1184">
        <v>1</v>
      </c>
      <c r="J1184" s="156">
        <v>1</v>
      </c>
      <c r="K1184">
        <v>1</v>
      </c>
      <c r="L1184">
        <v>1</v>
      </c>
      <c r="M1184">
        <v>1</v>
      </c>
      <c r="N1184">
        <v>0.97606099999999996</v>
      </c>
    </row>
    <row r="1185" spans="1:14" x14ac:dyDescent="0.35">
      <c r="A1185" s="156" t="s">
        <v>542</v>
      </c>
      <c r="B1185" s="52">
        <v>44351</v>
      </c>
      <c r="C1185" s="156" t="s">
        <v>531</v>
      </c>
      <c r="D1185" s="156" t="s">
        <v>531</v>
      </c>
      <c r="E1185">
        <v>489397</v>
      </c>
      <c r="F1185">
        <v>278733.6238</v>
      </c>
      <c r="G1185">
        <v>576.34690000000001</v>
      </c>
      <c r="H1185">
        <v>1.0119549999999999</v>
      </c>
      <c r="I1185">
        <v>1</v>
      </c>
      <c r="J1185" s="156">
        <v>1</v>
      </c>
      <c r="K1185">
        <v>1</v>
      </c>
      <c r="L1185">
        <v>1</v>
      </c>
      <c r="M1185">
        <v>1</v>
      </c>
      <c r="N1185">
        <v>1.0119549999999999</v>
      </c>
    </row>
    <row r="1186" spans="1:14" x14ac:dyDescent="0.35">
      <c r="A1186" s="156" t="s">
        <v>542</v>
      </c>
      <c r="B1186" s="52">
        <v>44354</v>
      </c>
      <c r="C1186" s="156" t="s">
        <v>531</v>
      </c>
      <c r="D1186" s="156" t="s">
        <v>531</v>
      </c>
      <c r="E1186">
        <v>689854</v>
      </c>
      <c r="F1186">
        <v>407349.92729999998</v>
      </c>
      <c r="G1186">
        <v>590.23440000000005</v>
      </c>
      <c r="H1186">
        <v>1.043671</v>
      </c>
      <c r="I1186">
        <v>1</v>
      </c>
      <c r="J1186" s="156">
        <v>1</v>
      </c>
      <c r="K1186">
        <v>1</v>
      </c>
      <c r="L1186">
        <v>1</v>
      </c>
      <c r="M1186">
        <v>1</v>
      </c>
      <c r="N1186">
        <v>1.043671</v>
      </c>
    </row>
    <row r="1187" spans="1:14" x14ac:dyDescent="0.35">
      <c r="A1187" s="156" t="s">
        <v>542</v>
      </c>
      <c r="B1187" s="52">
        <v>44355</v>
      </c>
      <c r="C1187" s="156" t="s">
        <v>531</v>
      </c>
      <c r="D1187" s="156" t="s">
        <v>531</v>
      </c>
      <c r="E1187">
        <v>1090595</v>
      </c>
      <c r="F1187">
        <v>666804.30099999998</v>
      </c>
      <c r="G1187">
        <v>611.49400000000003</v>
      </c>
      <c r="H1187">
        <v>1.0083690000000001</v>
      </c>
      <c r="I1187">
        <v>1</v>
      </c>
      <c r="J1187" s="156">
        <v>1</v>
      </c>
      <c r="K1187">
        <v>1</v>
      </c>
      <c r="L1187">
        <v>1</v>
      </c>
      <c r="M1187">
        <v>1</v>
      </c>
      <c r="N1187">
        <v>1.0083690000000001</v>
      </c>
    </row>
    <row r="1188" spans="1:14" x14ac:dyDescent="0.35">
      <c r="A1188" s="156" t="s">
        <v>542</v>
      </c>
      <c r="B1188" s="52">
        <v>44356</v>
      </c>
      <c r="C1188" s="156" t="s">
        <v>531</v>
      </c>
      <c r="D1188" s="156" t="s">
        <v>531</v>
      </c>
      <c r="E1188">
        <v>933664</v>
      </c>
      <c r="F1188">
        <v>554782.14760000003</v>
      </c>
      <c r="G1188">
        <v>593.9914</v>
      </c>
      <c r="H1188">
        <v>0.96764600000000001</v>
      </c>
      <c r="I1188">
        <v>1</v>
      </c>
      <c r="J1188" s="156">
        <v>1</v>
      </c>
      <c r="K1188">
        <v>1</v>
      </c>
      <c r="L1188">
        <v>1</v>
      </c>
      <c r="M1188">
        <v>1</v>
      </c>
      <c r="N1188">
        <v>0.96764600000000001</v>
      </c>
    </row>
    <row r="1189" spans="1:14" x14ac:dyDescent="0.35">
      <c r="A1189" s="156" t="s">
        <v>542</v>
      </c>
      <c r="B1189" s="52">
        <v>44357</v>
      </c>
      <c r="C1189" s="156" t="s">
        <v>531</v>
      </c>
      <c r="D1189" s="156" t="s">
        <v>531</v>
      </c>
      <c r="E1189">
        <v>899382</v>
      </c>
      <c r="F1189">
        <v>525409.17220000003</v>
      </c>
      <c r="G1189">
        <v>584.24189999999999</v>
      </c>
      <c r="H1189">
        <v>1.008491</v>
      </c>
      <c r="I1189">
        <v>1</v>
      </c>
      <c r="J1189" s="156">
        <v>1</v>
      </c>
      <c r="K1189">
        <v>1</v>
      </c>
      <c r="L1189">
        <v>1</v>
      </c>
      <c r="M1189">
        <v>1</v>
      </c>
      <c r="N1189">
        <v>1.008491</v>
      </c>
    </row>
    <row r="1190" spans="1:14" x14ac:dyDescent="0.35">
      <c r="A1190" s="156" t="s">
        <v>542</v>
      </c>
      <c r="B1190" s="52">
        <v>44358</v>
      </c>
      <c r="C1190" s="156" t="s">
        <v>531</v>
      </c>
      <c r="D1190" s="156" t="s">
        <v>531</v>
      </c>
      <c r="E1190">
        <v>611428</v>
      </c>
      <c r="F1190">
        <v>367411.77439999999</v>
      </c>
      <c r="G1190">
        <v>600.84460000000001</v>
      </c>
      <c r="H1190">
        <v>1.016162</v>
      </c>
      <c r="I1190">
        <v>1</v>
      </c>
      <c r="J1190" s="156">
        <v>1</v>
      </c>
      <c r="K1190">
        <v>1</v>
      </c>
      <c r="L1190">
        <v>1</v>
      </c>
      <c r="M1190">
        <v>1</v>
      </c>
      <c r="N1190">
        <v>1.016162</v>
      </c>
    </row>
    <row r="1191" spans="1:14" x14ac:dyDescent="0.35">
      <c r="A1191" s="156" t="s">
        <v>542</v>
      </c>
      <c r="B1191" s="52">
        <v>44361</v>
      </c>
      <c r="C1191" s="156" t="s">
        <v>531</v>
      </c>
      <c r="D1191" s="156" t="s">
        <v>531</v>
      </c>
      <c r="E1191">
        <v>624232</v>
      </c>
      <c r="F1191">
        <v>378329.58470000001</v>
      </c>
      <c r="G1191">
        <v>606.01120000000003</v>
      </c>
      <c r="H1191">
        <v>1.002918</v>
      </c>
      <c r="I1191">
        <v>1</v>
      </c>
      <c r="J1191" s="156">
        <v>1</v>
      </c>
      <c r="K1191">
        <v>1</v>
      </c>
      <c r="L1191">
        <v>1</v>
      </c>
      <c r="M1191">
        <v>1</v>
      </c>
      <c r="N1191">
        <v>1.002918</v>
      </c>
    </row>
    <row r="1192" spans="1:14" x14ac:dyDescent="0.35">
      <c r="A1192" s="156" t="s">
        <v>542</v>
      </c>
      <c r="B1192" s="52">
        <v>44362</v>
      </c>
      <c r="C1192" s="156" t="s">
        <v>531</v>
      </c>
      <c r="D1192" s="156" t="s">
        <v>531</v>
      </c>
      <c r="E1192">
        <v>773342</v>
      </c>
      <c r="F1192">
        <v>455601.79710000003</v>
      </c>
      <c r="G1192">
        <v>589.28489999999999</v>
      </c>
      <c r="H1192">
        <v>0.97373500000000002</v>
      </c>
      <c r="I1192">
        <v>1</v>
      </c>
      <c r="J1192" s="156">
        <v>1</v>
      </c>
      <c r="K1192">
        <v>1</v>
      </c>
      <c r="L1192">
        <v>1</v>
      </c>
      <c r="M1192">
        <v>1</v>
      </c>
      <c r="N1192">
        <v>0.97373500000000002</v>
      </c>
    </row>
    <row r="1193" spans="1:14" x14ac:dyDescent="0.35">
      <c r="A1193" s="156" t="s">
        <v>542</v>
      </c>
      <c r="B1193" s="52">
        <v>44363</v>
      </c>
      <c r="C1193" s="156" t="s">
        <v>531</v>
      </c>
      <c r="D1193" s="156" t="s">
        <v>531</v>
      </c>
      <c r="E1193">
        <v>864431</v>
      </c>
      <c r="F1193">
        <v>508718.57669999998</v>
      </c>
      <c r="G1193">
        <v>588.42229999999995</v>
      </c>
      <c r="H1193">
        <v>1.0075799999999999</v>
      </c>
      <c r="I1193">
        <v>1</v>
      </c>
      <c r="J1193" s="156">
        <v>1</v>
      </c>
      <c r="K1193">
        <v>1</v>
      </c>
      <c r="L1193">
        <v>1</v>
      </c>
      <c r="M1193">
        <v>1</v>
      </c>
      <c r="N1193">
        <v>1.0075799999999999</v>
      </c>
    </row>
    <row r="1194" spans="1:14" x14ac:dyDescent="0.35">
      <c r="A1194" s="156" t="s">
        <v>542</v>
      </c>
      <c r="B1194" s="52">
        <v>44364</v>
      </c>
      <c r="C1194" s="156" t="s">
        <v>531</v>
      </c>
      <c r="D1194" s="156" t="s">
        <v>531</v>
      </c>
      <c r="E1194">
        <v>13050829</v>
      </c>
      <c r="F1194">
        <v>806509.68090000004</v>
      </c>
      <c r="G1194">
        <v>61.791800000000002</v>
      </c>
      <c r="H1194">
        <v>1.0528630000000001</v>
      </c>
      <c r="I1194">
        <v>1</v>
      </c>
      <c r="J1194" s="156">
        <v>1</v>
      </c>
      <c r="K1194">
        <v>1</v>
      </c>
      <c r="L1194">
        <v>1</v>
      </c>
      <c r="M1194">
        <v>1</v>
      </c>
      <c r="N1194">
        <v>1.0528630000000001</v>
      </c>
    </row>
    <row r="1195" spans="1:14" x14ac:dyDescent="0.35">
      <c r="A1195" s="156" t="s">
        <v>542</v>
      </c>
      <c r="B1195" s="52">
        <v>44365</v>
      </c>
      <c r="C1195" s="156" t="s">
        <v>531</v>
      </c>
      <c r="D1195" s="156" t="s">
        <v>531</v>
      </c>
      <c r="E1195">
        <v>8938229</v>
      </c>
      <c r="F1195">
        <v>549077.24380000005</v>
      </c>
      <c r="G1195">
        <v>61.424199999999999</v>
      </c>
      <c r="H1195">
        <v>0.97972300000000001</v>
      </c>
      <c r="I1195">
        <v>1</v>
      </c>
      <c r="J1195" s="156">
        <v>1</v>
      </c>
      <c r="K1195">
        <v>1</v>
      </c>
      <c r="L1195">
        <v>1</v>
      </c>
      <c r="M1195">
        <v>1</v>
      </c>
      <c r="N1195">
        <v>0.97972300000000001</v>
      </c>
    </row>
    <row r="1196" spans="1:14" x14ac:dyDescent="0.35">
      <c r="A1196" s="156" t="s">
        <v>542</v>
      </c>
      <c r="B1196" s="52">
        <v>44368</v>
      </c>
      <c r="C1196" s="156" t="s">
        <v>531</v>
      </c>
      <c r="D1196" s="156" t="s">
        <v>531</v>
      </c>
      <c r="E1196">
        <v>6057446</v>
      </c>
      <c r="F1196">
        <v>369935.53499999997</v>
      </c>
      <c r="G1196">
        <v>61.069200000000002</v>
      </c>
      <c r="H1196">
        <v>1.0062420000000001</v>
      </c>
      <c r="I1196">
        <v>1</v>
      </c>
      <c r="J1196" s="156">
        <v>1</v>
      </c>
      <c r="K1196">
        <v>1</v>
      </c>
      <c r="L1196">
        <v>1</v>
      </c>
      <c r="M1196">
        <v>1</v>
      </c>
      <c r="N1196">
        <v>1.0062420000000001</v>
      </c>
    </row>
    <row r="1197" spans="1:14" x14ac:dyDescent="0.35">
      <c r="A1197" s="156" t="s">
        <v>542</v>
      </c>
      <c r="B1197" s="52">
        <v>44369</v>
      </c>
      <c r="C1197" s="156" t="s">
        <v>531</v>
      </c>
      <c r="D1197" s="156" t="s">
        <v>531</v>
      </c>
      <c r="E1197">
        <v>6670676</v>
      </c>
      <c r="F1197">
        <v>424756.91940000001</v>
      </c>
      <c r="G1197">
        <v>63.668599999999998</v>
      </c>
      <c r="H1197">
        <v>1.052889</v>
      </c>
      <c r="I1197">
        <v>1</v>
      </c>
      <c r="J1197" s="156">
        <v>1</v>
      </c>
      <c r="K1197">
        <v>1</v>
      </c>
      <c r="L1197">
        <v>1</v>
      </c>
      <c r="M1197">
        <v>1</v>
      </c>
      <c r="N1197">
        <v>1.052889</v>
      </c>
    </row>
    <row r="1198" spans="1:14" x14ac:dyDescent="0.35">
      <c r="A1198" s="156" t="s">
        <v>542</v>
      </c>
      <c r="B1198" s="52">
        <v>44370</v>
      </c>
      <c r="C1198" s="156" t="s">
        <v>531</v>
      </c>
      <c r="D1198" s="156" t="s">
        <v>531</v>
      </c>
      <c r="E1198">
        <v>5735635</v>
      </c>
      <c r="F1198">
        <v>373367.21019999997</v>
      </c>
      <c r="G1198">
        <v>65.105800000000002</v>
      </c>
      <c r="H1198">
        <v>1.013798</v>
      </c>
      <c r="I1198">
        <v>1</v>
      </c>
      <c r="J1198" s="156">
        <v>1</v>
      </c>
      <c r="K1198">
        <v>1</v>
      </c>
      <c r="L1198">
        <v>1</v>
      </c>
      <c r="M1198">
        <v>1</v>
      </c>
      <c r="N1198">
        <v>1.013798</v>
      </c>
    </row>
    <row r="1199" spans="1:14" x14ac:dyDescent="0.35">
      <c r="A1199" s="156" t="s">
        <v>542</v>
      </c>
      <c r="B1199" s="52">
        <v>44371</v>
      </c>
      <c r="C1199" s="156" t="s">
        <v>531</v>
      </c>
      <c r="D1199" s="156" t="s">
        <v>531</v>
      </c>
      <c r="E1199">
        <v>35328613</v>
      </c>
      <c r="F1199">
        <v>2641755.6678999998</v>
      </c>
      <c r="G1199">
        <v>74.782399999999996</v>
      </c>
      <c r="H1199">
        <v>1.1604220000000001</v>
      </c>
      <c r="I1199">
        <v>1</v>
      </c>
      <c r="J1199" s="156">
        <v>1</v>
      </c>
      <c r="K1199">
        <v>1</v>
      </c>
      <c r="L1199">
        <v>1</v>
      </c>
      <c r="M1199">
        <v>1</v>
      </c>
      <c r="N1199">
        <v>1.1604220000000001</v>
      </c>
    </row>
    <row r="1200" spans="1:14" x14ac:dyDescent="0.35">
      <c r="A1200" s="156" t="s">
        <v>542</v>
      </c>
      <c r="B1200" s="52">
        <v>44372</v>
      </c>
      <c r="C1200" s="156" t="s">
        <v>531</v>
      </c>
      <c r="D1200" s="156" t="s">
        <v>531</v>
      </c>
      <c r="E1200">
        <v>12332576</v>
      </c>
      <c r="F1200">
        <v>941808.35690000001</v>
      </c>
      <c r="G1200">
        <v>76.369100000000003</v>
      </c>
      <c r="H1200">
        <v>1.0018450000000001</v>
      </c>
      <c r="I1200">
        <v>1</v>
      </c>
      <c r="J1200" s="156">
        <v>1</v>
      </c>
      <c r="K1200">
        <v>1</v>
      </c>
      <c r="L1200">
        <v>1</v>
      </c>
      <c r="M1200">
        <v>1</v>
      </c>
      <c r="N1200">
        <v>1.0018450000000001</v>
      </c>
    </row>
    <row r="1201" spans="1:14" x14ac:dyDescent="0.35">
      <c r="A1201" s="156" t="s">
        <v>542</v>
      </c>
      <c r="B1201" s="52">
        <v>44375</v>
      </c>
      <c r="C1201" s="156" t="s">
        <v>531</v>
      </c>
      <c r="D1201" s="156" t="s">
        <v>531</v>
      </c>
      <c r="E1201">
        <v>8575395</v>
      </c>
      <c r="F1201">
        <v>678473.54689999996</v>
      </c>
      <c r="G1201">
        <v>79.119699999999995</v>
      </c>
      <c r="H1201">
        <v>1.050908</v>
      </c>
      <c r="I1201">
        <v>1</v>
      </c>
      <c r="J1201" s="156">
        <v>1</v>
      </c>
      <c r="K1201">
        <v>1</v>
      </c>
      <c r="L1201">
        <v>1</v>
      </c>
      <c r="M1201">
        <v>1</v>
      </c>
      <c r="N1201">
        <v>1.050908</v>
      </c>
    </row>
    <row r="1202" spans="1:14" x14ac:dyDescent="0.35">
      <c r="A1202" s="156" t="s">
        <v>542</v>
      </c>
      <c r="B1202" s="52">
        <v>44376</v>
      </c>
      <c r="C1202" s="156" t="s">
        <v>531</v>
      </c>
      <c r="D1202" s="156" t="s">
        <v>531</v>
      </c>
      <c r="E1202">
        <v>5378881</v>
      </c>
      <c r="F1202">
        <v>428830.22039999999</v>
      </c>
      <c r="G1202">
        <v>79.733599999999996</v>
      </c>
      <c r="H1202">
        <v>1.001001</v>
      </c>
      <c r="I1202">
        <v>1</v>
      </c>
      <c r="J1202" s="156">
        <v>1</v>
      </c>
      <c r="K1202">
        <v>1</v>
      </c>
      <c r="L1202">
        <v>1</v>
      </c>
      <c r="M1202">
        <v>1</v>
      </c>
      <c r="N1202">
        <v>1.001001</v>
      </c>
    </row>
    <row r="1203" spans="1:14" x14ac:dyDescent="0.35">
      <c r="A1203" s="156" t="s">
        <v>542</v>
      </c>
      <c r="B1203" s="52">
        <v>44377</v>
      </c>
      <c r="C1203" s="156" t="s">
        <v>531</v>
      </c>
      <c r="D1203" s="156" t="s">
        <v>531</v>
      </c>
      <c r="E1203">
        <v>5376336</v>
      </c>
      <c r="F1203">
        <v>419166.49329999997</v>
      </c>
      <c r="G1203">
        <v>77.9649</v>
      </c>
      <c r="H1203">
        <v>0.96736299999999997</v>
      </c>
      <c r="I1203">
        <v>1</v>
      </c>
      <c r="J1203" s="156">
        <v>1</v>
      </c>
      <c r="K1203">
        <v>1</v>
      </c>
      <c r="L1203">
        <v>1</v>
      </c>
      <c r="M1203">
        <v>1</v>
      </c>
      <c r="N1203">
        <v>0.96736299999999997</v>
      </c>
    </row>
    <row r="1204" spans="1:14" x14ac:dyDescent="0.35">
      <c r="A1204" s="156" t="s">
        <v>542</v>
      </c>
      <c r="B1204" s="52">
        <v>44378</v>
      </c>
      <c r="C1204" s="156" t="s">
        <v>531</v>
      </c>
      <c r="D1204" s="156" t="s">
        <v>531</v>
      </c>
      <c r="E1204">
        <v>4126007</v>
      </c>
      <c r="F1204">
        <v>316673.00300000003</v>
      </c>
      <c r="G1204">
        <v>76.748800000000003</v>
      </c>
      <c r="H1204">
        <v>0.99121000000000004</v>
      </c>
      <c r="I1204">
        <v>1</v>
      </c>
      <c r="J1204" s="156">
        <v>1</v>
      </c>
      <c r="K1204">
        <v>1</v>
      </c>
      <c r="L1204">
        <v>1</v>
      </c>
      <c r="M1204">
        <v>1</v>
      </c>
      <c r="N1204">
        <v>0.99121000000000004</v>
      </c>
    </row>
    <row r="1205" spans="1:14" x14ac:dyDescent="0.35">
      <c r="A1205" s="156" t="s">
        <v>542</v>
      </c>
      <c r="B1205" s="52">
        <v>44379</v>
      </c>
      <c r="C1205" s="156" t="s">
        <v>531</v>
      </c>
      <c r="D1205" s="156" t="s">
        <v>531</v>
      </c>
      <c r="E1205">
        <v>3100228</v>
      </c>
      <c r="F1205">
        <v>239159.7066</v>
      </c>
      <c r="G1205">
        <v>77.153899999999993</v>
      </c>
      <c r="H1205">
        <v>0.99921800000000005</v>
      </c>
      <c r="I1205">
        <v>1</v>
      </c>
      <c r="J1205" s="156">
        <v>1</v>
      </c>
      <c r="K1205">
        <v>1</v>
      </c>
      <c r="L1205">
        <v>1</v>
      </c>
      <c r="M1205">
        <v>1</v>
      </c>
      <c r="N1205">
        <v>0.99921800000000005</v>
      </c>
    </row>
    <row r="1206" spans="1:14" x14ac:dyDescent="0.35">
      <c r="A1206" s="156" t="s">
        <v>542</v>
      </c>
      <c r="B1206" s="52">
        <v>44383</v>
      </c>
      <c r="C1206" s="156" t="s">
        <v>531</v>
      </c>
      <c r="D1206" s="156" t="s">
        <v>531</v>
      </c>
      <c r="E1206">
        <v>3775549</v>
      </c>
      <c r="F1206">
        <v>288999.38290000003</v>
      </c>
      <c r="G1206">
        <v>76.545900000000003</v>
      </c>
      <c r="H1206">
        <v>0.99921700000000002</v>
      </c>
      <c r="I1206">
        <v>1</v>
      </c>
      <c r="J1206" s="156">
        <v>1</v>
      </c>
      <c r="K1206">
        <v>1</v>
      </c>
      <c r="L1206">
        <v>1</v>
      </c>
      <c r="M1206">
        <v>1</v>
      </c>
      <c r="N1206">
        <v>0.99921700000000002</v>
      </c>
    </row>
    <row r="1207" spans="1:14" x14ac:dyDescent="0.35">
      <c r="A1207" s="156" t="s">
        <v>542</v>
      </c>
      <c r="B1207" s="52">
        <v>44384</v>
      </c>
      <c r="C1207" s="156" t="s">
        <v>531</v>
      </c>
      <c r="D1207" s="156" t="s">
        <v>531</v>
      </c>
      <c r="E1207">
        <v>9143277</v>
      </c>
      <c r="F1207">
        <v>722678.6655</v>
      </c>
      <c r="G1207">
        <v>79.045500000000004</v>
      </c>
      <c r="H1207">
        <v>1.0141070000000001</v>
      </c>
      <c r="I1207">
        <v>1</v>
      </c>
      <c r="J1207" s="156">
        <v>1</v>
      </c>
      <c r="K1207">
        <v>1</v>
      </c>
      <c r="L1207">
        <v>1</v>
      </c>
      <c r="M1207">
        <v>1</v>
      </c>
      <c r="N1207">
        <v>1.0141070000000001</v>
      </c>
    </row>
    <row r="1208" spans="1:14" x14ac:dyDescent="0.35">
      <c r="A1208" s="156" t="s">
        <v>542</v>
      </c>
      <c r="B1208" s="52">
        <v>44385</v>
      </c>
      <c r="C1208" s="156" t="s">
        <v>531</v>
      </c>
      <c r="D1208" s="156" t="s">
        <v>531</v>
      </c>
      <c r="E1208">
        <v>6485887</v>
      </c>
      <c r="F1208">
        <v>490326.10840000003</v>
      </c>
      <c r="G1208">
        <v>75.587299999999999</v>
      </c>
      <c r="H1208">
        <v>0.980294</v>
      </c>
      <c r="I1208">
        <v>1</v>
      </c>
      <c r="J1208" s="156">
        <v>1</v>
      </c>
      <c r="K1208">
        <v>1</v>
      </c>
      <c r="L1208">
        <v>1</v>
      </c>
      <c r="M1208">
        <v>1</v>
      </c>
      <c r="N1208">
        <v>0.980294</v>
      </c>
    </row>
    <row r="1209" spans="1:14" x14ac:dyDescent="0.35">
      <c r="A1209" s="156" t="s">
        <v>542</v>
      </c>
      <c r="B1209" s="52">
        <v>44386</v>
      </c>
      <c r="C1209" s="156" t="s">
        <v>531</v>
      </c>
      <c r="D1209" s="156" t="s">
        <v>531</v>
      </c>
      <c r="E1209">
        <v>3663361</v>
      </c>
      <c r="F1209">
        <v>284429.21399999998</v>
      </c>
      <c r="G1209">
        <v>77.620800000000003</v>
      </c>
      <c r="H1209">
        <v>1.024176</v>
      </c>
      <c r="I1209">
        <v>1</v>
      </c>
      <c r="J1209" s="156">
        <v>1</v>
      </c>
      <c r="K1209">
        <v>1</v>
      </c>
      <c r="L1209">
        <v>1</v>
      </c>
      <c r="M1209">
        <v>1</v>
      </c>
      <c r="N1209">
        <v>1.024176</v>
      </c>
    </row>
    <row r="1210" spans="1:14" x14ac:dyDescent="0.35">
      <c r="A1210" s="156" t="s">
        <v>542</v>
      </c>
      <c r="B1210" s="52">
        <v>44389</v>
      </c>
      <c r="C1210" s="156" t="s">
        <v>531</v>
      </c>
      <c r="D1210" s="156" t="s">
        <v>531</v>
      </c>
      <c r="E1210">
        <v>3240549</v>
      </c>
      <c r="F1210">
        <v>251947.4706</v>
      </c>
      <c r="G1210">
        <v>77.755399999999995</v>
      </c>
      <c r="H1210">
        <v>0.99871699999999997</v>
      </c>
      <c r="I1210">
        <v>1</v>
      </c>
      <c r="J1210" s="156">
        <v>1</v>
      </c>
      <c r="K1210">
        <v>1</v>
      </c>
      <c r="L1210">
        <v>1</v>
      </c>
      <c r="M1210">
        <v>1</v>
      </c>
      <c r="N1210">
        <v>0.99871699999999997</v>
      </c>
    </row>
    <row r="1211" spans="1:14" x14ac:dyDescent="0.35">
      <c r="A1211" s="156" t="s">
        <v>542</v>
      </c>
      <c r="B1211" s="52">
        <v>44390</v>
      </c>
      <c r="C1211" s="156" t="s">
        <v>531</v>
      </c>
      <c r="D1211" s="156" t="s">
        <v>531</v>
      </c>
      <c r="E1211">
        <v>4259552</v>
      </c>
      <c r="F1211">
        <v>330542.88679999998</v>
      </c>
      <c r="G1211">
        <v>77.591099999999997</v>
      </c>
      <c r="H1211">
        <v>0.98265899999999995</v>
      </c>
      <c r="I1211">
        <v>1</v>
      </c>
      <c r="J1211" s="156">
        <v>1</v>
      </c>
      <c r="K1211">
        <v>1</v>
      </c>
      <c r="L1211">
        <v>1</v>
      </c>
      <c r="M1211">
        <v>1</v>
      </c>
      <c r="N1211">
        <v>0.98265899999999995</v>
      </c>
    </row>
    <row r="1212" spans="1:14" x14ac:dyDescent="0.35">
      <c r="A1212" s="156" t="s">
        <v>542</v>
      </c>
      <c r="B1212" s="52">
        <v>44391</v>
      </c>
      <c r="C1212" s="156" t="s">
        <v>531</v>
      </c>
      <c r="D1212" s="156" t="s">
        <v>531</v>
      </c>
      <c r="E1212">
        <v>4875523</v>
      </c>
      <c r="F1212">
        <v>367202.35190000001</v>
      </c>
      <c r="G1212">
        <v>75.34</v>
      </c>
      <c r="H1212">
        <v>0.96248400000000001</v>
      </c>
      <c r="I1212">
        <v>1</v>
      </c>
      <c r="J1212" s="156">
        <v>1</v>
      </c>
      <c r="K1212">
        <v>1</v>
      </c>
      <c r="L1212">
        <v>1</v>
      </c>
      <c r="M1212">
        <v>1</v>
      </c>
      <c r="N1212">
        <v>0.96248400000000001</v>
      </c>
    </row>
    <row r="1213" spans="1:14" x14ac:dyDescent="0.35">
      <c r="A1213" s="156" t="s">
        <v>542</v>
      </c>
      <c r="B1213" s="52">
        <v>44392</v>
      </c>
      <c r="C1213" s="156" t="s">
        <v>531</v>
      </c>
      <c r="D1213" s="156" t="s">
        <v>531</v>
      </c>
      <c r="E1213">
        <v>4643795</v>
      </c>
      <c r="F1213">
        <v>336539.63500000001</v>
      </c>
      <c r="G1213">
        <v>72.458100000000002</v>
      </c>
      <c r="H1213">
        <v>0.97772599999999998</v>
      </c>
      <c r="I1213">
        <v>1</v>
      </c>
      <c r="J1213" s="156">
        <v>1</v>
      </c>
      <c r="K1213">
        <v>1</v>
      </c>
      <c r="L1213">
        <v>1</v>
      </c>
      <c r="M1213">
        <v>1</v>
      </c>
      <c r="N1213">
        <v>0.97772599999999998</v>
      </c>
    </row>
    <row r="1214" spans="1:14" x14ac:dyDescent="0.35">
      <c r="A1214" s="156" t="s">
        <v>542</v>
      </c>
      <c r="B1214" s="52">
        <v>44393</v>
      </c>
      <c r="C1214" s="156" t="s">
        <v>531</v>
      </c>
      <c r="D1214" s="156" t="s">
        <v>531</v>
      </c>
      <c r="E1214">
        <v>5164503</v>
      </c>
      <c r="F1214">
        <v>364408.08240000001</v>
      </c>
      <c r="G1214">
        <v>70.560500000000005</v>
      </c>
      <c r="H1214">
        <v>0.98097000000000001</v>
      </c>
      <c r="I1214">
        <v>1</v>
      </c>
      <c r="J1214" s="156">
        <v>1</v>
      </c>
      <c r="K1214">
        <v>1</v>
      </c>
      <c r="L1214">
        <v>1</v>
      </c>
      <c r="M1214">
        <v>1</v>
      </c>
      <c r="N1214">
        <v>0.98097000000000001</v>
      </c>
    </row>
    <row r="1215" spans="1:14" x14ac:dyDescent="0.35">
      <c r="A1215" s="156" t="s">
        <v>542</v>
      </c>
      <c r="B1215" s="52">
        <v>44396</v>
      </c>
      <c r="C1215" s="156" t="s">
        <v>531</v>
      </c>
      <c r="D1215" s="156" t="s">
        <v>531</v>
      </c>
      <c r="E1215">
        <v>5635172</v>
      </c>
      <c r="F1215">
        <v>394856.30009999999</v>
      </c>
      <c r="G1215">
        <v>70.071299999999994</v>
      </c>
      <c r="H1215">
        <v>1.0045310000000001</v>
      </c>
      <c r="I1215">
        <v>1</v>
      </c>
      <c r="J1215" s="156">
        <v>1</v>
      </c>
      <c r="K1215">
        <v>1</v>
      </c>
      <c r="L1215">
        <v>1</v>
      </c>
      <c r="M1215">
        <v>1</v>
      </c>
      <c r="N1215">
        <v>1.0045310000000001</v>
      </c>
    </row>
    <row r="1216" spans="1:14" x14ac:dyDescent="0.35">
      <c r="A1216" s="156" t="s">
        <v>542</v>
      </c>
      <c r="B1216" s="52">
        <v>44397</v>
      </c>
      <c r="C1216" s="156" t="s">
        <v>531</v>
      </c>
      <c r="D1216" s="156" t="s">
        <v>531</v>
      </c>
      <c r="E1216">
        <v>4596619</v>
      </c>
      <c r="F1216">
        <v>331082.93839999998</v>
      </c>
      <c r="G1216">
        <v>72.033000000000001</v>
      </c>
      <c r="H1216">
        <v>1.029039</v>
      </c>
      <c r="I1216">
        <v>1</v>
      </c>
      <c r="J1216" s="156">
        <v>1</v>
      </c>
      <c r="K1216">
        <v>1</v>
      </c>
      <c r="L1216">
        <v>1</v>
      </c>
      <c r="M1216">
        <v>1</v>
      </c>
      <c r="N1216">
        <v>1.029039</v>
      </c>
    </row>
    <row r="1217" spans="1:14" x14ac:dyDescent="0.35">
      <c r="A1217" s="156" t="s">
        <v>542</v>
      </c>
      <c r="B1217" s="52">
        <v>44398</v>
      </c>
      <c r="C1217" s="156" t="s">
        <v>531</v>
      </c>
      <c r="D1217" s="156" t="s">
        <v>531</v>
      </c>
      <c r="E1217">
        <v>2759157</v>
      </c>
      <c r="F1217">
        <v>203541.9681</v>
      </c>
      <c r="G1217">
        <v>73.761499999999998</v>
      </c>
      <c r="H1217">
        <v>1.0157529999999999</v>
      </c>
      <c r="I1217">
        <v>1</v>
      </c>
      <c r="J1217" s="156">
        <v>1</v>
      </c>
      <c r="K1217">
        <v>1</v>
      </c>
      <c r="L1217">
        <v>1</v>
      </c>
      <c r="M1217">
        <v>1</v>
      </c>
      <c r="N1217">
        <v>1.0157529999999999</v>
      </c>
    </row>
    <row r="1218" spans="1:14" x14ac:dyDescent="0.35">
      <c r="A1218" s="156" t="s">
        <v>542</v>
      </c>
      <c r="B1218" s="52">
        <v>44399</v>
      </c>
      <c r="C1218" s="156" t="s">
        <v>531</v>
      </c>
      <c r="D1218" s="156" t="s">
        <v>531</v>
      </c>
      <c r="E1218">
        <v>2651249</v>
      </c>
      <c r="F1218">
        <v>196154.6023</v>
      </c>
      <c r="G1218">
        <v>73.998199999999997</v>
      </c>
      <c r="H1218">
        <v>0.99946100000000004</v>
      </c>
      <c r="I1218">
        <v>1</v>
      </c>
      <c r="J1218" s="156">
        <v>1</v>
      </c>
      <c r="K1218">
        <v>1</v>
      </c>
      <c r="L1218">
        <v>1</v>
      </c>
      <c r="M1218">
        <v>1</v>
      </c>
      <c r="N1218">
        <v>0.99946100000000004</v>
      </c>
    </row>
    <row r="1219" spans="1:14" x14ac:dyDescent="0.35">
      <c r="A1219" s="156" t="s">
        <v>542</v>
      </c>
      <c r="B1219" s="52">
        <v>44400</v>
      </c>
      <c r="C1219" s="156" t="s">
        <v>531</v>
      </c>
      <c r="D1219" s="156" t="s">
        <v>531</v>
      </c>
      <c r="E1219">
        <v>11687739</v>
      </c>
      <c r="F1219">
        <v>942850.98459999997</v>
      </c>
      <c r="G1219">
        <v>80.671700000000001</v>
      </c>
      <c r="H1219">
        <v>1.094994</v>
      </c>
      <c r="I1219">
        <v>1</v>
      </c>
      <c r="J1219" s="156">
        <v>1</v>
      </c>
      <c r="K1219">
        <v>1</v>
      </c>
      <c r="L1219">
        <v>1</v>
      </c>
      <c r="M1219">
        <v>1</v>
      </c>
      <c r="N1219">
        <v>1.094994</v>
      </c>
    </row>
    <row r="1220" spans="1:14" x14ac:dyDescent="0.35">
      <c r="A1220" s="156" t="s">
        <v>542</v>
      </c>
      <c r="B1220" s="52">
        <v>44403</v>
      </c>
      <c r="C1220" s="156" t="s">
        <v>531</v>
      </c>
      <c r="D1220" s="156" t="s">
        <v>531</v>
      </c>
      <c r="E1220">
        <v>4875658</v>
      </c>
      <c r="F1220">
        <v>393476.48670000001</v>
      </c>
      <c r="G1220">
        <v>80.708600000000004</v>
      </c>
      <c r="H1220">
        <v>1.0036970000000001</v>
      </c>
      <c r="I1220">
        <v>1</v>
      </c>
      <c r="J1220" s="156">
        <v>1</v>
      </c>
      <c r="K1220">
        <v>1</v>
      </c>
      <c r="L1220">
        <v>1</v>
      </c>
      <c r="M1220">
        <v>1</v>
      </c>
      <c r="N1220">
        <v>1.0036970000000001</v>
      </c>
    </row>
    <row r="1221" spans="1:14" x14ac:dyDescent="0.35">
      <c r="A1221" s="156" t="s">
        <v>542</v>
      </c>
      <c r="B1221" s="52">
        <v>44404</v>
      </c>
      <c r="C1221" s="156" t="s">
        <v>531</v>
      </c>
      <c r="D1221" s="156" t="s">
        <v>531</v>
      </c>
      <c r="E1221">
        <v>10167893</v>
      </c>
      <c r="F1221">
        <v>833496.41969999997</v>
      </c>
      <c r="G1221">
        <v>81.962800000000001</v>
      </c>
      <c r="H1221">
        <v>1.015101</v>
      </c>
      <c r="I1221">
        <v>1</v>
      </c>
      <c r="J1221" s="156">
        <v>1</v>
      </c>
      <c r="K1221">
        <v>1</v>
      </c>
      <c r="L1221">
        <v>1</v>
      </c>
      <c r="M1221">
        <v>1</v>
      </c>
      <c r="N1221">
        <v>1.015101</v>
      </c>
    </row>
    <row r="1222" spans="1:14" x14ac:dyDescent="0.35">
      <c r="A1222" s="156" t="s">
        <v>542</v>
      </c>
      <c r="B1222" s="52">
        <v>44405</v>
      </c>
      <c r="C1222" s="156" t="s">
        <v>531</v>
      </c>
      <c r="D1222" s="156" t="s">
        <v>531</v>
      </c>
      <c r="E1222">
        <v>6587525</v>
      </c>
      <c r="F1222">
        <v>559324.20259999996</v>
      </c>
      <c r="G1222">
        <v>84.891099999999994</v>
      </c>
      <c r="H1222">
        <v>1.0348329999999999</v>
      </c>
      <c r="I1222">
        <v>1</v>
      </c>
      <c r="J1222" s="156">
        <v>1</v>
      </c>
      <c r="K1222">
        <v>1</v>
      </c>
      <c r="L1222">
        <v>1</v>
      </c>
      <c r="M1222">
        <v>1</v>
      </c>
      <c r="N1222">
        <v>1.0348329999999999</v>
      </c>
    </row>
    <row r="1223" spans="1:14" x14ac:dyDescent="0.35">
      <c r="A1223" s="156" t="s">
        <v>542</v>
      </c>
      <c r="B1223" s="52">
        <v>44406</v>
      </c>
      <c r="C1223" s="156" t="s">
        <v>531</v>
      </c>
      <c r="D1223" s="156" t="s">
        <v>531</v>
      </c>
      <c r="E1223">
        <v>5015021</v>
      </c>
      <c r="F1223">
        <v>424022.72070000001</v>
      </c>
      <c r="G1223">
        <v>84.527900000000002</v>
      </c>
      <c r="H1223">
        <v>0.98293600000000003</v>
      </c>
      <c r="I1223">
        <v>1</v>
      </c>
      <c r="J1223" s="156">
        <v>1</v>
      </c>
      <c r="K1223">
        <v>1</v>
      </c>
      <c r="L1223">
        <v>1</v>
      </c>
      <c r="M1223">
        <v>1</v>
      </c>
      <c r="N1223">
        <v>0.98293600000000003</v>
      </c>
    </row>
    <row r="1224" spans="1:14" x14ac:dyDescent="0.35">
      <c r="A1224" s="156" t="s">
        <v>542</v>
      </c>
      <c r="B1224" s="52">
        <v>44407</v>
      </c>
      <c r="C1224" s="156" t="s">
        <v>531</v>
      </c>
      <c r="D1224" s="156" t="s">
        <v>531</v>
      </c>
      <c r="E1224">
        <v>5072881</v>
      </c>
      <c r="F1224">
        <v>419234.554</v>
      </c>
      <c r="G1224">
        <v>82.649600000000007</v>
      </c>
      <c r="H1224">
        <v>0.97396000000000005</v>
      </c>
      <c r="I1224">
        <v>1</v>
      </c>
      <c r="J1224" s="156">
        <v>1</v>
      </c>
      <c r="K1224">
        <v>1</v>
      </c>
      <c r="L1224">
        <v>1</v>
      </c>
      <c r="M1224">
        <v>1</v>
      </c>
      <c r="N1224">
        <v>0.97396000000000005</v>
      </c>
    </row>
    <row r="1225" spans="1:14" x14ac:dyDescent="0.35">
      <c r="A1225" s="156" t="s">
        <v>542</v>
      </c>
      <c r="B1225" s="52">
        <v>44410</v>
      </c>
      <c r="C1225" s="156" t="s">
        <v>531</v>
      </c>
      <c r="D1225" s="156" t="s">
        <v>531</v>
      </c>
      <c r="E1225">
        <v>4491586</v>
      </c>
      <c r="F1225">
        <v>372668.07130000001</v>
      </c>
      <c r="G1225">
        <v>82.970600000000005</v>
      </c>
      <c r="H1225">
        <v>1.0156270000000001</v>
      </c>
      <c r="I1225">
        <v>1</v>
      </c>
      <c r="J1225" s="156">
        <v>1</v>
      </c>
      <c r="K1225">
        <v>1</v>
      </c>
      <c r="L1225">
        <v>1</v>
      </c>
      <c r="M1225">
        <v>1</v>
      </c>
      <c r="N1225">
        <v>1.0156270000000001</v>
      </c>
    </row>
    <row r="1226" spans="1:14" x14ac:dyDescent="0.35">
      <c r="A1226" s="156" t="s">
        <v>542</v>
      </c>
      <c r="B1226" s="52">
        <v>44411</v>
      </c>
      <c r="C1226" s="156" t="s">
        <v>531</v>
      </c>
      <c r="D1226" s="156" t="s">
        <v>531</v>
      </c>
      <c r="E1226">
        <v>2874786</v>
      </c>
      <c r="F1226">
        <v>238319.23860000001</v>
      </c>
      <c r="G1226">
        <v>82.894599999999997</v>
      </c>
      <c r="H1226">
        <v>0.99963900000000006</v>
      </c>
      <c r="I1226">
        <v>1</v>
      </c>
      <c r="J1226" s="156">
        <v>1</v>
      </c>
      <c r="K1226">
        <v>1</v>
      </c>
      <c r="L1226">
        <v>1</v>
      </c>
      <c r="M1226">
        <v>1</v>
      </c>
      <c r="N1226">
        <v>0.99963900000000006</v>
      </c>
    </row>
    <row r="1227" spans="1:14" x14ac:dyDescent="0.35">
      <c r="A1227" s="156" t="s">
        <v>542</v>
      </c>
      <c r="B1227" s="52">
        <v>44412</v>
      </c>
      <c r="C1227" s="156" t="s">
        <v>531</v>
      </c>
      <c r="D1227" s="156" t="s">
        <v>531</v>
      </c>
      <c r="E1227">
        <v>4350027</v>
      </c>
      <c r="F1227">
        <v>371383.788</v>
      </c>
      <c r="G1227">
        <v>85.389499999999998</v>
      </c>
      <c r="H1227">
        <v>1.039442</v>
      </c>
      <c r="I1227">
        <v>1</v>
      </c>
      <c r="J1227" s="156">
        <v>1</v>
      </c>
      <c r="K1227">
        <v>1</v>
      </c>
      <c r="L1227">
        <v>1</v>
      </c>
      <c r="M1227">
        <v>1</v>
      </c>
      <c r="N1227">
        <v>1.039442</v>
      </c>
    </row>
    <row r="1228" spans="1:14" x14ac:dyDescent="0.35">
      <c r="A1228" s="156" t="s">
        <v>542</v>
      </c>
      <c r="B1228" s="52">
        <v>44413</v>
      </c>
      <c r="C1228" s="156" t="s">
        <v>531</v>
      </c>
      <c r="D1228" s="156" t="s">
        <v>531</v>
      </c>
      <c r="E1228">
        <v>4785700</v>
      </c>
      <c r="F1228">
        <v>403266.38329999999</v>
      </c>
      <c r="G1228">
        <v>84.252300000000005</v>
      </c>
      <c r="H1228">
        <v>0.96460000000000001</v>
      </c>
      <c r="I1228">
        <v>1</v>
      </c>
      <c r="J1228" s="156">
        <v>1</v>
      </c>
      <c r="K1228">
        <v>1</v>
      </c>
      <c r="L1228">
        <v>1</v>
      </c>
      <c r="M1228">
        <v>1</v>
      </c>
      <c r="N1228">
        <v>0.96460000000000001</v>
      </c>
    </row>
    <row r="1229" spans="1:14" x14ac:dyDescent="0.35">
      <c r="A1229" s="156" t="s">
        <v>542</v>
      </c>
      <c r="B1229" s="52">
        <v>44414</v>
      </c>
      <c r="C1229" s="156" t="s">
        <v>531</v>
      </c>
      <c r="D1229" s="156" t="s">
        <v>531</v>
      </c>
      <c r="E1229">
        <v>3502348</v>
      </c>
      <c r="F1229">
        <v>294257.55709999998</v>
      </c>
      <c r="G1229">
        <v>84.017200000000003</v>
      </c>
      <c r="H1229">
        <v>1.007916</v>
      </c>
      <c r="I1229">
        <v>1</v>
      </c>
      <c r="J1229" s="156">
        <v>1</v>
      </c>
      <c r="K1229">
        <v>1</v>
      </c>
      <c r="L1229">
        <v>1</v>
      </c>
      <c r="M1229">
        <v>1</v>
      </c>
      <c r="N1229">
        <v>1.007916</v>
      </c>
    </row>
    <row r="1230" spans="1:14" x14ac:dyDescent="0.35">
      <c r="A1230" s="156" t="s">
        <v>542</v>
      </c>
      <c r="B1230" s="52">
        <v>44417</v>
      </c>
      <c r="C1230" s="156" t="s">
        <v>531</v>
      </c>
      <c r="D1230" s="156" t="s">
        <v>531</v>
      </c>
      <c r="E1230">
        <v>8622023</v>
      </c>
      <c r="F1230">
        <v>702868.46530000004</v>
      </c>
      <c r="G1230">
        <v>81.534400000000005</v>
      </c>
      <c r="H1230">
        <v>0.96763399999999999</v>
      </c>
      <c r="I1230">
        <v>1</v>
      </c>
      <c r="J1230" s="156">
        <v>1</v>
      </c>
      <c r="K1230">
        <v>1</v>
      </c>
      <c r="L1230">
        <v>1</v>
      </c>
      <c r="M1230">
        <v>1</v>
      </c>
      <c r="N1230">
        <v>0.96763399999999999</v>
      </c>
    </row>
    <row r="1231" spans="1:14" x14ac:dyDescent="0.35">
      <c r="A1231" s="156" t="s">
        <v>542</v>
      </c>
      <c r="B1231" s="52">
        <v>44418</v>
      </c>
      <c r="C1231" s="156" t="s">
        <v>531</v>
      </c>
      <c r="D1231" s="156" t="s">
        <v>531</v>
      </c>
      <c r="E1231">
        <v>12900507</v>
      </c>
      <c r="F1231">
        <v>1133272.3898</v>
      </c>
      <c r="G1231">
        <v>87.838200000000001</v>
      </c>
      <c r="H1231">
        <v>1.076365</v>
      </c>
      <c r="I1231">
        <v>1</v>
      </c>
      <c r="J1231" s="156">
        <v>1</v>
      </c>
      <c r="K1231">
        <v>1</v>
      </c>
      <c r="L1231">
        <v>1</v>
      </c>
      <c r="M1231">
        <v>1</v>
      </c>
      <c r="N1231">
        <v>1.076365</v>
      </c>
    </row>
    <row r="1232" spans="1:14" x14ac:dyDescent="0.35">
      <c r="A1232" s="156" t="s">
        <v>542</v>
      </c>
      <c r="B1232" s="52">
        <v>44419</v>
      </c>
      <c r="C1232" s="156" t="s">
        <v>531</v>
      </c>
      <c r="D1232" s="156" t="s">
        <v>531</v>
      </c>
      <c r="E1232">
        <v>6665677</v>
      </c>
      <c r="F1232">
        <v>556941.07070000004</v>
      </c>
      <c r="G1232">
        <v>83.588700000000003</v>
      </c>
      <c r="H1232">
        <v>0.94139200000000001</v>
      </c>
      <c r="I1232">
        <v>1</v>
      </c>
      <c r="J1232" s="156">
        <v>1</v>
      </c>
      <c r="K1232">
        <v>1</v>
      </c>
      <c r="L1232">
        <v>1</v>
      </c>
      <c r="M1232">
        <v>1</v>
      </c>
      <c r="N1232">
        <v>0.94139200000000001</v>
      </c>
    </row>
    <row r="1233" spans="1:14" x14ac:dyDescent="0.35">
      <c r="A1233" s="156" t="s">
        <v>542</v>
      </c>
      <c r="B1233" s="52">
        <v>44420</v>
      </c>
      <c r="C1233" s="156" t="s">
        <v>531</v>
      </c>
      <c r="D1233" s="156" t="s">
        <v>531</v>
      </c>
      <c r="E1233">
        <v>5313341</v>
      </c>
      <c r="F1233">
        <v>449882.7745</v>
      </c>
      <c r="G1233">
        <v>84.659800000000004</v>
      </c>
      <c r="H1233">
        <v>1.038956</v>
      </c>
      <c r="I1233">
        <v>1</v>
      </c>
      <c r="J1233" s="156">
        <v>1</v>
      </c>
      <c r="K1233">
        <v>1</v>
      </c>
      <c r="L1233">
        <v>1</v>
      </c>
      <c r="M1233">
        <v>1</v>
      </c>
      <c r="N1233">
        <v>1.038956</v>
      </c>
    </row>
    <row r="1234" spans="1:14" x14ac:dyDescent="0.35">
      <c r="A1234" s="156" t="s">
        <v>542</v>
      </c>
      <c r="B1234" s="52">
        <v>44421</v>
      </c>
      <c r="C1234" s="156" t="s">
        <v>531</v>
      </c>
      <c r="D1234" s="156" t="s">
        <v>531</v>
      </c>
      <c r="E1234">
        <v>5839188</v>
      </c>
      <c r="F1234">
        <v>477149.85090000002</v>
      </c>
      <c r="G1234">
        <v>81.725300000000004</v>
      </c>
      <c r="H1234">
        <v>0.94510000000000005</v>
      </c>
      <c r="I1234">
        <v>1</v>
      </c>
      <c r="J1234" s="156">
        <v>1</v>
      </c>
      <c r="K1234">
        <v>1</v>
      </c>
      <c r="L1234">
        <v>1</v>
      </c>
      <c r="M1234">
        <v>1</v>
      </c>
      <c r="N1234">
        <v>0.94510000000000005</v>
      </c>
    </row>
    <row r="1235" spans="1:14" x14ac:dyDescent="0.35">
      <c r="A1235" s="156" t="s">
        <v>542</v>
      </c>
      <c r="B1235" s="52">
        <v>44424</v>
      </c>
      <c r="C1235" s="156" t="s">
        <v>531</v>
      </c>
      <c r="D1235" s="156" t="s">
        <v>531</v>
      </c>
      <c r="E1235">
        <v>4708499</v>
      </c>
      <c r="F1235">
        <v>371438.73920000001</v>
      </c>
      <c r="G1235">
        <v>78.886799999999994</v>
      </c>
      <c r="H1235">
        <v>0.97589899999999996</v>
      </c>
      <c r="I1235">
        <v>1</v>
      </c>
      <c r="J1235" s="156">
        <v>1</v>
      </c>
      <c r="K1235">
        <v>1</v>
      </c>
      <c r="L1235">
        <v>1</v>
      </c>
      <c r="M1235">
        <v>1</v>
      </c>
      <c r="N1235">
        <v>0.97589899999999996</v>
      </c>
    </row>
    <row r="1236" spans="1:14" x14ac:dyDescent="0.35">
      <c r="A1236" s="156" t="s">
        <v>542</v>
      </c>
      <c r="B1236" s="52">
        <v>44425</v>
      </c>
      <c r="C1236" s="156" t="s">
        <v>531</v>
      </c>
      <c r="D1236" s="156" t="s">
        <v>531</v>
      </c>
      <c r="E1236">
        <v>3754579</v>
      </c>
      <c r="F1236">
        <v>296042.23749999999</v>
      </c>
      <c r="G1236">
        <v>78.853399999999993</v>
      </c>
      <c r="H1236">
        <v>1.0037990000000001</v>
      </c>
      <c r="I1236">
        <v>1</v>
      </c>
      <c r="J1236" s="156">
        <v>1</v>
      </c>
      <c r="K1236">
        <v>1</v>
      </c>
      <c r="L1236">
        <v>1</v>
      </c>
      <c r="M1236">
        <v>1</v>
      </c>
      <c r="N1236">
        <v>1.0037990000000001</v>
      </c>
    </row>
    <row r="1237" spans="1:14" x14ac:dyDescent="0.35">
      <c r="A1237" s="156" t="s">
        <v>542</v>
      </c>
      <c r="B1237" s="52">
        <v>44426</v>
      </c>
      <c r="C1237" s="156" t="s">
        <v>531</v>
      </c>
      <c r="D1237" s="156" t="s">
        <v>531</v>
      </c>
      <c r="E1237">
        <v>2683800</v>
      </c>
      <c r="F1237">
        <v>209227.14809999999</v>
      </c>
      <c r="G1237">
        <v>77.950599999999994</v>
      </c>
      <c r="H1237">
        <v>0.970225</v>
      </c>
      <c r="I1237">
        <v>1</v>
      </c>
      <c r="J1237" s="156">
        <v>1</v>
      </c>
      <c r="K1237">
        <v>1</v>
      </c>
      <c r="L1237">
        <v>1</v>
      </c>
      <c r="M1237">
        <v>1</v>
      </c>
      <c r="N1237">
        <v>0.970225</v>
      </c>
    </row>
    <row r="1238" spans="1:14" x14ac:dyDescent="0.35">
      <c r="A1238" s="156" t="s">
        <v>542</v>
      </c>
      <c r="B1238" s="52">
        <v>44427</v>
      </c>
      <c r="C1238" s="156" t="s">
        <v>531</v>
      </c>
      <c r="D1238" s="156" t="s">
        <v>531</v>
      </c>
      <c r="E1238">
        <v>2841736</v>
      </c>
      <c r="F1238">
        <v>216836.95989999999</v>
      </c>
      <c r="G1238">
        <v>76.287099999999995</v>
      </c>
      <c r="H1238">
        <v>0.98556600000000005</v>
      </c>
      <c r="I1238">
        <v>1</v>
      </c>
      <c r="J1238" s="156">
        <v>1</v>
      </c>
      <c r="K1238">
        <v>1</v>
      </c>
      <c r="L1238">
        <v>1</v>
      </c>
      <c r="M1238">
        <v>1</v>
      </c>
      <c r="N1238">
        <v>0.98556600000000005</v>
      </c>
    </row>
    <row r="1239" spans="1:14" x14ac:dyDescent="0.35">
      <c r="A1239" s="156" t="s">
        <v>542</v>
      </c>
      <c r="B1239" s="52">
        <v>44428</v>
      </c>
      <c r="C1239" s="156" t="s">
        <v>531</v>
      </c>
      <c r="D1239" s="156" t="s">
        <v>531</v>
      </c>
      <c r="E1239">
        <v>2150831</v>
      </c>
      <c r="F1239">
        <v>165198.27600000001</v>
      </c>
      <c r="G1239">
        <v>76.8095</v>
      </c>
      <c r="H1239">
        <v>1.01834</v>
      </c>
      <c r="I1239">
        <v>1</v>
      </c>
      <c r="J1239" s="156">
        <v>1</v>
      </c>
      <c r="K1239">
        <v>1</v>
      </c>
      <c r="L1239">
        <v>1</v>
      </c>
      <c r="M1239">
        <v>1</v>
      </c>
      <c r="N1239">
        <v>1.01834</v>
      </c>
    </row>
    <row r="1240" spans="1:14" x14ac:dyDescent="0.35">
      <c r="A1240" s="156" t="s">
        <v>542</v>
      </c>
      <c r="B1240" s="52">
        <v>44431</v>
      </c>
      <c r="C1240" s="156" t="s">
        <v>531</v>
      </c>
      <c r="D1240" s="156" t="s">
        <v>531</v>
      </c>
      <c r="E1240">
        <v>2116698</v>
      </c>
      <c r="F1240">
        <v>167591.95329999999</v>
      </c>
      <c r="G1240">
        <v>79.156899999999993</v>
      </c>
      <c r="H1240">
        <v>1.028634</v>
      </c>
      <c r="I1240">
        <v>1</v>
      </c>
      <c r="J1240" s="156">
        <v>1</v>
      </c>
      <c r="K1240">
        <v>1</v>
      </c>
      <c r="L1240">
        <v>1</v>
      </c>
      <c r="M1240">
        <v>1</v>
      </c>
      <c r="N1240">
        <v>1.028634</v>
      </c>
    </row>
    <row r="1241" spans="1:14" x14ac:dyDescent="0.35">
      <c r="A1241" s="156" t="s">
        <v>542</v>
      </c>
      <c r="B1241" s="52">
        <v>44432</v>
      </c>
      <c r="C1241" s="156" t="s">
        <v>531</v>
      </c>
      <c r="D1241" s="156" t="s">
        <v>531</v>
      </c>
      <c r="E1241">
        <v>2766560</v>
      </c>
      <c r="F1241">
        <v>223940.21109999999</v>
      </c>
      <c r="G1241">
        <v>80.935699999999997</v>
      </c>
      <c r="H1241">
        <v>1.015493</v>
      </c>
      <c r="I1241">
        <v>1</v>
      </c>
      <c r="J1241" s="156">
        <v>1</v>
      </c>
      <c r="K1241">
        <v>1</v>
      </c>
      <c r="L1241">
        <v>1</v>
      </c>
      <c r="M1241">
        <v>1</v>
      </c>
      <c r="N1241">
        <v>1.015493</v>
      </c>
    </row>
    <row r="1242" spans="1:14" x14ac:dyDescent="0.35">
      <c r="A1242" s="156" t="s">
        <v>542</v>
      </c>
      <c r="B1242" s="52">
        <v>44433</v>
      </c>
      <c r="C1242" s="156" t="s">
        <v>531</v>
      </c>
      <c r="D1242" s="156" t="s">
        <v>531</v>
      </c>
      <c r="E1242">
        <v>1804858</v>
      </c>
      <c r="F1242">
        <v>144576.7219</v>
      </c>
      <c r="G1242">
        <v>80.108900000000006</v>
      </c>
      <c r="H1242">
        <v>0.99305399999999999</v>
      </c>
      <c r="I1242">
        <v>1</v>
      </c>
      <c r="J1242" s="156">
        <v>1</v>
      </c>
      <c r="K1242">
        <v>1</v>
      </c>
      <c r="L1242">
        <v>1</v>
      </c>
      <c r="M1242">
        <v>1</v>
      </c>
      <c r="N1242">
        <v>0.99305399999999999</v>
      </c>
    </row>
    <row r="1243" spans="1:14" x14ac:dyDescent="0.35">
      <c r="A1243" s="156" t="s">
        <v>542</v>
      </c>
      <c r="B1243" s="52">
        <v>44434</v>
      </c>
      <c r="C1243" s="156" t="s">
        <v>531</v>
      </c>
      <c r="D1243" s="156" t="s">
        <v>531</v>
      </c>
      <c r="E1243">
        <v>2024672</v>
      </c>
      <c r="F1243">
        <v>160512.08420000001</v>
      </c>
      <c r="G1243">
        <v>79.285200000000003</v>
      </c>
      <c r="H1243">
        <v>0.97951500000000002</v>
      </c>
      <c r="I1243">
        <v>1</v>
      </c>
      <c r="J1243" s="156">
        <v>1</v>
      </c>
      <c r="K1243">
        <v>1</v>
      </c>
      <c r="L1243">
        <v>1</v>
      </c>
      <c r="M1243">
        <v>1</v>
      </c>
      <c r="N1243">
        <v>0.97951500000000002</v>
      </c>
    </row>
    <row r="1244" spans="1:14" x14ac:dyDescent="0.35">
      <c r="A1244" s="156" t="s">
        <v>542</v>
      </c>
      <c r="B1244" s="52">
        <v>44435</v>
      </c>
      <c r="C1244" s="156" t="s">
        <v>531</v>
      </c>
      <c r="D1244" s="156" t="s">
        <v>531</v>
      </c>
      <c r="E1244">
        <v>2494626</v>
      </c>
      <c r="F1244">
        <v>200524.23579999999</v>
      </c>
      <c r="G1244">
        <v>80.3703</v>
      </c>
      <c r="H1244">
        <v>1.027544</v>
      </c>
      <c r="I1244">
        <v>1</v>
      </c>
      <c r="J1244" s="156">
        <v>1</v>
      </c>
      <c r="K1244">
        <v>1</v>
      </c>
      <c r="L1244">
        <v>1</v>
      </c>
      <c r="M1244">
        <v>1</v>
      </c>
      <c r="N1244">
        <v>1.027544</v>
      </c>
    </row>
    <row r="1245" spans="1:14" x14ac:dyDescent="0.35">
      <c r="A1245" s="156" t="s">
        <v>542</v>
      </c>
      <c r="B1245" s="52">
        <v>44438</v>
      </c>
      <c r="C1245" s="156" t="s">
        <v>531</v>
      </c>
      <c r="D1245" s="156" t="s">
        <v>531</v>
      </c>
      <c r="E1245">
        <v>5011318</v>
      </c>
      <c r="F1245">
        <v>406853.29629999999</v>
      </c>
      <c r="G1245">
        <v>81.189400000000006</v>
      </c>
      <c r="H1245">
        <v>1.0016130000000001</v>
      </c>
      <c r="I1245">
        <v>1</v>
      </c>
      <c r="J1245" s="156">
        <v>1</v>
      </c>
      <c r="K1245">
        <v>1</v>
      </c>
      <c r="L1245">
        <v>1</v>
      </c>
      <c r="M1245">
        <v>1</v>
      </c>
      <c r="N1245">
        <v>1.0016130000000001</v>
      </c>
    </row>
    <row r="1246" spans="1:14" x14ac:dyDescent="0.35">
      <c r="A1246" s="156" t="s">
        <v>542</v>
      </c>
      <c r="B1246" s="52">
        <v>44439</v>
      </c>
      <c r="C1246" s="156" t="s">
        <v>531</v>
      </c>
      <c r="D1246" s="156" t="s">
        <v>531</v>
      </c>
      <c r="E1246">
        <v>2713243</v>
      </c>
      <c r="F1246">
        <v>217406.2402</v>
      </c>
      <c r="G1246">
        <v>80.118799999999993</v>
      </c>
      <c r="H1246">
        <v>0.99182300000000001</v>
      </c>
      <c r="I1246">
        <v>1</v>
      </c>
      <c r="J1246" s="156">
        <v>1</v>
      </c>
      <c r="K1246">
        <v>1</v>
      </c>
      <c r="L1246">
        <v>1</v>
      </c>
      <c r="M1246">
        <v>1</v>
      </c>
      <c r="N1246">
        <v>0.99182300000000001</v>
      </c>
    </row>
    <row r="1247" spans="1:14" x14ac:dyDescent="0.35">
      <c r="A1247" s="156" t="s">
        <v>542</v>
      </c>
      <c r="B1247" s="52">
        <v>44440</v>
      </c>
      <c r="C1247" s="156" t="s">
        <v>531</v>
      </c>
      <c r="D1247" s="156" t="s">
        <v>531</v>
      </c>
      <c r="E1247">
        <v>2523578</v>
      </c>
      <c r="F1247">
        <v>201161.75959999999</v>
      </c>
      <c r="G1247">
        <v>79.711500000000001</v>
      </c>
      <c r="H1247">
        <v>0.99325399999999997</v>
      </c>
      <c r="I1247">
        <v>1</v>
      </c>
      <c r="J1247" s="156">
        <v>1</v>
      </c>
      <c r="K1247">
        <v>1</v>
      </c>
      <c r="L1247">
        <v>1</v>
      </c>
      <c r="M1247">
        <v>1</v>
      </c>
      <c r="N1247">
        <v>0.99325399999999997</v>
      </c>
    </row>
    <row r="1248" spans="1:14" x14ac:dyDescent="0.35">
      <c r="A1248" s="156" t="s">
        <v>542</v>
      </c>
      <c r="B1248" s="52">
        <v>44441</v>
      </c>
      <c r="C1248" s="156" t="s">
        <v>531</v>
      </c>
      <c r="D1248" s="156" t="s">
        <v>531</v>
      </c>
      <c r="E1248">
        <v>2821261</v>
      </c>
      <c r="F1248">
        <v>221728.11410000001</v>
      </c>
      <c r="G1248">
        <v>78.604699999999994</v>
      </c>
      <c r="H1248">
        <v>0.98126000000000002</v>
      </c>
      <c r="I1248">
        <v>1</v>
      </c>
      <c r="J1248" s="156">
        <v>1</v>
      </c>
      <c r="K1248">
        <v>1</v>
      </c>
      <c r="L1248">
        <v>1</v>
      </c>
      <c r="M1248">
        <v>1</v>
      </c>
      <c r="N1248">
        <v>0.98126000000000002</v>
      </c>
    </row>
    <row r="1249" spans="1:14" x14ac:dyDescent="0.35">
      <c r="A1249" s="156" t="s">
        <v>542</v>
      </c>
      <c r="B1249" s="52">
        <v>44442</v>
      </c>
      <c r="C1249" s="156" t="s">
        <v>531</v>
      </c>
      <c r="D1249" s="156" t="s">
        <v>531</v>
      </c>
      <c r="E1249">
        <v>2417708</v>
      </c>
      <c r="F1249">
        <v>188993.02369999999</v>
      </c>
      <c r="G1249">
        <v>78.162000000000006</v>
      </c>
      <c r="H1249">
        <v>1.0023070000000001</v>
      </c>
      <c r="I1249">
        <v>1</v>
      </c>
      <c r="J1249" s="156">
        <v>1</v>
      </c>
      <c r="K1249">
        <v>1</v>
      </c>
      <c r="L1249">
        <v>1</v>
      </c>
      <c r="M1249">
        <v>1</v>
      </c>
      <c r="N1249">
        <v>1.0023070000000001</v>
      </c>
    </row>
    <row r="1250" spans="1:14" x14ac:dyDescent="0.35">
      <c r="A1250" s="156" t="s">
        <v>542</v>
      </c>
      <c r="B1250" s="52">
        <v>44446</v>
      </c>
      <c r="C1250" s="156" t="s">
        <v>531</v>
      </c>
      <c r="D1250" s="156" t="s">
        <v>531</v>
      </c>
      <c r="E1250">
        <v>3549345</v>
      </c>
      <c r="F1250">
        <v>269771.98739999998</v>
      </c>
      <c r="G1250">
        <v>76.002899999999997</v>
      </c>
      <c r="H1250">
        <v>0.96265999999999996</v>
      </c>
      <c r="I1250">
        <v>1</v>
      </c>
      <c r="J1250" s="156">
        <v>1</v>
      </c>
      <c r="K1250">
        <v>1</v>
      </c>
      <c r="L1250">
        <v>1</v>
      </c>
      <c r="M1250">
        <v>1</v>
      </c>
      <c r="N1250">
        <v>0.96265999999999996</v>
      </c>
    </row>
    <row r="1251" spans="1:14" x14ac:dyDescent="0.35">
      <c r="A1251" s="156" t="s">
        <v>542</v>
      </c>
      <c r="B1251" s="52">
        <v>44447</v>
      </c>
      <c r="C1251" s="156" t="s">
        <v>531</v>
      </c>
      <c r="D1251" s="156" t="s">
        <v>531</v>
      </c>
      <c r="E1251">
        <v>4783923</v>
      </c>
      <c r="F1251">
        <v>349416.92550000001</v>
      </c>
      <c r="G1251">
        <v>73.043099999999995</v>
      </c>
      <c r="H1251">
        <v>0.96041399999999999</v>
      </c>
      <c r="I1251">
        <v>1</v>
      </c>
      <c r="J1251" s="156">
        <v>1</v>
      </c>
      <c r="K1251">
        <v>1</v>
      </c>
      <c r="L1251">
        <v>1</v>
      </c>
      <c r="M1251">
        <v>1</v>
      </c>
      <c r="N1251">
        <v>0.96041399999999999</v>
      </c>
    </row>
    <row r="1252" spans="1:14" x14ac:dyDescent="0.35">
      <c r="A1252" s="156" t="s">
        <v>542</v>
      </c>
      <c r="B1252" s="52">
        <v>44448</v>
      </c>
      <c r="C1252" s="156" t="s">
        <v>531</v>
      </c>
      <c r="D1252" s="156" t="s">
        <v>531</v>
      </c>
      <c r="E1252">
        <v>3447675</v>
      </c>
      <c r="F1252">
        <v>250736.42749999999</v>
      </c>
      <c r="G1252">
        <v>72.7196</v>
      </c>
      <c r="H1252">
        <v>1.0071920000000001</v>
      </c>
      <c r="I1252">
        <v>1</v>
      </c>
      <c r="J1252" s="156">
        <v>1</v>
      </c>
      <c r="K1252">
        <v>1</v>
      </c>
      <c r="L1252">
        <v>1</v>
      </c>
      <c r="M1252">
        <v>1</v>
      </c>
      <c r="N1252">
        <v>1.0071920000000001</v>
      </c>
    </row>
    <row r="1253" spans="1:14" x14ac:dyDescent="0.35">
      <c r="A1253" s="156" t="s">
        <v>542</v>
      </c>
      <c r="B1253" s="52">
        <v>44449</v>
      </c>
      <c r="C1253" s="156" t="s">
        <v>531</v>
      </c>
      <c r="D1253" s="156" t="s">
        <v>531</v>
      </c>
      <c r="E1253">
        <v>2619814</v>
      </c>
      <c r="F1253">
        <v>192479.74559999999</v>
      </c>
      <c r="G1253">
        <v>73.472800000000007</v>
      </c>
      <c r="H1253">
        <v>0.99945099999999998</v>
      </c>
      <c r="I1253">
        <v>1</v>
      </c>
      <c r="J1253" s="156">
        <v>1</v>
      </c>
      <c r="K1253">
        <v>1</v>
      </c>
      <c r="L1253">
        <v>1</v>
      </c>
      <c r="M1253">
        <v>1</v>
      </c>
      <c r="N1253">
        <v>0.99945099999999998</v>
      </c>
    </row>
    <row r="1254" spans="1:14" x14ac:dyDescent="0.35">
      <c r="A1254" s="156" t="s">
        <v>542</v>
      </c>
      <c r="B1254" s="52">
        <v>44452</v>
      </c>
      <c r="C1254" s="156" t="s">
        <v>531</v>
      </c>
      <c r="D1254" s="156" t="s">
        <v>531</v>
      </c>
      <c r="E1254">
        <v>4137167</v>
      </c>
      <c r="F1254">
        <v>292761.75709999999</v>
      </c>
      <c r="G1254">
        <v>70.777600000000007</v>
      </c>
      <c r="H1254">
        <v>0.97829100000000002</v>
      </c>
      <c r="I1254">
        <v>1</v>
      </c>
      <c r="J1254" s="156">
        <v>1</v>
      </c>
      <c r="K1254">
        <v>1</v>
      </c>
      <c r="L1254">
        <v>1</v>
      </c>
      <c r="M1254">
        <v>1</v>
      </c>
      <c r="N1254">
        <v>0.97829100000000002</v>
      </c>
    </row>
    <row r="1255" spans="1:14" x14ac:dyDescent="0.35">
      <c r="A1255" s="156" t="s">
        <v>542</v>
      </c>
      <c r="B1255" s="52">
        <v>44453</v>
      </c>
      <c r="C1255" s="156" t="s">
        <v>531</v>
      </c>
      <c r="D1255" s="156" t="s">
        <v>531</v>
      </c>
      <c r="E1255">
        <v>2881491</v>
      </c>
      <c r="F1255">
        <v>206096.3063</v>
      </c>
      <c r="G1255">
        <v>71.548299999999998</v>
      </c>
      <c r="H1255">
        <v>0.99480299999999999</v>
      </c>
      <c r="I1255">
        <v>1</v>
      </c>
      <c r="J1255" s="156">
        <v>1</v>
      </c>
      <c r="K1255">
        <v>1</v>
      </c>
      <c r="L1255">
        <v>1</v>
      </c>
      <c r="M1255">
        <v>1</v>
      </c>
      <c r="N1255">
        <v>0.99480299999999999</v>
      </c>
    </row>
    <row r="1256" spans="1:14" x14ac:dyDescent="0.35">
      <c r="A1256" s="156" t="s">
        <v>542</v>
      </c>
      <c r="B1256" s="52">
        <v>44454</v>
      </c>
      <c r="C1256" s="156" t="s">
        <v>531</v>
      </c>
      <c r="D1256" s="156" t="s">
        <v>531</v>
      </c>
      <c r="E1256">
        <v>3011286</v>
      </c>
      <c r="F1256">
        <v>212004.07130000001</v>
      </c>
      <c r="G1256">
        <v>70.422600000000003</v>
      </c>
      <c r="H1256">
        <v>0.99985900000000005</v>
      </c>
      <c r="I1256">
        <v>1</v>
      </c>
      <c r="J1256" s="156">
        <v>1</v>
      </c>
      <c r="K1256">
        <v>1</v>
      </c>
      <c r="L1256">
        <v>1</v>
      </c>
      <c r="M1256">
        <v>1</v>
      </c>
      <c r="N1256">
        <v>0.99985900000000005</v>
      </c>
    </row>
    <row r="1257" spans="1:14" x14ac:dyDescent="0.35">
      <c r="A1257" s="156" t="s">
        <v>542</v>
      </c>
      <c r="B1257" s="52">
        <v>44455</v>
      </c>
      <c r="C1257" s="156" t="s">
        <v>531</v>
      </c>
      <c r="D1257" s="156" t="s">
        <v>531</v>
      </c>
      <c r="E1257">
        <v>3244881</v>
      </c>
      <c r="F1257">
        <v>235037.40839999999</v>
      </c>
      <c r="G1257">
        <v>72.424099999999996</v>
      </c>
      <c r="H1257">
        <v>1.033606</v>
      </c>
      <c r="I1257">
        <v>1</v>
      </c>
      <c r="J1257" s="156">
        <v>1</v>
      </c>
      <c r="K1257">
        <v>1</v>
      </c>
      <c r="L1257">
        <v>1</v>
      </c>
      <c r="M1257">
        <v>1</v>
      </c>
      <c r="N1257">
        <v>1.033606</v>
      </c>
    </row>
    <row r="1258" spans="1:14" x14ac:dyDescent="0.35">
      <c r="A1258" s="156" t="s">
        <v>542</v>
      </c>
      <c r="B1258" s="52">
        <v>44456</v>
      </c>
      <c r="C1258" s="156" t="s">
        <v>531</v>
      </c>
      <c r="D1258" s="156" t="s">
        <v>531</v>
      </c>
      <c r="E1258">
        <v>4109165</v>
      </c>
      <c r="F1258">
        <v>298431.60950000002</v>
      </c>
      <c r="G1258">
        <v>72.623099999999994</v>
      </c>
      <c r="H1258">
        <v>0.99153000000000002</v>
      </c>
      <c r="I1258">
        <v>1</v>
      </c>
      <c r="J1258" s="156">
        <v>1</v>
      </c>
      <c r="K1258">
        <v>1</v>
      </c>
      <c r="L1258">
        <v>1</v>
      </c>
      <c r="M1258">
        <v>1</v>
      </c>
      <c r="N1258">
        <v>0.99153000000000002</v>
      </c>
    </row>
    <row r="1259" spans="1:14" x14ac:dyDescent="0.35">
      <c r="A1259" s="156" t="s">
        <v>542</v>
      </c>
      <c r="B1259" s="52">
        <v>44459</v>
      </c>
      <c r="C1259" s="156" t="s">
        <v>531</v>
      </c>
      <c r="D1259" s="156" t="s">
        <v>531</v>
      </c>
      <c r="E1259">
        <v>3315973</v>
      </c>
      <c r="F1259">
        <v>231204.18640000001</v>
      </c>
      <c r="G1259">
        <v>69.733099999999993</v>
      </c>
      <c r="H1259">
        <v>0.96045700000000001</v>
      </c>
      <c r="I1259">
        <v>1</v>
      </c>
      <c r="J1259" s="156">
        <v>1</v>
      </c>
      <c r="K1259">
        <v>1</v>
      </c>
      <c r="L1259">
        <v>1</v>
      </c>
      <c r="M1259">
        <v>1</v>
      </c>
      <c r="N1259">
        <v>0.96045700000000001</v>
      </c>
    </row>
    <row r="1260" spans="1:14" x14ac:dyDescent="0.35">
      <c r="A1260" s="156" t="s">
        <v>542</v>
      </c>
      <c r="B1260" s="52">
        <v>44460</v>
      </c>
      <c r="C1260" s="156" t="s">
        <v>531</v>
      </c>
      <c r="D1260" s="156" t="s">
        <v>531</v>
      </c>
      <c r="E1260">
        <v>2878767</v>
      </c>
      <c r="F1260">
        <v>207237.3823</v>
      </c>
      <c r="G1260">
        <v>71.971999999999994</v>
      </c>
      <c r="H1260">
        <v>1.034859</v>
      </c>
      <c r="I1260">
        <v>1</v>
      </c>
      <c r="J1260" s="156">
        <v>1</v>
      </c>
      <c r="K1260">
        <v>1</v>
      </c>
      <c r="L1260">
        <v>1</v>
      </c>
      <c r="M1260">
        <v>1</v>
      </c>
      <c r="N1260">
        <v>1.034859</v>
      </c>
    </row>
    <row r="1261" spans="1:14" x14ac:dyDescent="0.35">
      <c r="A1261" s="156" t="s">
        <v>542</v>
      </c>
      <c r="B1261" s="52">
        <v>44461</v>
      </c>
      <c r="C1261" s="156" t="s">
        <v>531</v>
      </c>
      <c r="D1261" s="156" t="s">
        <v>531</v>
      </c>
      <c r="E1261">
        <v>4015270</v>
      </c>
      <c r="F1261">
        <v>300235.95319999999</v>
      </c>
      <c r="G1261">
        <v>74.774000000000001</v>
      </c>
      <c r="H1261">
        <v>1.047685</v>
      </c>
      <c r="I1261">
        <v>1</v>
      </c>
      <c r="J1261" s="156">
        <v>1</v>
      </c>
      <c r="K1261">
        <v>1</v>
      </c>
      <c r="L1261">
        <v>1</v>
      </c>
      <c r="M1261">
        <v>1</v>
      </c>
      <c r="N1261">
        <v>1.047685</v>
      </c>
    </row>
    <row r="1262" spans="1:14" x14ac:dyDescent="0.35">
      <c r="A1262" s="156" t="s">
        <v>542</v>
      </c>
      <c r="B1262" s="52">
        <v>44462</v>
      </c>
      <c r="C1262" s="156" t="s">
        <v>531</v>
      </c>
      <c r="D1262" s="156" t="s">
        <v>531</v>
      </c>
      <c r="E1262">
        <v>2755986</v>
      </c>
      <c r="F1262">
        <v>210902.0018</v>
      </c>
      <c r="G1262">
        <v>76.533799999999999</v>
      </c>
      <c r="H1262">
        <v>1.0108490000000001</v>
      </c>
      <c r="I1262">
        <v>1</v>
      </c>
      <c r="J1262" s="156">
        <v>1</v>
      </c>
      <c r="K1262">
        <v>1</v>
      </c>
      <c r="L1262">
        <v>1</v>
      </c>
      <c r="M1262">
        <v>1</v>
      </c>
      <c r="N1262">
        <v>1.0108490000000001</v>
      </c>
    </row>
    <row r="1263" spans="1:14" x14ac:dyDescent="0.35">
      <c r="A1263" s="156" t="s">
        <v>542</v>
      </c>
      <c r="B1263" s="52">
        <v>44463</v>
      </c>
      <c r="C1263" s="156" t="s">
        <v>531</v>
      </c>
      <c r="D1263" s="156" t="s">
        <v>531</v>
      </c>
      <c r="E1263">
        <v>2252699</v>
      </c>
      <c r="F1263">
        <v>170652.3934</v>
      </c>
      <c r="G1263">
        <v>75.773899999999998</v>
      </c>
      <c r="H1263">
        <v>1.000785</v>
      </c>
      <c r="I1263">
        <v>1</v>
      </c>
      <c r="J1263" s="156">
        <v>1</v>
      </c>
      <c r="K1263">
        <v>1</v>
      </c>
      <c r="L1263">
        <v>1</v>
      </c>
      <c r="M1263">
        <v>1</v>
      </c>
      <c r="N1263">
        <v>1.000785</v>
      </c>
    </row>
    <row r="1264" spans="1:14" x14ac:dyDescent="0.35">
      <c r="A1264" s="156" t="s">
        <v>542</v>
      </c>
      <c r="B1264" s="52">
        <v>44466</v>
      </c>
      <c r="C1264" s="156" t="s">
        <v>531</v>
      </c>
      <c r="D1264" s="156" t="s">
        <v>531</v>
      </c>
      <c r="E1264">
        <v>2396059</v>
      </c>
      <c r="F1264">
        <v>180885.2341</v>
      </c>
      <c r="G1264">
        <v>75.501800000000003</v>
      </c>
      <c r="H1264">
        <v>0.99123700000000003</v>
      </c>
      <c r="I1264">
        <v>1</v>
      </c>
      <c r="J1264" s="156">
        <v>1</v>
      </c>
      <c r="K1264">
        <v>1</v>
      </c>
      <c r="L1264">
        <v>1</v>
      </c>
      <c r="M1264">
        <v>1</v>
      </c>
      <c r="N1264">
        <v>0.99123700000000003</v>
      </c>
    </row>
    <row r="1265" spans="1:14" x14ac:dyDescent="0.35">
      <c r="A1265" s="156" t="s">
        <v>542</v>
      </c>
      <c r="B1265" s="52">
        <v>44467</v>
      </c>
      <c r="C1265" s="156" t="s">
        <v>531</v>
      </c>
      <c r="D1265" s="156" t="s">
        <v>531</v>
      </c>
      <c r="E1265">
        <v>5598865</v>
      </c>
      <c r="F1265">
        <v>394531.05160000001</v>
      </c>
      <c r="G1265">
        <v>70.484099999999998</v>
      </c>
      <c r="H1265">
        <v>0.91397300000000004</v>
      </c>
      <c r="I1265">
        <v>1</v>
      </c>
      <c r="J1265" s="156">
        <v>1</v>
      </c>
      <c r="K1265">
        <v>1</v>
      </c>
      <c r="L1265">
        <v>1</v>
      </c>
      <c r="M1265">
        <v>1</v>
      </c>
      <c r="N1265">
        <v>0.91397300000000004</v>
      </c>
    </row>
    <row r="1266" spans="1:14" x14ac:dyDescent="0.35">
      <c r="A1266" s="156" t="s">
        <v>542</v>
      </c>
      <c r="B1266" s="52">
        <v>44468</v>
      </c>
      <c r="C1266" s="156" t="s">
        <v>531</v>
      </c>
      <c r="D1266" s="156" t="s">
        <v>531</v>
      </c>
      <c r="E1266">
        <v>3416844</v>
      </c>
      <c r="F1266">
        <v>235282.5105</v>
      </c>
      <c r="G1266">
        <v>68.8476</v>
      </c>
      <c r="H1266">
        <v>0.97892299999999999</v>
      </c>
      <c r="I1266">
        <v>1</v>
      </c>
      <c r="J1266" s="156">
        <v>1</v>
      </c>
      <c r="K1266">
        <v>1</v>
      </c>
      <c r="L1266">
        <v>1</v>
      </c>
      <c r="M1266">
        <v>1</v>
      </c>
      <c r="N1266">
        <v>0.97892299999999999</v>
      </c>
    </row>
    <row r="1267" spans="1:14" x14ac:dyDescent="0.35">
      <c r="A1267" s="156" t="s">
        <v>542</v>
      </c>
      <c r="B1267" s="52">
        <v>44469</v>
      </c>
      <c r="C1267" s="156" t="s">
        <v>531</v>
      </c>
      <c r="D1267" s="156" t="s">
        <v>531</v>
      </c>
      <c r="E1267">
        <v>3755823</v>
      </c>
      <c r="F1267">
        <v>261703.81529999999</v>
      </c>
      <c r="G1267">
        <v>69.674000000000007</v>
      </c>
      <c r="H1267">
        <v>1.0367200000000001</v>
      </c>
      <c r="I1267">
        <v>1</v>
      </c>
      <c r="J1267" s="156">
        <v>1</v>
      </c>
      <c r="K1267">
        <v>1</v>
      </c>
      <c r="L1267">
        <v>1</v>
      </c>
      <c r="M1267">
        <v>1</v>
      </c>
      <c r="N1267">
        <v>1.0367200000000001</v>
      </c>
    </row>
    <row r="1268" spans="1:14" x14ac:dyDescent="0.35">
      <c r="A1268" s="156" t="s">
        <v>542</v>
      </c>
      <c r="B1268" s="52">
        <v>44470</v>
      </c>
      <c r="C1268" s="156" t="s">
        <v>531</v>
      </c>
      <c r="D1268" s="156" t="s">
        <v>531</v>
      </c>
      <c r="E1268">
        <v>1971856</v>
      </c>
      <c r="F1268">
        <v>138032.60320000001</v>
      </c>
      <c r="G1268">
        <v>70.022900000000007</v>
      </c>
      <c r="H1268">
        <v>1.0017069999999999</v>
      </c>
      <c r="I1268">
        <v>1</v>
      </c>
      <c r="J1268" s="156">
        <v>1</v>
      </c>
      <c r="K1268">
        <v>1</v>
      </c>
      <c r="L1268">
        <v>1</v>
      </c>
      <c r="M1268">
        <v>1</v>
      </c>
      <c r="N1268">
        <v>1.0017069999999999</v>
      </c>
    </row>
    <row r="1269" spans="1:14" x14ac:dyDescent="0.35">
      <c r="A1269" s="156" t="s">
        <v>542</v>
      </c>
      <c r="B1269" s="52">
        <v>44473</v>
      </c>
      <c r="C1269" s="156" t="s">
        <v>531</v>
      </c>
      <c r="D1269" s="156" t="s">
        <v>531</v>
      </c>
      <c r="E1269">
        <v>5402154</v>
      </c>
      <c r="F1269">
        <v>358587.97090000001</v>
      </c>
      <c r="G1269">
        <v>66.388499999999993</v>
      </c>
      <c r="H1269">
        <v>0.93766000000000005</v>
      </c>
      <c r="I1269">
        <v>1</v>
      </c>
      <c r="J1269" s="156">
        <v>1</v>
      </c>
      <c r="K1269">
        <v>1</v>
      </c>
      <c r="L1269">
        <v>1</v>
      </c>
      <c r="M1269">
        <v>1</v>
      </c>
      <c r="N1269">
        <v>0.93766000000000005</v>
      </c>
    </row>
    <row r="1270" spans="1:14" x14ac:dyDescent="0.35">
      <c r="A1270" s="156" t="s">
        <v>542</v>
      </c>
      <c r="B1270" s="52">
        <v>44474</v>
      </c>
      <c r="C1270" s="156" t="s">
        <v>531</v>
      </c>
      <c r="D1270" s="156" t="s">
        <v>531</v>
      </c>
      <c r="E1270">
        <v>2692869</v>
      </c>
      <c r="F1270">
        <v>181937.42290000001</v>
      </c>
      <c r="G1270">
        <v>67.556700000000006</v>
      </c>
      <c r="H1270">
        <v>1.0237769999999999</v>
      </c>
      <c r="I1270">
        <v>1</v>
      </c>
      <c r="J1270" s="156">
        <v>1</v>
      </c>
      <c r="K1270">
        <v>1</v>
      </c>
      <c r="L1270">
        <v>1</v>
      </c>
      <c r="M1270">
        <v>1</v>
      </c>
      <c r="N1270">
        <v>1.0237769999999999</v>
      </c>
    </row>
    <row r="1271" spans="1:14" x14ac:dyDescent="0.35">
      <c r="A1271" s="156" t="s">
        <v>542</v>
      </c>
      <c r="B1271" s="52">
        <v>44475</v>
      </c>
      <c r="C1271" s="156" t="s">
        <v>531</v>
      </c>
      <c r="D1271" s="156" t="s">
        <v>531</v>
      </c>
      <c r="E1271">
        <v>2604006</v>
      </c>
      <c r="F1271">
        <v>178378.43280000001</v>
      </c>
      <c r="G1271">
        <v>68.486999999999995</v>
      </c>
      <c r="H1271">
        <v>1.0102070000000001</v>
      </c>
      <c r="I1271">
        <v>1</v>
      </c>
      <c r="J1271" s="156">
        <v>1</v>
      </c>
      <c r="K1271">
        <v>1</v>
      </c>
      <c r="L1271">
        <v>1</v>
      </c>
      <c r="M1271">
        <v>1</v>
      </c>
      <c r="N1271">
        <v>1.0102070000000001</v>
      </c>
    </row>
    <row r="1272" spans="1:14" x14ac:dyDescent="0.35">
      <c r="A1272" s="156" t="s">
        <v>542</v>
      </c>
      <c r="B1272" s="52">
        <v>44476</v>
      </c>
      <c r="C1272" s="156" t="s">
        <v>531</v>
      </c>
      <c r="D1272" s="156" t="s">
        <v>531</v>
      </c>
      <c r="E1272">
        <v>2650243</v>
      </c>
      <c r="F1272">
        <v>186627.63860000001</v>
      </c>
      <c r="G1272">
        <v>70.415800000000004</v>
      </c>
      <c r="H1272">
        <v>1.031191</v>
      </c>
      <c r="I1272">
        <v>1</v>
      </c>
      <c r="J1272" s="156">
        <v>1</v>
      </c>
      <c r="K1272">
        <v>1</v>
      </c>
      <c r="L1272">
        <v>1</v>
      </c>
      <c r="M1272">
        <v>1</v>
      </c>
      <c r="N1272">
        <v>1.031191</v>
      </c>
    </row>
    <row r="1273" spans="1:14" x14ac:dyDescent="0.35">
      <c r="A1273" s="156" t="s">
        <v>542</v>
      </c>
      <c r="B1273" s="52">
        <v>44477</v>
      </c>
      <c r="C1273" s="156" t="s">
        <v>531</v>
      </c>
      <c r="D1273" s="156" t="s">
        <v>531</v>
      </c>
      <c r="E1273">
        <v>3482253</v>
      </c>
      <c r="F1273">
        <v>246824.86319999999</v>
      </c>
      <c r="G1273">
        <v>70.886799999999994</v>
      </c>
      <c r="H1273">
        <v>1.0082359999999999</v>
      </c>
      <c r="I1273">
        <v>1</v>
      </c>
      <c r="J1273" s="156">
        <v>1</v>
      </c>
      <c r="K1273">
        <v>1</v>
      </c>
      <c r="L1273">
        <v>1</v>
      </c>
      <c r="M1273">
        <v>1</v>
      </c>
      <c r="N1273">
        <v>1.0082359999999999</v>
      </c>
    </row>
    <row r="1274" spans="1:14" x14ac:dyDescent="0.35">
      <c r="A1274" s="156" t="s">
        <v>542</v>
      </c>
      <c r="B1274" s="52">
        <v>44480</v>
      </c>
      <c r="C1274" s="156" t="s">
        <v>531</v>
      </c>
      <c r="D1274" s="156" t="s">
        <v>531</v>
      </c>
      <c r="E1274">
        <v>2048803</v>
      </c>
      <c r="F1274">
        <v>145887.92689999999</v>
      </c>
      <c r="G1274">
        <v>71.188999999999993</v>
      </c>
      <c r="H1274">
        <v>0.99605600000000005</v>
      </c>
      <c r="I1274">
        <v>1</v>
      </c>
      <c r="J1274" s="156">
        <v>1</v>
      </c>
      <c r="K1274">
        <v>1</v>
      </c>
      <c r="L1274">
        <v>1</v>
      </c>
      <c r="M1274">
        <v>1</v>
      </c>
      <c r="N1274">
        <v>0.99605600000000005</v>
      </c>
    </row>
    <row r="1275" spans="1:14" x14ac:dyDescent="0.35">
      <c r="A1275" s="156" t="s">
        <v>542</v>
      </c>
      <c r="B1275" s="52">
        <v>44481</v>
      </c>
      <c r="C1275" s="156" t="s">
        <v>531</v>
      </c>
      <c r="D1275" s="156" t="s">
        <v>531</v>
      </c>
      <c r="E1275">
        <v>2702923</v>
      </c>
      <c r="F1275">
        <v>195034.68309999999</v>
      </c>
      <c r="G1275">
        <v>72.137100000000004</v>
      </c>
      <c r="H1275">
        <v>1.028705</v>
      </c>
      <c r="I1275">
        <v>1</v>
      </c>
      <c r="J1275" s="156">
        <v>1</v>
      </c>
      <c r="K1275">
        <v>1</v>
      </c>
      <c r="L1275">
        <v>1</v>
      </c>
      <c r="M1275">
        <v>1</v>
      </c>
      <c r="N1275">
        <v>1.028705</v>
      </c>
    </row>
    <row r="1276" spans="1:14" x14ac:dyDescent="0.35">
      <c r="A1276" s="156" t="s">
        <v>542</v>
      </c>
      <c r="B1276" s="52">
        <v>44482</v>
      </c>
      <c r="C1276" s="156" t="s">
        <v>531</v>
      </c>
      <c r="D1276" s="156" t="s">
        <v>531</v>
      </c>
      <c r="E1276">
        <v>3860430</v>
      </c>
      <c r="F1276">
        <v>290035.65840000001</v>
      </c>
      <c r="G1276">
        <v>75.128299999999996</v>
      </c>
      <c r="H1276">
        <v>1.0408249999999999</v>
      </c>
      <c r="I1276">
        <v>1</v>
      </c>
      <c r="J1276" s="156">
        <v>1</v>
      </c>
      <c r="K1276">
        <v>1</v>
      </c>
      <c r="L1276">
        <v>1</v>
      </c>
      <c r="M1276">
        <v>1</v>
      </c>
      <c r="N1276">
        <v>1.0408249999999999</v>
      </c>
    </row>
    <row r="1277" spans="1:14" x14ac:dyDescent="0.35">
      <c r="A1277" s="156" t="s">
        <v>542</v>
      </c>
      <c r="B1277" s="52">
        <v>44483</v>
      </c>
      <c r="C1277" s="156" t="s">
        <v>531</v>
      </c>
      <c r="D1277" s="156" t="s">
        <v>531</v>
      </c>
      <c r="E1277">
        <v>3545283</v>
      </c>
      <c r="F1277">
        <v>276627.85739999998</v>
      </c>
      <c r="G1277">
        <v>78.002899999999997</v>
      </c>
      <c r="H1277">
        <v>1.0180929999999999</v>
      </c>
      <c r="I1277">
        <v>1</v>
      </c>
      <c r="J1277" s="156">
        <v>1</v>
      </c>
      <c r="K1277">
        <v>1</v>
      </c>
      <c r="L1277">
        <v>1</v>
      </c>
      <c r="M1277">
        <v>1</v>
      </c>
      <c r="N1277">
        <v>1.0180929999999999</v>
      </c>
    </row>
    <row r="1278" spans="1:14" x14ac:dyDescent="0.35">
      <c r="A1278" s="156" t="s">
        <v>542</v>
      </c>
      <c r="B1278" s="52">
        <v>44484</v>
      </c>
      <c r="C1278" s="156" t="s">
        <v>531</v>
      </c>
      <c r="D1278" s="156" t="s">
        <v>531</v>
      </c>
      <c r="E1278">
        <v>2850583</v>
      </c>
      <c r="F1278">
        <v>222513.17439999999</v>
      </c>
      <c r="G1278">
        <v>78.054000000000002</v>
      </c>
      <c r="H1278">
        <v>1.017771</v>
      </c>
      <c r="I1278">
        <v>1</v>
      </c>
      <c r="J1278" s="156">
        <v>1</v>
      </c>
      <c r="K1278">
        <v>1</v>
      </c>
      <c r="L1278">
        <v>1</v>
      </c>
      <c r="M1278">
        <v>1</v>
      </c>
      <c r="N1278">
        <v>1.017771</v>
      </c>
    </row>
    <row r="1279" spans="1:14" x14ac:dyDescent="0.35">
      <c r="A1279" s="156" t="s">
        <v>542</v>
      </c>
      <c r="B1279" s="52">
        <v>44487</v>
      </c>
      <c r="C1279" s="156" t="s">
        <v>531</v>
      </c>
      <c r="D1279" s="156" t="s">
        <v>531</v>
      </c>
      <c r="E1279">
        <v>3106840</v>
      </c>
      <c r="F1279">
        <v>249749.76790000001</v>
      </c>
      <c r="G1279">
        <v>80.385900000000007</v>
      </c>
      <c r="H1279">
        <v>1.030079</v>
      </c>
      <c r="I1279">
        <v>1</v>
      </c>
      <c r="J1279" s="156">
        <v>1</v>
      </c>
      <c r="K1279">
        <v>1</v>
      </c>
      <c r="L1279">
        <v>1</v>
      </c>
      <c r="M1279">
        <v>1</v>
      </c>
      <c r="N1279">
        <v>1.030079</v>
      </c>
    </row>
    <row r="1280" spans="1:14" x14ac:dyDescent="0.35">
      <c r="A1280" s="156" t="s">
        <v>542</v>
      </c>
      <c r="B1280" s="52">
        <v>44488</v>
      </c>
      <c r="C1280" s="156" t="s">
        <v>531</v>
      </c>
      <c r="D1280" s="156" t="s">
        <v>531</v>
      </c>
      <c r="E1280">
        <v>2973756</v>
      </c>
      <c r="F1280">
        <v>243138.49960000001</v>
      </c>
      <c r="G1280">
        <v>81.745800000000003</v>
      </c>
      <c r="H1280">
        <v>1.0073000000000001</v>
      </c>
      <c r="I1280">
        <v>1</v>
      </c>
      <c r="J1280" s="156">
        <v>1</v>
      </c>
      <c r="K1280">
        <v>1</v>
      </c>
      <c r="L1280">
        <v>1</v>
      </c>
      <c r="M1280">
        <v>1</v>
      </c>
      <c r="N1280">
        <v>1.0073000000000001</v>
      </c>
    </row>
    <row r="1281" spans="1:14" x14ac:dyDescent="0.35">
      <c r="A1281" s="156" t="s">
        <v>542</v>
      </c>
      <c r="B1281" s="52">
        <v>44489</v>
      </c>
      <c r="C1281" s="156" t="s">
        <v>531</v>
      </c>
      <c r="D1281" s="156" t="s">
        <v>531</v>
      </c>
      <c r="E1281">
        <v>2523277</v>
      </c>
      <c r="F1281">
        <v>202671.07180000001</v>
      </c>
      <c r="G1281">
        <v>80.316599999999994</v>
      </c>
      <c r="H1281">
        <v>0.97727600000000003</v>
      </c>
      <c r="I1281">
        <v>1</v>
      </c>
      <c r="J1281" s="156">
        <v>1</v>
      </c>
      <c r="K1281">
        <v>1</v>
      </c>
      <c r="L1281">
        <v>1</v>
      </c>
      <c r="M1281">
        <v>1</v>
      </c>
      <c r="N1281">
        <v>0.97727600000000003</v>
      </c>
    </row>
    <row r="1282" spans="1:14" x14ac:dyDescent="0.35">
      <c r="A1282" s="156" t="s">
        <v>542</v>
      </c>
      <c r="B1282" s="52">
        <v>44490</v>
      </c>
      <c r="C1282" s="156" t="s">
        <v>531</v>
      </c>
      <c r="D1282" s="156" t="s">
        <v>531</v>
      </c>
      <c r="E1282">
        <v>2566076</v>
      </c>
      <c r="F1282">
        <v>205854.5374</v>
      </c>
      <c r="G1282">
        <v>80.203800000000001</v>
      </c>
      <c r="H1282">
        <v>1.0188539999999999</v>
      </c>
      <c r="I1282">
        <v>1</v>
      </c>
      <c r="J1282" s="156">
        <v>1</v>
      </c>
      <c r="K1282">
        <v>1</v>
      </c>
      <c r="L1282">
        <v>1</v>
      </c>
      <c r="M1282">
        <v>1</v>
      </c>
      <c r="N1282">
        <v>1.0188539999999999</v>
      </c>
    </row>
    <row r="1283" spans="1:14" x14ac:dyDescent="0.35">
      <c r="A1283" s="156" t="s">
        <v>542</v>
      </c>
      <c r="B1283" s="52">
        <v>44491</v>
      </c>
      <c r="C1283" s="156" t="s">
        <v>531</v>
      </c>
      <c r="D1283" s="156" t="s">
        <v>531</v>
      </c>
      <c r="E1283">
        <v>7444972</v>
      </c>
      <c r="F1283">
        <v>560657.47649999999</v>
      </c>
      <c r="G1283">
        <v>75.3416</v>
      </c>
      <c r="H1283">
        <v>0.91241099999999997</v>
      </c>
      <c r="I1283">
        <v>1</v>
      </c>
      <c r="J1283" s="156">
        <v>1</v>
      </c>
      <c r="K1283">
        <v>1</v>
      </c>
      <c r="L1283">
        <v>1</v>
      </c>
      <c r="M1283">
        <v>1</v>
      </c>
      <c r="N1283">
        <v>0.91241099999999997</v>
      </c>
    </row>
    <row r="1284" spans="1:14" x14ac:dyDescent="0.35">
      <c r="A1284" s="156" t="s">
        <v>542</v>
      </c>
      <c r="B1284" s="52">
        <v>44494</v>
      </c>
      <c r="C1284" s="156" t="s">
        <v>531</v>
      </c>
      <c r="D1284" s="156" t="s">
        <v>531</v>
      </c>
      <c r="E1284">
        <v>3049666</v>
      </c>
      <c r="F1284">
        <v>230406.5993</v>
      </c>
      <c r="G1284">
        <v>75.560100000000006</v>
      </c>
      <c r="H1284">
        <v>1.0290699999999999</v>
      </c>
      <c r="I1284">
        <v>1</v>
      </c>
      <c r="J1284" s="156">
        <v>1</v>
      </c>
      <c r="K1284">
        <v>1</v>
      </c>
      <c r="L1284">
        <v>1</v>
      </c>
      <c r="M1284">
        <v>1</v>
      </c>
      <c r="N1284">
        <v>1.0290699999999999</v>
      </c>
    </row>
    <row r="1285" spans="1:14" x14ac:dyDescent="0.35">
      <c r="A1285" s="156" t="s">
        <v>542</v>
      </c>
      <c r="B1285" s="52">
        <v>44495</v>
      </c>
      <c r="C1285" s="156" t="s">
        <v>531</v>
      </c>
      <c r="D1285" s="156" t="s">
        <v>531</v>
      </c>
      <c r="E1285">
        <v>3023057</v>
      </c>
      <c r="F1285">
        <v>233184.1164</v>
      </c>
      <c r="G1285">
        <v>77.159300000000002</v>
      </c>
      <c r="H1285">
        <v>1.0088029999999999</v>
      </c>
      <c r="I1285">
        <v>1</v>
      </c>
      <c r="J1285" s="156">
        <v>1</v>
      </c>
      <c r="K1285">
        <v>1</v>
      </c>
      <c r="L1285">
        <v>1</v>
      </c>
      <c r="M1285">
        <v>1</v>
      </c>
      <c r="N1285">
        <v>1.0088029999999999</v>
      </c>
    </row>
    <row r="1286" spans="1:14" x14ac:dyDescent="0.35">
      <c r="A1286" s="156" t="s">
        <v>542</v>
      </c>
      <c r="B1286" s="52">
        <v>44496</v>
      </c>
      <c r="C1286" s="156" t="s">
        <v>531</v>
      </c>
      <c r="D1286" s="156" t="s">
        <v>531</v>
      </c>
      <c r="E1286">
        <v>3940125</v>
      </c>
      <c r="F1286">
        <v>292428.42879999999</v>
      </c>
      <c r="G1286">
        <v>74.217600000000004</v>
      </c>
      <c r="H1286">
        <v>0.95142000000000004</v>
      </c>
      <c r="I1286">
        <v>1</v>
      </c>
      <c r="J1286" s="156">
        <v>1</v>
      </c>
      <c r="K1286">
        <v>1</v>
      </c>
      <c r="L1286">
        <v>1</v>
      </c>
      <c r="M1286">
        <v>1</v>
      </c>
      <c r="N1286">
        <v>0.95142000000000004</v>
      </c>
    </row>
    <row r="1287" spans="1:14" x14ac:dyDescent="0.35">
      <c r="A1287" s="156" t="s">
        <v>542</v>
      </c>
      <c r="B1287" s="52">
        <v>44497</v>
      </c>
      <c r="C1287" s="156" t="s">
        <v>531</v>
      </c>
      <c r="D1287" s="156" t="s">
        <v>531</v>
      </c>
      <c r="E1287">
        <v>2336990</v>
      </c>
      <c r="F1287">
        <v>174898.7304</v>
      </c>
      <c r="G1287">
        <v>74.844300000000004</v>
      </c>
      <c r="H1287">
        <v>1.0325800000000001</v>
      </c>
      <c r="I1287">
        <v>1</v>
      </c>
      <c r="J1287" s="156">
        <v>1</v>
      </c>
      <c r="K1287">
        <v>1</v>
      </c>
      <c r="L1287">
        <v>1</v>
      </c>
      <c r="M1287">
        <v>1</v>
      </c>
      <c r="N1287">
        <v>1.0325800000000001</v>
      </c>
    </row>
    <row r="1288" spans="1:14" x14ac:dyDescent="0.35">
      <c r="A1288" s="156" t="s">
        <v>542</v>
      </c>
      <c r="B1288" s="52">
        <v>44498</v>
      </c>
      <c r="C1288" s="156" t="s">
        <v>531</v>
      </c>
      <c r="D1288" s="156" t="s">
        <v>531</v>
      </c>
      <c r="E1288">
        <v>2332826</v>
      </c>
      <c r="F1288">
        <v>174543.42120000001</v>
      </c>
      <c r="G1288">
        <v>74.831000000000003</v>
      </c>
      <c r="H1288">
        <v>0.99310600000000004</v>
      </c>
      <c r="I1288">
        <v>1</v>
      </c>
      <c r="J1288" s="156">
        <v>1</v>
      </c>
      <c r="K1288">
        <v>1</v>
      </c>
      <c r="L1288">
        <v>1</v>
      </c>
      <c r="M1288">
        <v>1</v>
      </c>
      <c r="N1288">
        <v>0.99310600000000004</v>
      </c>
    </row>
    <row r="1289" spans="1:14" x14ac:dyDescent="0.35">
      <c r="A1289" s="156" t="s">
        <v>542</v>
      </c>
      <c r="B1289" s="52">
        <v>44501</v>
      </c>
      <c r="C1289" s="156" t="s">
        <v>531</v>
      </c>
      <c r="D1289" s="156" t="s">
        <v>531</v>
      </c>
      <c r="E1289">
        <v>2631566</v>
      </c>
      <c r="F1289">
        <v>199750.50020000001</v>
      </c>
      <c r="G1289">
        <v>75.913200000000003</v>
      </c>
      <c r="H1289">
        <v>1.0210919999999999</v>
      </c>
      <c r="I1289">
        <v>1</v>
      </c>
      <c r="J1289" s="156">
        <v>1</v>
      </c>
      <c r="K1289">
        <v>1</v>
      </c>
      <c r="L1289">
        <v>1</v>
      </c>
      <c r="M1289">
        <v>1</v>
      </c>
      <c r="N1289">
        <v>1.0210919999999999</v>
      </c>
    </row>
    <row r="1290" spans="1:14" x14ac:dyDescent="0.35">
      <c r="A1290" s="156" t="s">
        <v>542</v>
      </c>
      <c r="B1290" s="52">
        <v>44502</v>
      </c>
      <c r="C1290" s="156" t="s">
        <v>531</v>
      </c>
      <c r="D1290" s="156" t="s">
        <v>531</v>
      </c>
      <c r="E1290">
        <v>3255135</v>
      </c>
      <c r="F1290">
        <v>242311.9852</v>
      </c>
      <c r="G1290">
        <v>74.469099999999997</v>
      </c>
      <c r="H1290">
        <v>0.981043</v>
      </c>
      <c r="I1290">
        <v>1</v>
      </c>
      <c r="J1290" s="156">
        <v>1</v>
      </c>
      <c r="K1290">
        <v>1</v>
      </c>
      <c r="L1290">
        <v>1</v>
      </c>
      <c r="M1290">
        <v>1</v>
      </c>
      <c r="N1290">
        <v>0.981043</v>
      </c>
    </row>
    <row r="1291" spans="1:14" x14ac:dyDescent="0.35">
      <c r="A1291" s="156" t="s">
        <v>542</v>
      </c>
      <c r="B1291" s="52">
        <v>44503</v>
      </c>
      <c r="C1291" s="156" t="s">
        <v>531</v>
      </c>
      <c r="D1291" s="156" t="s">
        <v>531</v>
      </c>
      <c r="E1291">
        <v>2718827</v>
      </c>
      <c r="F1291">
        <v>206203.04269999999</v>
      </c>
      <c r="G1291">
        <v>75.887699999999995</v>
      </c>
      <c r="H1291">
        <v>1.0222549999999999</v>
      </c>
      <c r="I1291">
        <v>1</v>
      </c>
      <c r="J1291" s="156">
        <v>1</v>
      </c>
      <c r="K1291">
        <v>1</v>
      </c>
      <c r="L1291">
        <v>1</v>
      </c>
      <c r="M1291">
        <v>1</v>
      </c>
      <c r="N1291">
        <v>1.0222549999999999</v>
      </c>
    </row>
    <row r="1292" spans="1:14" x14ac:dyDescent="0.35">
      <c r="A1292" s="156" t="s">
        <v>542</v>
      </c>
      <c r="B1292" s="52">
        <v>44504</v>
      </c>
      <c r="C1292" s="156" t="s">
        <v>531</v>
      </c>
      <c r="D1292" s="156" t="s">
        <v>531</v>
      </c>
      <c r="E1292">
        <v>5337821</v>
      </c>
      <c r="F1292">
        <v>389520.40669999999</v>
      </c>
      <c r="G1292">
        <v>72.981899999999996</v>
      </c>
      <c r="H1292">
        <v>0.94420499999999996</v>
      </c>
      <c r="I1292">
        <v>1</v>
      </c>
      <c r="J1292" s="156">
        <v>1</v>
      </c>
      <c r="K1292">
        <v>1</v>
      </c>
      <c r="L1292">
        <v>1</v>
      </c>
      <c r="M1292">
        <v>1</v>
      </c>
      <c r="N1292">
        <v>0.94420499999999996</v>
      </c>
    </row>
    <row r="1293" spans="1:14" x14ac:dyDescent="0.35">
      <c r="A1293" s="156" t="s">
        <v>542</v>
      </c>
      <c r="B1293" s="52">
        <v>44505</v>
      </c>
      <c r="C1293" s="156" t="s">
        <v>531</v>
      </c>
      <c r="D1293" s="156" t="s">
        <v>531</v>
      </c>
      <c r="E1293">
        <v>8623098</v>
      </c>
      <c r="F1293">
        <v>600455.7574</v>
      </c>
      <c r="G1293">
        <v>69.604100000000003</v>
      </c>
      <c r="H1293">
        <v>0.94643100000000002</v>
      </c>
      <c r="I1293">
        <v>1</v>
      </c>
      <c r="J1293" s="156">
        <v>1</v>
      </c>
      <c r="K1293">
        <v>1</v>
      </c>
      <c r="L1293">
        <v>1</v>
      </c>
      <c r="M1293">
        <v>1</v>
      </c>
      <c r="N1293">
        <v>0.94643100000000002</v>
      </c>
    </row>
    <row r="1294" spans="1:14" x14ac:dyDescent="0.35">
      <c r="A1294" s="156" t="s">
        <v>542</v>
      </c>
      <c r="B1294" s="52">
        <v>44508</v>
      </c>
      <c r="C1294" s="156" t="s">
        <v>531</v>
      </c>
      <c r="D1294" s="156" t="s">
        <v>531</v>
      </c>
      <c r="E1294">
        <v>31558097</v>
      </c>
      <c r="F1294">
        <v>2724880.9890000001</v>
      </c>
      <c r="G1294">
        <v>86.366799999999998</v>
      </c>
      <c r="H1294">
        <v>1.294675</v>
      </c>
      <c r="I1294">
        <v>1</v>
      </c>
      <c r="J1294" s="156">
        <v>1</v>
      </c>
      <c r="K1294">
        <v>1</v>
      </c>
      <c r="L1294">
        <v>1</v>
      </c>
      <c r="M1294">
        <v>1</v>
      </c>
      <c r="N1294">
        <v>1.294675</v>
      </c>
    </row>
    <row r="1295" spans="1:14" x14ac:dyDescent="0.35">
      <c r="A1295" s="156" t="s">
        <v>542</v>
      </c>
      <c r="B1295" s="52">
        <v>44509</v>
      </c>
      <c r="C1295" s="156" t="s">
        <v>531</v>
      </c>
      <c r="D1295" s="156" t="s">
        <v>531</v>
      </c>
      <c r="E1295">
        <v>17242161</v>
      </c>
      <c r="F1295">
        <v>1646598.2479999999</v>
      </c>
      <c r="G1295">
        <v>95.495800000000003</v>
      </c>
      <c r="H1295">
        <v>1.0939719999999999</v>
      </c>
      <c r="I1295">
        <v>1</v>
      </c>
      <c r="J1295" s="156">
        <v>1</v>
      </c>
      <c r="K1295">
        <v>1</v>
      </c>
      <c r="L1295">
        <v>1</v>
      </c>
      <c r="M1295">
        <v>1</v>
      </c>
      <c r="N1295">
        <v>1.0939719999999999</v>
      </c>
    </row>
    <row r="1296" spans="1:14" x14ac:dyDescent="0.35">
      <c r="A1296" s="156" t="s">
        <v>542</v>
      </c>
      <c r="B1296" s="52">
        <v>44510</v>
      </c>
      <c r="C1296" s="156" t="s">
        <v>531</v>
      </c>
      <c r="D1296" s="156" t="s">
        <v>531</v>
      </c>
      <c r="E1296">
        <v>10017948</v>
      </c>
      <c r="F1296">
        <v>916788.20079999999</v>
      </c>
      <c r="G1296">
        <v>91.522000000000006</v>
      </c>
      <c r="H1296">
        <v>0.91317300000000001</v>
      </c>
      <c r="I1296">
        <v>1</v>
      </c>
      <c r="J1296" s="156">
        <v>1</v>
      </c>
      <c r="K1296">
        <v>1</v>
      </c>
      <c r="L1296">
        <v>1</v>
      </c>
      <c r="M1296">
        <v>1</v>
      </c>
      <c r="N1296">
        <v>0.91317300000000001</v>
      </c>
    </row>
    <row r="1297" spans="1:14" x14ac:dyDescent="0.35">
      <c r="A1297" s="156" t="s">
        <v>542</v>
      </c>
      <c r="B1297" s="52">
        <v>44511</v>
      </c>
      <c r="C1297" s="156" t="s">
        <v>531</v>
      </c>
      <c r="D1297" s="156" t="s">
        <v>531</v>
      </c>
      <c r="E1297">
        <v>3865793</v>
      </c>
      <c r="F1297">
        <v>350644.07819999999</v>
      </c>
      <c r="G1297">
        <v>90.714500000000001</v>
      </c>
      <c r="H1297">
        <v>1.0325960000000001</v>
      </c>
      <c r="I1297">
        <v>1</v>
      </c>
      <c r="J1297" s="156">
        <v>1</v>
      </c>
      <c r="K1297">
        <v>1</v>
      </c>
      <c r="L1297">
        <v>1</v>
      </c>
      <c r="M1297">
        <v>1</v>
      </c>
      <c r="N1297">
        <v>1.0325960000000001</v>
      </c>
    </row>
    <row r="1298" spans="1:14" x14ac:dyDescent="0.35">
      <c r="A1298" s="156" t="s">
        <v>542</v>
      </c>
      <c r="B1298" s="52">
        <v>44512</v>
      </c>
      <c r="C1298" s="156" t="s">
        <v>531</v>
      </c>
      <c r="D1298" s="156" t="s">
        <v>531</v>
      </c>
      <c r="E1298">
        <v>12305782</v>
      </c>
      <c r="F1298">
        <v>1212790.5334000001</v>
      </c>
      <c r="G1298">
        <v>98.555199999999999</v>
      </c>
      <c r="H1298">
        <v>1.095904</v>
      </c>
      <c r="I1298">
        <v>1</v>
      </c>
      <c r="J1298" s="156">
        <v>1</v>
      </c>
      <c r="K1298">
        <v>1</v>
      </c>
      <c r="L1298">
        <v>1</v>
      </c>
      <c r="M1298">
        <v>1</v>
      </c>
      <c r="N1298">
        <v>1.095904</v>
      </c>
    </row>
    <row r="1299" spans="1:14" x14ac:dyDescent="0.35">
      <c r="A1299" s="156" t="s">
        <v>542</v>
      </c>
      <c r="B1299" s="52">
        <v>44515</v>
      </c>
      <c r="C1299" s="156" t="s">
        <v>531</v>
      </c>
      <c r="D1299" s="156" t="s">
        <v>531</v>
      </c>
      <c r="E1299">
        <v>11751128</v>
      </c>
      <c r="F1299">
        <v>1234751.8998</v>
      </c>
      <c r="G1299">
        <v>105.0628</v>
      </c>
      <c r="H1299">
        <v>1.051032</v>
      </c>
      <c r="I1299">
        <v>1</v>
      </c>
      <c r="J1299" s="156">
        <v>1</v>
      </c>
      <c r="K1299">
        <v>1</v>
      </c>
      <c r="L1299">
        <v>1</v>
      </c>
      <c r="M1299">
        <v>1</v>
      </c>
      <c r="N1299">
        <v>1.051032</v>
      </c>
    </row>
    <row r="1300" spans="1:14" x14ac:dyDescent="0.35">
      <c r="A1300" s="156" t="s">
        <v>542</v>
      </c>
      <c r="B1300" s="52">
        <v>44516</v>
      </c>
      <c r="C1300" s="156" t="s">
        <v>531</v>
      </c>
      <c r="D1300" s="156" t="s">
        <v>531</v>
      </c>
      <c r="E1300">
        <v>8831312</v>
      </c>
      <c r="F1300">
        <v>970262.62280000001</v>
      </c>
      <c r="G1300">
        <v>109.9014</v>
      </c>
      <c r="H1300">
        <v>1.0587009999999999</v>
      </c>
      <c r="I1300">
        <v>1</v>
      </c>
      <c r="J1300" s="156">
        <v>1</v>
      </c>
      <c r="K1300">
        <v>1</v>
      </c>
      <c r="L1300">
        <v>1</v>
      </c>
      <c r="M1300">
        <v>1</v>
      </c>
      <c r="N1300">
        <v>1.0587009999999999</v>
      </c>
    </row>
    <row r="1301" spans="1:14" x14ac:dyDescent="0.35">
      <c r="A1301" s="156" t="s">
        <v>542</v>
      </c>
      <c r="B1301" s="52">
        <v>44517</v>
      </c>
      <c r="C1301" s="156" t="s">
        <v>531</v>
      </c>
      <c r="D1301" s="156" t="s">
        <v>531</v>
      </c>
      <c r="E1301">
        <v>5411372</v>
      </c>
      <c r="F1301">
        <v>591867.78799999994</v>
      </c>
      <c r="G1301">
        <v>109.4033</v>
      </c>
      <c r="H1301">
        <v>0.96291700000000002</v>
      </c>
      <c r="I1301">
        <v>1</v>
      </c>
      <c r="J1301" s="156">
        <v>1</v>
      </c>
      <c r="K1301">
        <v>1</v>
      </c>
      <c r="L1301">
        <v>1</v>
      </c>
      <c r="M1301">
        <v>1</v>
      </c>
      <c r="N1301">
        <v>0.96291700000000002</v>
      </c>
    </row>
    <row r="1302" spans="1:14" x14ac:dyDescent="0.35">
      <c r="A1302" s="156" t="s">
        <v>542</v>
      </c>
      <c r="B1302" s="52">
        <v>44518</v>
      </c>
      <c r="C1302" s="156" t="s">
        <v>531</v>
      </c>
      <c r="D1302" s="156" t="s">
        <v>531</v>
      </c>
      <c r="E1302">
        <v>5723048</v>
      </c>
      <c r="F1302">
        <v>607428.26639999996</v>
      </c>
      <c r="G1302">
        <v>106.09439999999999</v>
      </c>
      <c r="H1302">
        <v>0.98111599999999999</v>
      </c>
      <c r="I1302">
        <v>1</v>
      </c>
      <c r="J1302" s="156">
        <v>1</v>
      </c>
      <c r="K1302">
        <v>1</v>
      </c>
      <c r="L1302">
        <v>1</v>
      </c>
      <c r="M1302">
        <v>1</v>
      </c>
      <c r="N1302">
        <v>0.98111599999999999</v>
      </c>
    </row>
    <row r="1303" spans="1:14" x14ac:dyDescent="0.35">
      <c r="A1303" s="156" t="s">
        <v>542</v>
      </c>
      <c r="B1303" s="52">
        <v>44519</v>
      </c>
      <c r="C1303" s="156" t="s">
        <v>531</v>
      </c>
      <c r="D1303" s="156" t="s">
        <v>531</v>
      </c>
      <c r="E1303">
        <v>4365393</v>
      </c>
      <c r="F1303">
        <v>474491.79609999998</v>
      </c>
      <c r="G1303">
        <v>108.6682</v>
      </c>
      <c r="H1303">
        <v>1.021997</v>
      </c>
      <c r="I1303">
        <v>1</v>
      </c>
      <c r="J1303" s="156">
        <v>1</v>
      </c>
      <c r="K1303">
        <v>1</v>
      </c>
      <c r="L1303">
        <v>1</v>
      </c>
      <c r="M1303">
        <v>1</v>
      </c>
      <c r="N1303">
        <v>1.021997</v>
      </c>
    </row>
    <row r="1304" spans="1:14" x14ac:dyDescent="0.35">
      <c r="A1304" s="156" t="s">
        <v>542</v>
      </c>
      <c r="B1304" s="52">
        <v>44522</v>
      </c>
      <c r="C1304" s="156" t="s">
        <v>531</v>
      </c>
      <c r="D1304" s="156" t="s">
        <v>531</v>
      </c>
      <c r="E1304">
        <v>8108084</v>
      </c>
      <c r="F1304">
        <v>834230.87219999998</v>
      </c>
      <c r="G1304">
        <v>102.9251</v>
      </c>
      <c r="H1304">
        <v>0.958067</v>
      </c>
      <c r="I1304">
        <v>1</v>
      </c>
      <c r="J1304" s="156">
        <v>1</v>
      </c>
      <c r="K1304">
        <v>1</v>
      </c>
      <c r="L1304">
        <v>1</v>
      </c>
      <c r="M1304">
        <v>1</v>
      </c>
      <c r="N1304">
        <v>0.958067</v>
      </c>
    </row>
    <row r="1305" spans="1:14" x14ac:dyDescent="0.35">
      <c r="A1305" s="156" t="s">
        <v>542</v>
      </c>
      <c r="B1305" s="52">
        <v>44523</v>
      </c>
      <c r="C1305" s="156" t="s">
        <v>531</v>
      </c>
      <c r="D1305" s="156" t="s">
        <v>531</v>
      </c>
      <c r="E1305">
        <v>6016358</v>
      </c>
      <c r="F1305">
        <v>612672.80209999997</v>
      </c>
      <c r="G1305">
        <v>101.8365</v>
      </c>
      <c r="H1305">
        <v>0.99486799999999997</v>
      </c>
      <c r="I1305">
        <v>1</v>
      </c>
      <c r="J1305" s="156">
        <v>1</v>
      </c>
      <c r="K1305">
        <v>1</v>
      </c>
      <c r="L1305">
        <v>1</v>
      </c>
      <c r="M1305">
        <v>1</v>
      </c>
      <c r="N1305">
        <v>0.99486799999999997</v>
      </c>
    </row>
    <row r="1306" spans="1:14" x14ac:dyDescent="0.35">
      <c r="A1306" s="156" t="s">
        <v>542</v>
      </c>
      <c r="B1306" s="52">
        <v>44524</v>
      </c>
      <c r="C1306" s="156" t="s">
        <v>531</v>
      </c>
      <c r="D1306" s="156" t="s">
        <v>531</v>
      </c>
      <c r="E1306">
        <v>5319800</v>
      </c>
      <c r="F1306">
        <v>559475.4166</v>
      </c>
      <c r="G1306">
        <v>105.2179</v>
      </c>
      <c r="H1306">
        <v>1.0337749999999999</v>
      </c>
      <c r="I1306">
        <v>1</v>
      </c>
      <c r="J1306" s="156">
        <v>1</v>
      </c>
      <c r="K1306">
        <v>1</v>
      </c>
      <c r="L1306">
        <v>1</v>
      </c>
      <c r="M1306">
        <v>1</v>
      </c>
      <c r="N1306">
        <v>1.0337749999999999</v>
      </c>
    </row>
    <row r="1307" spans="1:14" x14ac:dyDescent="0.35">
      <c r="A1307" s="156" t="s">
        <v>542</v>
      </c>
      <c r="B1307" s="52">
        <v>44526</v>
      </c>
      <c r="C1307" s="156" t="s">
        <v>531</v>
      </c>
      <c r="D1307" s="156" t="s">
        <v>531</v>
      </c>
      <c r="E1307">
        <v>2548092</v>
      </c>
      <c r="F1307">
        <v>268249.14799999999</v>
      </c>
      <c r="G1307">
        <v>105.2655</v>
      </c>
      <c r="H1307">
        <v>0.97900399999999999</v>
      </c>
      <c r="I1307">
        <v>1</v>
      </c>
      <c r="J1307" s="156">
        <v>1</v>
      </c>
      <c r="K1307">
        <v>1</v>
      </c>
      <c r="L1307">
        <v>1</v>
      </c>
      <c r="M1307">
        <v>1</v>
      </c>
      <c r="N1307">
        <v>0.97900399999999999</v>
      </c>
    </row>
    <row r="1308" spans="1:14" x14ac:dyDescent="0.35">
      <c r="A1308" s="156" t="s">
        <v>542</v>
      </c>
      <c r="B1308" s="52">
        <v>44529</v>
      </c>
      <c r="C1308" s="156" t="s">
        <v>531</v>
      </c>
      <c r="D1308" s="156" t="s">
        <v>531</v>
      </c>
      <c r="E1308">
        <v>3164960</v>
      </c>
      <c r="F1308">
        <v>337170.97850000003</v>
      </c>
      <c r="G1308">
        <v>106.52460000000001</v>
      </c>
      <c r="H1308">
        <v>1.0296209999999999</v>
      </c>
      <c r="I1308">
        <v>1</v>
      </c>
      <c r="J1308" s="156">
        <v>1</v>
      </c>
      <c r="K1308">
        <v>1</v>
      </c>
      <c r="L1308">
        <v>1</v>
      </c>
      <c r="M1308">
        <v>1</v>
      </c>
      <c r="N1308">
        <v>1.0296209999999999</v>
      </c>
    </row>
    <row r="1309" spans="1:14" x14ac:dyDescent="0.35">
      <c r="A1309" s="156" t="s">
        <v>542</v>
      </c>
      <c r="B1309" s="52">
        <v>44530</v>
      </c>
      <c r="C1309" s="156" t="s">
        <v>531</v>
      </c>
      <c r="D1309" s="156" t="s">
        <v>531</v>
      </c>
      <c r="E1309">
        <v>5772099</v>
      </c>
      <c r="F1309">
        <v>608649.01419999998</v>
      </c>
      <c r="G1309">
        <v>105.5108</v>
      </c>
      <c r="H1309">
        <v>0.96599999999999997</v>
      </c>
      <c r="I1309">
        <v>1</v>
      </c>
      <c r="J1309" s="156">
        <v>1</v>
      </c>
      <c r="K1309">
        <v>1</v>
      </c>
      <c r="L1309">
        <v>1</v>
      </c>
      <c r="M1309">
        <v>1</v>
      </c>
      <c r="N1309">
        <v>0.96599999999999997</v>
      </c>
    </row>
    <row r="1310" spans="1:14" x14ac:dyDescent="0.35">
      <c r="A1310" s="156" t="s">
        <v>542</v>
      </c>
      <c r="B1310" s="52">
        <v>44531</v>
      </c>
      <c r="C1310" s="156" t="s">
        <v>531</v>
      </c>
      <c r="D1310" s="156" t="s">
        <v>531</v>
      </c>
      <c r="E1310">
        <v>5215338</v>
      </c>
      <c r="F1310">
        <v>514892.3076</v>
      </c>
      <c r="G1310">
        <v>98.704099999999997</v>
      </c>
      <c r="H1310">
        <v>0.92071199999999997</v>
      </c>
      <c r="I1310">
        <v>1</v>
      </c>
      <c r="J1310" s="156">
        <v>1</v>
      </c>
      <c r="K1310">
        <v>1</v>
      </c>
      <c r="L1310">
        <v>1</v>
      </c>
      <c r="M1310">
        <v>1</v>
      </c>
      <c r="N1310">
        <v>0.92071199999999997</v>
      </c>
    </row>
    <row r="1311" spans="1:14" x14ac:dyDescent="0.35">
      <c r="A1311" s="156" t="s">
        <v>542</v>
      </c>
      <c r="B1311" s="52">
        <v>44532</v>
      </c>
      <c r="C1311" s="156" t="s">
        <v>531</v>
      </c>
      <c r="D1311" s="156" t="s">
        <v>531</v>
      </c>
      <c r="E1311">
        <v>5205817</v>
      </c>
      <c r="F1311">
        <v>499920.72879999998</v>
      </c>
      <c r="G1311">
        <v>96.0184</v>
      </c>
      <c r="H1311">
        <v>1.007036</v>
      </c>
      <c r="I1311">
        <v>1</v>
      </c>
      <c r="J1311" s="156">
        <v>1</v>
      </c>
      <c r="K1311">
        <v>1</v>
      </c>
      <c r="L1311">
        <v>1</v>
      </c>
      <c r="M1311">
        <v>1</v>
      </c>
      <c r="N1311">
        <v>1.007036</v>
      </c>
    </row>
    <row r="1312" spans="1:14" x14ac:dyDescent="0.35">
      <c r="A1312" s="156" t="s">
        <v>542</v>
      </c>
      <c r="B1312" s="52">
        <v>44533</v>
      </c>
      <c r="C1312" s="156" t="s">
        <v>531</v>
      </c>
      <c r="D1312" s="156" t="s">
        <v>531</v>
      </c>
      <c r="E1312">
        <v>6010400</v>
      </c>
      <c r="F1312">
        <v>541492.99230000004</v>
      </c>
      <c r="G1312">
        <v>90.101799999999997</v>
      </c>
      <c r="H1312">
        <v>0.93346499999999999</v>
      </c>
      <c r="I1312">
        <v>1</v>
      </c>
      <c r="J1312" s="156">
        <v>1</v>
      </c>
      <c r="K1312">
        <v>1</v>
      </c>
      <c r="L1312">
        <v>1</v>
      </c>
      <c r="M1312">
        <v>1</v>
      </c>
      <c r="N1312">
        <v>0.93346499999999999</v>
      </c>
    </row>
    <row r="1313" spans="1:14" x14ac:dyDescent="0.35">
      <c r="A1313" s="156" t="s">
        <v>542</v>
      </c>
      <c r="B1313" s="52">
        <v>44536</v>
      </c>
      <c r="C1313" s="156" t="s">
        <v>531</v>
      </c>
      <c r="D1313" s="156" t="s">
        <v>531</v>
      </c>
      <c r="E1313">
        <v>4806692</v>
      </c>
      <c r="F1313">
        <v>429517.9179</v>
      </c>
      <c r="G1313">
        <v>89.332999999999998</v>
      </c>
      <c r="H1313">
        <v>1.001341</v>
      </c>
      <c r="I1313">
        <v>1</v>
      </c>
      <c r="J1313" s="156">
        <v>1</v>
      </c>
      <c r="K1313">
        <v>1</v>
      </c>
      <c r="L1313">
        <v>1</v>
      </c>
      <c r="M1313">
        <v>1</v>
      </c>
      <c r="N1313">
        <v>1.001341</v>
      </c>
    </row>
    <row r="1314" spans="1:14" x14ac:dyDescent="0.35">
      <c r="A1314" s="156" t="s">
        <v>542</v>
      </c>
      <c r="B1314" s="52">
        <v>44537</v>
      </c>
      <c r="C1314" s="156" t="s">
        <v>531</v>
      </c>
      <c r="D1314" s="156" t="s">
        <v>531</v>
      </c>
      <c r="E1314">
        <v>3919422</v>
      </c>
      <c r="F1314">
        <v>376096.01150000002</v>
      </c>
      <c r="G1314">
        <v>95.933400000000006</v>
      </c>
      <c r="H1314">
        <v>1.0679460000000001</v>
      </c>
      <c r="I1314">
        <v>1</v>
      </c>
      <c r="J1314" s="156">
        <v>1</v>
      </c>
      <c r="K1314">
        <v>1</v>
      </c>
      <c r="L1314">
        <v>1</v>
      </c>
      <c r="M1314">
        <v>1</v>
      </c>
      <c r="N1314">
        <v>1.0679460000000001</v>
      </c>
    </row>
    <row r="1315" spans="1:14" x14ac:dyDescent="0.35">
      <c r="A1315" s="156" t="s">
        <v>542</v>
      </c>
      <c r="B1315" s="52">
        <v>44538</v>
      </c>
      <c r="C1315" s="156" t="s">
        <v>531</v>
      </c>
      <c r="D1315" s="156" t="s">
        <v>531</v>
      </c>
      <c r="E1315">
        <v>2607215</v>
      </c>
      <c r="F1315">
        <v>253922.59539999999</v>
      </c>
      <c r="G1315">
        <v>97.387900000000002</v>
      </c>
      <c r="H1315">
        <v>1.022775</v>
      </c>
      <c r="I1315">
        <v>1</v>
      </c>
      <c r="J1315" s="156">
        <v>1</v>
      </c>
      <c r="K1315">
        <v>1</v>
      </c>
      <c r="L1315">
        <v>1</v>
      </c>
      <c r="M1315">
        <v>1</v>
      </c>
      <c r="N1315">
        <v>1.022775</v>
      </c>
    </row>
    <row r="1316" spans="1:14" x14ac:dyDescent="0.35">
      <c r="A1316" s="156" t="s">
        <v>542</v>
      </c>
      <c r="B1316" s="52">
        <v>44539</v>
      </c>
      <c r="C1316" s="156" t="s">
        <v>531</v>
      </c>
      <c r="D1316" s="156" t="s">
        <v>531</v>
      </c>
      <c r="E1316">
        <v>2535483</v>
      </c>
      <c r="F1316">
        <v>243086.0914</v>
      </c>
      <c r="G1316">
        <v>95.874899999999997</v>
      </c>
      <c r="H1316">
        <v>0.96537300000000004</v>
      </c>
      <c r="I1316">
        <v>1</v>
      </c>
      <c r="J1316" s="156">
        <v>1</v>
      </c>
      <c r="K1316">
        <v>1</v>
      </c>
      <c r="L1316">
        <v>1</v>
      </c>
      <c r="M1316">
        <v>1</v>
      </c>
      <c r="N1316">
        <v>0.96537300000000004</v>
      </c>
    </row>
    <row r="1317" spans="1:14" x14ac:dyDescent="0.35">
      <c r="A1317" s="156" t="s">
        <v>542</v>
      </c>
      <c r="B1317" s="52">
        <v>44540</v>
      </c>
      <c r="C1317" s="156" t="s">
        <v>531</v>
      </c>
      <c r="D1317" s="156" t="s">
        <v>531</v>
      </c>
      <c r="E1317">
        <v>2643285</v>
      </c>
      <c r="F1317">
        <v>250752.3229</v>
      </c>
      <c r="G1317">
        <v>94.885199999999998</v>
      </c>
      <c r="H1317">
        <v>0.99523899999999998</v>
      </c>
      <c r="I1317">
        <v>1</v>
      </c>
      <c r="J1317" s="156">
        <v>1</v>
      </c>
      <c r="K1317">
        <v>1</v>
      </c>
      <c r="L1317">
        <v>1</v>
      </c>
      <c r="M1317">
        <v>1</v>
      </c>
      <c r="N1317">
        <v>0.99523899999999998</v>
      </c>
    </row>
    <row r="1318" spans="1:14" x14ac:dyDescent="0.35">
      <c r="A1318" s="156" t="s">
        <v>542</v>
      </c>
      <c r="B1318" s="52">
        <v>44543</v>
      </c>
      <c r="C1318" s="156" t="s">
        <v>531</v>
      </c>
      <c r="D1318" s="156" t="s">
        <v>531</v>
      </c>
      <c r="E1318">
        <v>3059467</v>
      </c>
      <c r="F1318">
        <v>283389.03580000001</v>
      </c>
      <c r="G1318">
        <v>92.620199999999997</v>
      </c>
      <c r="H1318">
        <v>0.98341500000000004</v>
      </c>
      <c r="I1318">
        <v>1</v>
      </c>
      <c r="J1318" s="156">
        <v>1</v>
      </c>
      <c r="K1318">
        <v>1</v>
      </c>
      <c r="L1318">
        <v>1</v>
      </c>
      <c r="M1318">
        <v>1</v>
      </c>
      <c r="N1318">
        <v>0.98341500000000004</v>
      </c>
    </row>
    <row r="1319" spans="1:14" x14ac:dyDescent="0.35">
      <c r="A1319" s="156" t="s">
        <v>542</v>
      </c>
      <c r="B1319" s="52">
        <v>44544</v>
      </c>
      <c r="C1319" s="156" t="s">
        <v>531</v>
      </c>
      <c r="D1319" s="156" t="s">
        <v>531</v>
      </c>
      <c r="E1319">
        <v>4165767</v>
      </c>
      <c r="F1319">
        <v>368387.60389999999</v>
      </c>
      <c r="G1319">
        <v>88.4666</v>
      </c>
      <c r="H1319">
        <v>0.95491899999999996</v>
      </c>
      <c r="I1319">
        <v>1</v>
      </c>
      <c r="J1319" s="156">
        <v>1</v>
      </c>
      <c r="K1319">
        <v>1</v>
      </c>
      <c r="L1319">
        <v>1</v>
      </c>
      <c r="M1319">
        <v>1</v>
      </c>
      <c r="N1319">
        <v>0.95491899999999996</v>
      </c>
    </row>
    <row r="1320" spans="1:14" x14ac:dyDescent="0.35">
      <c r="A1320" s="156" t="s">
        <v>542</v>
      </c>
      <c r="B1320" s="52">
        <v>44545</v>
      </c>
      <c r="C1320" s="156" t="s">
        <v>531</v>
      </c>
      <c r="D1320" s="156" t="s">
        <v>531</v>
      </c>
      <c r="E1320">
        <v>4469079</v>
      </c>
      <c r="F1320">
        <v>397394.88679999998</v>
      </c>
      <c r="G1320">
        <v>88.991699999999994</v>
      </c>
      <c r="H1320">
        <v>1.035096</v>
      </c>
      <c r="I1320">
        <v>1</v>
      </c>
      <c r="J1320" s="156">
        <v>1</v>
      </c>
      <c r="K1320">
        <v>1</v>
      </c>
      <c r="L1320">
        <v>1</v>
      </c>
      <c r="M1320">
        <v>1</v>
      </c>
      <c r="N1320">
        <v>1.035096</v>
      </c>
    </row>
    <row r="1321" spans="1:14" x14ac:dyDescent="0.35">
      <c r="A1321" s="156" t="s">
        <v>542</v>
      </c>
      <c r="B1321" s="52">
        <v>44546</v>
      </c>
      <c r="C1321" s="156" t="s">
        <v>531</v>
      </c>
      <c r="D1321" s="156" t="s">
        <v>531</v>
      </c>
      <c r="E1321">
        <v>3559905</v>
      </c>
      <c r="F1321">
        <v>313253.1899</v>
      </c>
      <c r="G1321">
        <v>88.014099999999999</v>
      </c>
      <c r="H1321">
        <v>0.95275100000000001</v>
      </c>
      <c r="I1321">
        <v>1</v>
      </c>
      <c r="J1321" s="156">
        <v>1</v>
      </c>
      <c r="K1321">
        <v>1</v>
      </c>
      <c r="L1321">
        <v>1</v>
      </c>
      <c r="M1321">
        <v>1</v>
      </c>
      <c r="N1321">
        <v>0.95275100000000001</v>
      </c>
    </row>
    <row r="1322" spans="1:14" x14ac:dyDescent="0.35">
      <c r="A1322" s="156" t="s">
        <v>542</v>
      </c>
      <c r="B1322" s="52">
        <v>44547</v>
      </c>
      <c r="C1322" s="156" t="s">
        <v>531</v>
      </c>
      <c r="D1322" s="156" t="s">
        <v>531</v>
      </c>
      <c r="E1322">
        <v>4019105</v>
      </c>
      <c r="F1322">
        <v>356615.47029999999</v>
      </c>
      <c r="G1322">
        <v>88.757099999999994</v>
      </c>
      <c r="H1322">
        <v>1.0330619999999999</v>
      </c>
      <c r="I1322">
        <v>1</v>
      </c>
      <c r="J1322" s="156">
        <v>1</v>
      </c>
      <c r="K1322">
        <v>1</v>
      </c>
      <c r="L1322">
        <v>1</v>
      </c>
      <c r="M1322">
        <v>1</v>
      </c>
      <c r="N1322">
        <v>1.0330619999999999</v>
      </c>
    </row>
    <row r="1323" spans="1:14" x14ac:dyDescent="0.35">
      <c r="A1323" s="156" t="s">
        <v>542</v>
      </c>
      <c r="B1323" s="52">
        <v>44550</v>
      </c>
      <c r="C1323" s="156" t="s">
        <v>531</v>
      </c>
      <c r="D1323" s="156" t="s">
        <v>531</v>
      </c>
      <c r="E1323">
        <v>3936783</v>
      </c>
      <c r="F1323">
        <v>346280.9472</v>
      </c>
      <c r="G1323">
        <v>87.922600000000003</v>
      </c>
      <c r="H1323">
        <v>0.97833099999999995</v>
      </c>
      <c r="I1323">
        <v>1</v>
      </c>
      <c r="J1323" s="156">
        <v>1</v>
      </c>
      <c r="K1323">
        <v>1</v>
      </c>
      <c r="L1323">
        <v>1</v>
      </c>
      <c r="M1323">
        <v>1</v>
      </c>
      <c r="N1323">
        <v>0.97833099999999995</v>
      </c>
    </row>
    <row r="1324" spans="1:14" x14ac:dyDescent="0.35">
      <c r="A1324" s="156" t="s">
        <v>542</v>
      </c>
      <c r="B1324" s="52">
        <v>44551</v>
      </c>
      <c r="C1324" s="156" t="s">
        <v>531</v>
      </c>
      <c r="D1324" s="156" t="s">
        <v>531</v>
      </c>
      <c r="E1324">
        <v>4251100</v>
      </c>
      <c r="F1324">
        <v>391525.02649999998</v>
      </c>
      <c r="G1324">
        <v>91.797899999999998</v>
      </c>
      <c r="H1324">
        <v>1.0623579999999999</v>
      </c>
      <c r="I1324">
        <v>1</v>
      </c>
      <c r="J1324" s="156">
        <v>1</v>
      </c>
      <c r="K1324">
        <v>1</v>
      </c>
      <c r="L1324">
        <v>1</v>
      </c>
      <c r="M1324">
        <v>1</v>
      </c>
      <c r="N1324">
        <v>1.0623579999999999</v>
      </c>
    </row>
    <row r="1325" spans="1:14" x14ac:dyDescent="0.35">
      <c r="A1325" s="156" t="s">
        <v>542</v>
      </c>
      <c r="B1325" s="52">
        <v>44552</v>
      </c>
      <c r="C1325" s="156" t="s">
        <v>531</v>
      </c>
      <c r="D1325" s="156" t="s">
        <v>531</v>
      </c>
      <c r="E1325">
        <v>2400993</v>
      </c>
      <c r="F1325">
        <v>223719.7402</v>
      </c>
      <c r="G1325">
        <v>93.183499999999995</v>
      </c>
      <c r="H1325">
        <v>0.99957200000000002</v>
      </c>
      <c r="I1325">
        <v>1</v>
      </c>
      <c r="J1325" s="156">
        <v>1</v>
      </c>
      <c r="K1325">
        <v>1</v>
      </c>
      <c r="L1325">
        <v>1</v>
      </c>
      <c r="M1325">
        <v>1</v>
      </c>
      <c r="N1325">
        <v>0.99957200000000002</v>
      </c>
    </row>
    <row r="1326" spans="1:14" x14ac:dyDescent="0.35">
      <c r="A1326" s="156" t="s">
        <v>542</v>
      </c>
      <c r="B1326" s="52">
        <v>44553</v>
      </c>
      <c r="C1326" s="156" t="s">
        <v>531</v>
      </c>
      <c r="D1326" s="156" t="s">
        <v>531</v>
      </c>
      <c r="E1326">
        <v>3079196</v>
      </c>
      <c r="F1326">
        <v>293486.49910000002</v>
      </c>
      <c r="G1326">
        <v>95.357900000000001</v>
      </c>
      <c r="H1326">
        <v>1.0273829999999999</v>
      </c>
      <c r="I1326">
        <v>1</v>
      </c>
      <c r="J1326" s="156">
        <v>1</v>
      </c>
      <c r="K1326">
        <v>1</v>
      </c>
      <c r="L1326">
        <v>1</v>
      </c>
      <c r="M1326">
        <v>1</v>
      </c>
      <c r="N1326">
        <v>1.0273829999999999</v>
      </c>
    </row>
    <row r="1327" spans="1:14" x14ac:dyDescent="0.35">
      <c r="A1327" s="156" t="s">
        <v>542</v>
      </c>
      <c r="B1327" s="52">
        <v>44557</v>
      </c>
      <c r="C1327" s="156" t="s">
        <v>531</v>
      </c>
      <c r="D1327" s="156" t="s">
        <v>531</v>
      </c>
      <c r="E1327">
        <v>2121252</v>
      </c>
      <c r="F1327">
        <v>206794.87940000001</v>
      </c>
      <c r="G1327">
        <v>97.489099999999993</v>
      </c>
      <c r="H1327">
        <v>1.0169699999999999</v>
      </c>
      <c r="I1327">
        <v>1</v>
      </c>
      <c r="J1327" s="156">
        <v>1</v>
      </c>
      <c r="K1327">
        <v>1</v>
      </c>
      <c r="L1327">
        <v>1</v>
      </c>
      <c r="M1327">
        <v>1</v>
      </c>
      <c r="N1327">
        <v>1.0169699999999999</v>
      </c>
    </row>
    <row r="1328" spans="1:14" x14ac:dyDescent="0.35">
      <c r="A1328" s="156" t="s">
        <v>542</v>
      </c>
      <c r="B1328" s="52">
        <v>44558</v>
      </c>
      <c r="C1328" s="156" t="s">
        <v>531</v>
      </c>
      <c r="D1328" s="156" t="s">
        <v>531</v>
      </c>
      <c r="E1328">
        <v>1896840</v>
      </c>
      <c r="F1328">
        <v>180964.77160000001</v>
      </c>
      <c r="G1328">
        <v>95.413499999999999</v>
      </c>
      <c r="H1328">
        <v>0.970414</v>
      </c>
      <c r="I1328">
        <v>1</v>
      </c>
      <c r="J1328" s="156">
        <v>1</v>
      </c>
      <c r="K1328">
        <v>1</v>
      </c>
      <c r="L1328">
        <v>1</v>
      </c>
      <c r="M1328">
        <v>1</v>
      </c>
      <c r="N1328">
        <v>0.970414</v>
      </c>
    </row>
    <row r="1329" spans="1:14" x14ac:dyDescent="0.35">
      <c r="A1329" s="156" t="s">
        <v>542</v>
      </c>
      <c r="B1329" s="52">
        <v>44559</v>
      </c>
      <c r="C1329" s="156" t="s">
        <v>531</v>
      </c>
      <c r="D1329" s="156" t="s">
        <v>531</v>
      </c>
      <c r="E1329">
        <v>2085791</v>
      </c>
      <c r="F1329">
        <v>192710.60500000001</v>
      </c>
      <c r="G1329">
        <v>92.410899999999998</v>
      </c>
      <c r="H1329">
        <v>0.97658</v>
      </c>
      <c r="I1329">
        <v>1</v>
      </c>
      <c r="J1329" s="156">
        <v>1</v>
      </c>
      <c r="K1329">
        <v>1</v>
      </c>
      <c r="L1329">
        <v>1</v>
      </c>
      <c r="M1329">
        <v>1</v>
      </c>
      <c r="N1329">
        <v>0.97658</v>
      </c>
    </row>
    <row r="1330" spans="1:14" x14ac:dyDescent="0.35">
      <c r="A1330" s="156" t="s">
        <v>542</v>
      </c>
      <c r="B1330" s="52">
        <v>44560</v>
      </c>
      <c r="C1330" s="156" t="s">
        <v>531</v>
      </c>
      <c r="D1330" s="156" t="s">
        <v>531</v>
      </c>
      <c r="E1330">
        <v>2244824</v>
      </c>
      <c r="F1330">
        <v>211887.33069999999</v>
      </c>
      <c r="G1330">
        <v>94.383300000000006</v>
      </c>
      <c r="H1330">
        <v>1.018364</v>
      </c>
      <c r="I1330">
        <v>1</v>
      </c>
      <c r="J1330" s="156">
        <v>1</v>
      </c>
      <c r="K1330">
        <v>1</v>
      </c>
      <c r="L1330">
        <v>1</v>
      </c>
      <c r="M1330">
        <v>1</v>
      </c>
      <c r="N1330">
        <v>1.018364</v>
      </c>
    </row>
    <row r="1331" spans="1:14" x14ac:dyDescent="0.35">
      <c r="A1331" s="156" t="s">
        <v>542</v>
      </c>
      <c r="B1331" s="52">
        <v>44561</v>
      </c>
      <c r="C1331" s="156" t="s">
        <v>531</v>
      </c>
      <c r="D1331" s="156" t="s">
        <v>531</v>
      </c>
      <c r="E1331">
        <v>2294465</v>
      </c>
      <c r="F1331">
        <v>212772.14509999999</v>
      </c>
      <c r="G1331">
        <v>92.751999999999995</v>
      </c>
      <c r="H1331">
        <v>0.97210099999999999</v>
      </c>
      <c r="I1331">
        <v>1</v>
      </c>
      <c r="J1331" s="156">
        <v>1</v>
      </c>
      <c r="K1331">
        <v>1</v>
      </c>
      <c r="L1331">
        <v>1</v>
      </c>
      <c r="M1331">
        <v>1</v>
      </c>
      <c r="N1331">
        <v>0.97210099999999999</v>
      </c>
    </row>
    <row r="1332" spans="1:14" x14ac:dyDescent="0.35">
      <c r="A1332" s="156" t="s">
        <v>542</v>
      </c>
      <c r="B1332" s="52">
        <v>44564</v>
      </c>
      <c r="C1332" s="156" t="s">
        <v>531</v>
      </c>
      <c r="D1332" s="156" t="s">
        <v>531</v>
      </c>
      <c r="E1332">
        <v>3741234</v>
      </c>
      <c r="F1332">
        <v>336472.80339999998</v>
      </c>
      <c r="G1332">
        <v>89.950999999999993</v>
      </c>
      <c r="H1332">
        <v>0.98330399999999996</v>
      </c>
      <c r="I1332">
        <v>1</v>
      </c>
      <c r="J1332" s="156">
        <v>1</v>
      </c>
      <c r="K1332">
        <v>1</v>
      </c>
      <c r="L1332">
        <v>1</v>
      </c>
      <c r="M1332">
        <v>1</v>
      </c>
      <c r="N1332">
        <v>0.98330399999999996</v>
      </c>
    </row>
    <row r="1333" spans="1:14" x14ac:dyDescent="0.35">
      <c r="A1333" s="156" t="s">
        <v>542</v>
      </c>
      <c r="B1333" s="52">
        <v>44565</v>
      </c>
      <c r="C1333" s="156" t="s">
        <v>531</v>
      </c>
      <c r="D1333" s="156" t="s">
        <v>531</v>
      </c>
      <c r="E1333">
        <v>7466998</v>
      </c>
      <c r="F1333">
        <v>629404.18090000004</v>
      </c>
      <c r="G1333">
        <v>84.261300000000006</v>
      </c>
      <c r="H1333">
        <v>0.94728699999999999</v>
      </c>
      <c r="I1333">
        <v>1</v>
      </c>
      <c r="J1333" s="156">
        <v>1</v>
      </c>
      <c r="K1333">
        <v>1</v>
      </c>
      <c r="L1333">
        <v>1</v>
      </c>
      <c r="M1333">
        <v>1</v>
      </c>
      <c r="N1333">
        <v>0.94728699999999999</v>
      </c>
    </row>
    <row r="1334" spans="1:14" x14ac:dyDescent="0.35">
      <c r="A1334" s="156" t="s">
        <v>542</v>
      </c>
      <c r="B1334" s="52">
        <v>44566</v>
      </c>
      <c r="C1334" s="156" t="s">
        <v>531</v>
      </c>
      <c r="D1334" s="156" t="s">
        <v>531</v>
      </c>
      <c r="E1334">
        <v>6570983</v>
      </c>
      <c r="F1334">
        <v>531403.24280000001</v>
      </c>
      <c r="G1334">
        <v>80.882000000000005</v>
      </c>
      <c r="H1334">
        <v>0.93298999999999999</v>
      </c>
      <c r="I1334">
        <v>1</v>
      </c>
      <c r="J1334" s="156">
        <v>1</v>
      </c>
      <c r="K1334">
        <v>1</v>
      </c>
      <c r="L1334">
        <v>1</v>
      </c>
      <c r="M1334">
        <v>1</v>
      </c>
      <c r="N1334">
        <v>0.93298999999999999</v>
      </c>
    </row>
    <row r="1335" spans="1:14" x14ac:dyDescent="0.35">
      <c r="A1335" s="156" t="s">
        <v>542</v>
      </c>
      <c r="B1335" s="52">
        <v>44567</v>
      </c>
      <c r="C1335" s="156" t="s">
        <v>531</v>
      </c>
      <c r="D1335" s="156" t="s">
        <v>531</v>
      </c>
      <c r="E1335">
        <v>5358272</v>
      </c>
      <c r="F1335">
        <v>418074.32689999999</v>
      </c>
      <c r="G1335">
        <v>77.998099999999994</v>
      </c>
      <c r="H1335">
        <v>0.96597200000000005</v>
      </c>
      <c r="I1335">
        <v>1</v>
      </c>
      <c r="J1335" s="156">
        <v>1</v>
      </c>
      <c r="K1335">
        <v>1</v>
      </c>
      <c r="L1335">
        <v>1</v>
      </c>
      <c r="M1335">
        <v>1</v>
      </c>
      <c r="N1335">
        <v>0.96597200000000005</v>
      </c>
    </row>
    <row r="1336" spans="1:14" x14ac:dyDescent="0.35">
      <c r="A1336" s="156" t="s">
        <v>542</v>
      </c>
      <c r="B1336" s="52">
        <v>44568</v>
      </c>
      <c r="C1336" s="156" t="s">
        <v>531</v>
      </c>
      <c r="D1336" s="156" t="s">
        <v>531</v>
      </c>
      <c r="E1336">
        <v>6379964</v>
      </c>
      <c r="F1336">
        <v>506920.07939999999</v>
      </c>
      <c r="G1336">
        <v>79.469700000000003</v>
      </c>
      <c r="H1336">
        <v>1.0261279999999999</v>
      </c>
      <c r="I1336">
        <v>1</v>
      </c>
      <c r="J1336" s="156">
        <v>1</v>
      </c>
      <c r="K1336">
        <v>1</v>
      </c>
      <c r="L1336">
        <v>1</v>
      </c>
      <c r="M1336">
        <v>1</v>
      </c>
      <c r="N1336">
        <v>1.0261279999999999</v>
      </c>
    </row>
    <row r="1337" spans="1:14" x14ac:dyDescent="0.35">
      <c r="A1337" s="156" t="s">
        <v>542</v>
      </c>
      <c r="B1337" s="52">
        <v>44571</v>
      </c>
      <c r="C1337" s="156" t="s">
        <v>531</v>
      </c>
      <c r="D1337" s="156" t="s">
        <v>531</v>
      </c>
      <c r="E1337">
        <v>7083182</v>
      </c>
      <c r="F1337">
        <v>550417.10750000004</v>
      </c>
      <c r="G1337">
        <v>77.715800000000002</v>
      </c>
      <c r="H1337">
        <v>1.0260959999999999</v>
      </c>
      <c r="I1337">
        <v>1</v>
      </c>
      <c r="J1337" s="156">
        <v>1</v>
      </c>
      <c r="K1337">
        <v>1</v>
      </c>
      <c r="L1337">
        <v>1</v>
      </c>
      <c r="M1337">
        <v>1</v>
      </c>
      <c r="N1337">
        <v>1.0260959999999999</v>
      </c>
    </row>
    <row r="1338" spans="1:14" x14ac:dyDescent="0.35">
      <c r="A1338" s="156" t="s">
        <v>542</v>
      </c>
      <c r="B1338" s="52">
        <v>44572</v>
      </c>
      <c r="C1338" s="156" t="s">
        <v>531</v>
      </c>
      <c r="D1338" s="156" t="s">
        <v>531</v>
      </c>
      <c r="E1338">
        <v>6039993</v>
      </c>
      <c r="F1338">
        <v>508764.15639999998</v>
      </c>
      <c r="G1338">
        <v>84.217600000000004</v>
      </c>
      <c r="H1338">
        <v>1.047901</v>
      </c>
      <c r="I1338">
        <v>1</v>
      </c>
      <c r="J1338" s="156">
        <v>1</v>
      </c>
      <c r="K1338">
        <v>1</v>
      </c>
      <c r="L1338">
        <v>1</v>
      </c>
      <c r="M1338">
        <v>1</v>
      </c>
      <c r="N1338">
        <v>1.047901</v>
      </c>
    </row>
    <row r="1339" spans="1:14" x14ac:dyDescent="0.35">
      <c r="A1339" s="156" t="s">
        <v>542</v>
      </c>
      <c r="B1339" s="52">
        <v>44573</v>
      </c>
      <c r="C1339" s="156" t="s">
        <v>531</v>
      </c>
      <c r="D1339" s="156" t="s">
        <v>531</v>
      </c>
      <c r="E1339">
        <v>3478461</v>
      </c>
      <c r="F1339">
        <v>290462.52149999997</v>
      </c>
      <c r="G1339">
        <v>83.5154</v>
      </c>
      <c r="H1339">
        <v>0.97066399999999997</v>
      </c>
      <c r="I1339">
        <v>1</v>
      </c>
      <c r="J1339" s="156">
        <v>1</v>
      </c>
      <c r="K1339">
        <v>1</v>
      </c>
      <c r="L1339">
        <v>1</v>
      </c>
      <c r="M1339">
        <v>1</v>
      </c>
      <c r="N1339">
        <v>0.97066399999999997</v>
      </c>
    </row>
    <row r="1340" spans="1:14" x14ac:dyDescent="0.35">
      <c r="A1340" s="156" t="s">
        <v>542</v>
      </c>
      <c r="B1340" s="52">
        <v>44574</v>
      </c>
      <c r="C1340" s="156" t="s">
        <v>531</v>
      </c>
      <c r="D1340" s="156" t="s">
        <v>531</v>
      </c>
      <c r="E1340">
        <v>4193050</v>
      </c>
      <c r="F1340">
        <v>326054.90919999999</v>
      </c>
      <c r="G1340">
        <v>77.761799999999994</v>
      </c>
      <c r="H1340">
        <v>0.91952900000000004</v>
      </c>
      <c r="I1340">
        <v>1</v>
      </c>
      <c r="J1340" s="156">
        <v>1</v>
      </c>
      <c r="K1340">
        <v>1</v>
      </c>
      <c r="L1340">
        <v>1</v>
      </c>
      <c r="M1340">
        <v>1</v>
      </c>
      <c r="N1340">
        <v>0.91952900000000004</v>
      </c>
    </row>
    <row r="1341" spans="1:14" x14ac:dyDescent="0.35">
      <c r="A1341" s="156" t="s">
        <v>542</v>
      </c>
      <c r="B1341" s="52">
        <v>44575</v>
      </c>
      <c r="C1341" s="156" t="s">
        <v>531</v>
      </c>
      <c r="D1341" s="156" t="s">
        <v>531</v>
      </c>
      <c r="E1341">
        <v>4793479</v>
      </c>
      <c r="F1341">
        <v>356311.62359999999</v>
      </c>
      <c r="G1341">
        <v>74.355800000000002</v>
      </c>
      <c r="H1341">
        <v>0.99617199999999995</v>
      </c>
      <c r="I1341">
        <v>1</v>
      </c>
      <c r="J1341" s="156">
        <v>1</v>
      </c>
      <c r="K1341">
        <v>1</v>
      </c>
      <c r="L1341">
        <v>1</v>
      </c>
      <c r="M1341">
        <v>1</v>
      </c>
      <c r="N1341">
        <v>0.99617199999999995</v>
      </c>
    </row>
    <row r="1342" spans="1:14" x14ac:dyDescent="0.35">
      <c r="A1342" s="156" t="s">
        <v>542</v>
      </c>
      <c r="B1342" s="52">
        <v>44579</v>
      </c>
      <c r="C1342" s="156" t="s">
        <v>531</v>
      </c>
      <c r="D1342" s="156" t="s">
        <v>531</v>
      </c>
      <c r="E1342">
        <v>5586263</v>
      </c>
      <c r="F1342">
        <v>400868.2647</v>
      </c>
      <c r="G1342">
        <v>71.713099999999997</v>
      </c>
      <c r="H1342">
        <v>0.94077100000000002</v>
      </c>
      <c r="I1342">
        <v>1</v>
      </c>
      <c r="J1342" s="156">
        <v>1</v>
      </c>
      <c r="K1342">
        <v>1</v>
      </c>
      <c r="L1342">
        <v>1</v>
      </c>
      <c r="M1342">
        <v>1</v>
      </c>
      <c r="N1342">
        <v>0.94077100000000002</v>
      </c>
    </row>
    <row r="1343" spans="1:14" x14ac:dyDescent="0.35">
      <c r="A1343" s="156" t="s">
        <v>542</v>
      </c>
      <c r="B1343" s="52">
        <v>44580</v>
      </c>
      <c r="C1343" s="156" t="s">
        <v>531</v>
      </c>
      <c r="D1343" s="156" t="s">
        <v>531</v>
      </c>
      <c r="E1343">
        <v>4991329</v>
      </c>
      <c r="F1343">
        <v>350160.70069999999</v>
      </c>
      <c r="G1343">
        <v>70.130700000000004</v>
      </c>
      <c r="H1343">
        <v>0.971831</v>
      </c>
      <c r="I1343">
        <v>1</v>
      </c>
      <c r="J1343" s="156">
        <v>1</v>
      </c>
      <c r="K1343">
        <v>1</v>
      </c>
      <c r="L1343">
        <v>1</v>
      </c>
      <c r="M1343">
        <v>1</v>
      </c>
      <c r="N1343">
        <v>0.971831</v>
      </c>
    </row>
    <row r="1344" spans="1:14" x14ac:dyDescent="0.35">
      <c r="A1344" s="156" t="s">
        <v>542</v>
      </c>
      <c r="B1344" s="52">
        <v>44581</v>
      </c>
      <c r="C1344" s="156" t="s">
        <v>531</v>
      </c>
      <c r="D1344" s="156" t="s">
        <v>531</v>
      </c>
      <c r="E1344">
        <v>3941369</v>
      </c>
      <c r="F1344">
        <v>275686.38650000002</v>
      </c>
      <c r="G1344">
        <v>69.939599999999999</v>
      </c>
      <c r="H1344">
        <v>0.98159399999999997</v>
      </c>
      <c r="I1344">
        <v>1</v>
      </c>
      <c r="J1344" s="156">
        <v>1</v>
      </c>
      <c r="K1344">
        <v>1</v>
      </c>
      <c r="L1344">
        <v>1</v>
      </c>
      <c r="M1344">
        <v>1</v>
      </c>
      <c r="N1344">
        <v>0.98159399999999997</v>
      </c>
    </row>
    <row r="1345" spans="1:14" x14ac:dyDescent="0.35">
      <c r="A1345" s="156" t="s">
        <v>542</v>
      </c>
      <c r="B1345" s="52">
        <v>44582</v>
      </c>
      <c r="C1345" s="156" t="s">
        <v>531</v>
      </c>
      <c r="D1345" s="156" t="s">
        <v>531</v>
      </c>
      <c r="E1345">
        <v>13187785</v>
      </c>
      <c r="F1345">
        <v>816222.11580000003</v>
      </c>
      <c r="G1345">
        <v>61.845100000000002</v>
      </c>
      <c r="H1345">
        <v>0.87775000000000003</v>
      </c>
      <c r="I1345">
        <v>1</v>
      </c>
      <c r="J1345" s="156">
        <v>1</v>
      </c>
      <c r="K1345">
        <v>1</v>
      </c>
      <c r="L1345">
        <v>1</v>
      </c>
      <c r="M1345">
        <v>1</v>
      </c>
      <c r="N1345">
        <v>0.87775000000000003</v>
      </c>
    </row>
    <row r="1346" spans="1:14" x14ac:dyDescent="0.35">
      <c r="A1346" s="156" t="s">
        <v>542</v>
      </c>
      <c r="B1346" s="52">
        <v>44585</v>
      </c>
      <c r="C1346" s="156" t="s">
        <v>531</v>
      </c>
      <c r="D1346" s="156" t="s">
        <v>531</v>
      </c>
      <c r="E1346">
        <v>15954234</v>
      </c>
      <c r="F1346">
        <v>954715.94960000005</v>
      </c>
      <c r="G1346">
        <v>59.962299999999999</v>
      </c>
      <c r="H1346">
        <v>1.0989070000000001</v>
      </c>
      <c r="I1346">
        <v>1</v>
      </c>
      <c r="J1346" s="156">
        <v>1</v>
      </c>
      <c r="K1346">
        <v>1</v>
      </c>
      <c r="L1346">
        <v>1</v>
      </c>
      <c r="M1346">
        <v>1</v>
      </c>
      <c r="N1346">
        <v>1.0989070000000001</v>
      </c>
    </row>
    <row r="1347" spans="1:14" x14ac:dyDescent="0.35">
      <c r="A1347" s="156" t="s">
        <v>542</v>
      </c>
      <c r="B1347" s="52">
        <v>44586</v>
      </c>
      <c r="C1347" s="156" t="s">
        <v>531</v>
      </c>
      <c r="D1347" s="156" t="s">
        <v>531</v>
      </c>
      <c r="E1347">
        <v>9275584</v>
      </c>
      <c r="F1347">
        <v>589592.1274</v>
      </c>
      <c r="G1347">
        <v>63.545299999999997</v>
      </c>
      <c r="H1347">
        <v>0.95928400000000003</v>
      </c>
      <c r="I1347">
        <v>1</v>
      </c>
      <c r="J1347" s="156">
        <v>1</v>
      </c>
      <c r="K1347">
        <v>1</v>
      </c>
      <c r="L1347">
        <v>1</v>
      </c>
      <c r="M1347">
        <v>1</v>
      </c>
      <c r="N1347">
        <v>0.95928400000000003</v>
      </c>
    </row>
    <row r="1348" spans="1:14" x14ac:dyDescent="0.35">
      <c r="A1348" s="156" t="s">
        <v>542</v>
      </c>
      <c r="B1348" s="52">
        <v>44587</v>
      </c>
      <c r="C1348" s="156" t="s">
        <v>531</v>
      </c>
      <c r="D1348" s="156" t="s">
        <v>531</v>
      </c>
      <c r="E1348">
        <v>9489308</v>
      </c>
      <c r="F1348">
        <v>602904.6862</v>
      </c>
      <c r="G1348">
        <v>63.514499999999998</v>
      </c>
      <c r="H1348">
        <v>0.98069300000000004</v>
      </c>
      <c r="I1348">
        <v>1</v>
      </c>
      <c r="J1348" s="156">
        <v>1</v>
      </c>
      <c r="K1348">
        <v>1</v>
      </c>
      <c r="L1348">
        <v>1</v>
      </c>
      <c r="M1348">
        <v>1</v>
      </c>
      <c r="N1348">
        <v>0.98069300000000004</v>
      </c>
    </row>
    <row r="1349" spans="1:14" x14ac:dyDescent="0.35">
      <c r="A1349" s="156" t="s">
        <v>542</v>
      </c>
      <c r="B1349" s="52">
        <v>44588</v>
      </c>
      <c r="C1349" s="156" t="s">
        <v>531</v>
      </c>
      <c r="D1349" s="156" t="s">
        <v>531</v>
      </c>
      <c r="E1349">
        <v>5787962</v>
      </c>
      <c r="F1349">
        <v>356357.97360000003</v>
      </c>
      <c r="G1349">
        <v>61.584699999999998</v>
      </c>
      <c r="H1349">
        <v>0.97901099999999996</v>
      </c>
      <c r="I1349">
        <v>1</v>
      </c>
      <c r="J1349" s="156">
        <v>1</v>
      </c>
      <c r="K1349">
        <v>1</v>
      </c>
      <c r="L1349">
        <v>1</v>
      </c>
      <c r="M1349">
        <v>1</v>
      </c>
      <c r="N1349">
        <v>0.97901099999999996</v>
      </c>
    </row>
    <row r="1350" spans="1:14" x14ac:dyDescent="0.35">
      <c r="A1350" s="156" t="s">
        <v>542</v>
      </c>
      <c r="B1350" s="52">
        <v>44589</v>
      </c>
      <c r="C1350" s="156" t="s">
        <v>531</v>
      </c>
      <c r="D1350" s="156" t="s">
        <v>531</v>
      </c>
      <c r="E1350">
        <v>6200010</v>
      </c>
      <c r="F1350">
        <v>381771.30359999998</v>
      </c>
      <c r="G1350">
        <v>61.5764</v>
      </c>
      <c r="H1350">
        <v>1.057005</v>
      </c>
      <c r="I1350">
        <v>1</v>
      </c>
      <c r="J1350" s="156">
        <v>1</v>
      </c>
      <c r="K1350">
        <v>1</v>
      </c>
      <c r="L1350">
        <v>1</v>
      </c>
      <c r="M1350">
        <v>1</v>
      </c>
      <c r="N1350">
        <v>1.057005</v>
      </c>
    </row>
    <row r="1351" spans="1:14" x14ac:dyDescent="0.35">
      <c r="A1351" s="156" t="s">
        <v>542</v>
      </c>
      <c r="B1351" s="52">
        <v>44592</v>
      </c>
      <c r="C1351" s="156" t="s">
        <v>531</v>
      </c>
      <c r="D1351" s="156" t="s">
        <v>531</v>
      </c>
      <c r="E1351">
        <v>7080805</v>
      </c>
      <c r="F1351">
        <v>481822.85110000003</v>
      </c>
      <c r="G1351">
        <v>68.0471</v>
      </c>
      <c r="H1351">
        <v>1.093396</v>
      </c>
      <c r="I1351">
        <v>1</v>
      </c>
      <c r="J1351" s="156">
        <v>1</v>
      </c>
      <c r="K1351">
        <v>1</v>
      </c>
      <c r="L1351">
        <v>1</v>
      </c>
      <c r="M1351">
        <v>1</v>
      </c>
      <c r="N1351">
        <v>1.093396</v>
      </c>
    </row>
    <row r="1352" spans="1:14" x14ac:dyDescent="0.35">
      <c r="A1352" s="156" t="s">
        <v>542</v>
      </c>
      <c r="B1352" s="52">
        <v>44593</v>
      </c>
      <c r="C1352" s="156" t="s">
        <v>531</v>
      </c>
      <c r="D1352" s="156" t="s">
        <v>531</v>
      </c>
      <c r="E1352">
        <v>6232091</v>
      </c>
      <c r="F1352">
        <v>437142.28080000001</v>
      </c>
      <c r="G1352">
        <v>70.159800000000004</v>
      </c>
      <c r="H1352">
        <v>1.022289</v>
      </c>
      <c r="I1352">
        <v>1</v>
      </c>
      <c r="J1352" s="156">
        <v>1</v>
      </c>
      <c r="K1352">
        <v>1</v>
      </c>
      <c r="L1352">
        <v>1</v>
      </c>
      <c r="M1352">
        <v>1</v>
      </c>
      <c r="N1352">
        <v>1.022289</v>
      </c>
    </row>
    <row r="1353" spans="1:14" x14ac:dyDescent="0.35">
      <c r="A1353" s="156" t="s">
        <v>542</v>
      </c>
      <c r="B1353" s="52">
        <v>44594</v>
      </c>
      <c r="C1353" s="156" t="s">
        <v>531</v>
      </c>
      <c r="D1353" s="156" t="s">
        <v>531</v>
      </c>
      <c r="E1353">
        <v>6771944</v>
      </c>
      <c r="F1353">
        <v>477524.07250000001</v>
      </c>
      <c r="G1353">
        <v>70.536900000000003</v>
      </c>
      <c r="H1353">
        <v>0.98480800000000002</v>
      </c>
      <c r="I1353">
        <v>1</v>
      </c>
      <c r="J1353" s="156">
        <v>1</v>
      </c>
      <c r="K1353">
        <v>1</v>
      </c>
      <c r="L1353">
        <v>1</v>
      </c>
      <c r="M1353">
        <v>1</v>
      </c>
      <c r="N1353">
        <v>0.98480800000000002</v>
      </c>
    </row>
    <row r="1354" spans="1:14" x14ac:dyDescent="0.35">
      <c r="A1354" s="156" t="s">
        <v>542</v>
      </c>
      <c r="B1354" s="52">
        <v>44595</v>
      </c>
      <c r="C1354" s="156" t="s">
        <v>531</v>
      </c>
      <c r="D1354" s="156" t="s">
        <v>531</v>
      </c>
      <c r="E1354">
        <v>8252871</v>
      </c>
      <c r="F1354">
        <v>539697.451</v>
      </c>
      <c r="G1354">
        <v>66.240799999999993</v>
      </c>
      <c r="H1354">
        <v>0.94043699999999997</v>
      </c>
      <c r="I1354">
        <v>1</v>
      </c>
      <c r="J1354" s="156">
        <v>1</v>
      </c>
      <c r="K1354">
        <v>1</v>
      </c>
      <c r="L1354">
        <v>1</v>
      </c>
      <c r="M1354">
        <v>1</v>
      </c>
      <c r="N1354">
        <v>0.94043699999999997</v>
      </c>
    </row>
    <row r="1355" spans="1:14" x14ac:dyDescent="0.35">
      <c r="A1355" s="156" t="s">
        <v>542</v>
      </c>
      <c r="B1355" s="52">
        <v>44596</v>
      </c>
      <c r="C1355" s="156" t="s">
        <v>531</v>
      </c>
      <c r="D1355" s="156" t="s">
        <v>531</v>
      </c>
      <c r="E1355">
        <v>7950226</v>
      </c>
      <c r="F1355">
        <v>567024.26289999997</v>
      </c>
      <c r="G1355">
        <v>71.524799999999999</v>
      </c>
      <c r="H1355">
        <v>1.109356</v>
      </c>
      <c r="I1355">
        <v>1</v>
      </c>
      <c r="J1355" s="156">
        <v>1</v>
      </c>
      <c r="K1355">
        <v>1</v>
      </c>
      <c r="L1355">
        <v>1</v>
      </c>
      <c r="M1355">
        <v>1</v>
      </c>
      <c r="N1355">
        <v>1.109356</v>
      </c>
    </row>
    <row r="1356" spans="1:14" x14ac:dyDescent="0.35">
      <c r="A1356" s="156" t="s">
        <v>542</v>
      </c>
      <c r="B1356" s="52">
        <v>44599</v>
      </c>
      <c r="C1356" s="156" t="s">
        <v>531</v>
      </c>
      <c r="D1356" s="156" t="s">
        <v>531</v>
      </c>
      <c r="E1356">
        <v>5984256</v>
      </c>
      <c r="F1356">
        <v>435512.46399999998</v>
      </c>
      <c r="G1356">
        <v>74.398799999999994</v>
      </c>
      <c r="H1356">
        <v>1.0072559999999999</v>
      </c>
      <c r="I1356">
        <v>1</v>
      </c>
      <c r="J1356" s="156">
        <v>1</v>
      </c>
      <c r="K1356">
        <v>1</v>
      </c>
      <c r="L1356">
        <v>1</v>
      </c>
      <c r="M1356">
        <v>1</v>
      </c>
      <c r="N1356">
        <v>1.0072559999999999</v>
      </c>
    </row>
    <row r="1357" spans="1:14" x14ac:dyDescent="0.35">
      <c r="A1357" s="156" t="s">
        <v>542</v>
      </c>
      <c r="B1357" s="52">
        <v>44600</v>
      </c>
      <c r="C1357" s="156" t="s">
        <v>531</v>
      </c>
      <c r="D1357" s="156" t="s">
        <v>531</v>
      </c>
      <c r="E1357">
        <v>5551702</v>
      </c>
      <c r="F1357">
        <v>415785.8382</v>
      </c>
      <c r="G1357">
        <v>75.257099999999994</v>
      </c>
      <c r="H1357">
        <v>1.03969</v>
      </c>
      <c r="I1357">
        <v>1</v>
      </c>
      <c r="J1357" s="156">
        <v>1</v>
      </c>
      <c r="K1357">
        <v>1</v>
      </c>
      <c r="L1357">
        <v>1</v>
      </c>
      <c r="M1357">
        <v>1</v>
      </c>
      <c r="N1357">
        <v>1.03969</v>
      </c>
    </row>
    <row r="1358" spans="1:14" x14ac:dyDescent="0.35">
      <c r="A1358" s="156" t="s">
        <v>542</v>
      </c>
      <c r="B1358" s="52">
        <v>44601</v>
      </c>
      <c r="C1358" s="156" t="s">
        <v>531</v>
      </c>
      <c r="D1358" s="156" t="s">
        <v>531</v>
      </c>
      <c r="E1358">
        <v>5499851</v>
      </c>
      <c r="F1358">
        <v>430750.82809999998</v>
      </c>
      <c r="G1358">
        <v>78.63</v>
      </c>
      <c r="H1358">
        <v>1.045104</v>
      </c>
      <c r="I1358">
        <v>1</v>
      </c>
      <c r="J1358" s="156">
        <v>1</v>
      </c>
      <c r="K1358">
        <v>1</v>
      </c>
      <c r="L1358">
        <v>1</v>
      </c>
      <c r="M1358">
        <v>1</v>
      </c>
      <c r="N1358">
        <v>1.045104</v>
      </c>
    </row>
    <row r="1359" spans="1:14" x14ac:dyDescent="0.35">
      <c r="A1359" s="156" t="s">
        <v>542</v>
      </c>
      <c r="B1359" s="52">
        <v>44602</v>
      </c>
      <c r="C1359" s="156" t="s">
        <v>531</v>
      </c>
      <c r="D1359" s="156" t="s">
        <v>531</v>
      </c>
      <c r="E1359">
        <v>8586674</v>
      </c>
      <c r="F1359">
        <v>704201.41799999995</v>
      </c>
      <c r="G1359">
        <v>82.5227</v>
      </c>
      <c r="H1359">
        <v>1.0275209999999999</v>
      </c>
      <c r="I1359">
        <v>1</v>
      </c>
      <c r="J1359" s="156">
        <v>1</v>
      </c>
      <c r="K1359">
        <v>1</v>
      </c>
      <c r="L1359">
        <v>1</v>
      </c>
      <c r="M1359">
        <v>1</v>
      </c>
      <c r="N1359">
        <v>1.0275209999999999</v>
      </c>
    </row>
    <row r="1360" spans="1:14" x14ac:dyDescent="0.35">
      <c r="A1360" s="156" t="s">
        <v>542</v>
      </c>
      <c r="B1360" s="52">
        <v>44603</v>
      </c>
      <c r="C1360" s="156" t="s">
        <v>531</v>
      </c>
      <c r="D1360" s="156" t="s">
        <v>531</v>
      </c>
      <c r="E1360">
        <v>9431582</v>
      </c>
      <c r="F1360">
        <v>731997.35589999997</v>
      </c>
      <c r="G1360">
        <v>77.980500000000006</v>
      </c>
      <c r="H1360">
        <v>0.92890200000000001</v>
      </c>
      <c r="I1360">
        <v>1</v>
      </c>
      <c r="J1360" s="156">
        <v>1</v>
      </c>
      <c r="K1360">
        <v>1</v>
      </c>
      <c r="L1360">
        <v>1</v>
      </c>
      <c r="M1360">
        <v>1</v>
      </c>
      <c r="N1360">
        <v>0.92890200000000001</v>
      </c>
    </row>
    <row r="1361" spans="1:14" x14ac:dyDescent="0.35">
      <c r="A1361" s="156" t="s">
        <v>542</v>
      </c>
      <c r="B1361" s="52">
        <v>44606</v>
      </c>
      <c r="C1361" s="156" t="s">
        <v>531</v>
      </c>
      <c r="D1361" s="156" t="s">
        <v>531</v>
      </c>
      <c r="E1361">
        <v>6342654</v>
      </c>
      <c r="F1361">
        <v>490589.63789999997</v>
      </c>
      <c r="G1361">
        <v>77.460999999999999</v>
      </c>
      <c r="H1361">
        <v>1.0027520000000001</v>
      </c>
      <c r="I1361">
        <v>1</v>
      </c>
      <c r="J1361" s="156">
        <v>1</v>
      </c>
      <c r="K1361">
        <v>1</v>
      </c>
      <c r="L1361">
        <v>1</v>
      </c>
      <c r="M1361">
        <v>1</v>
      </c>
      <c r="N1361">
        <v>1.0027520000000001</v>
      </c>
    </row>
    <row r="1362" spans="1:14" x14ac:dyDescent="0.35">
      <c r="A1362" s="156" t="s">
        <v>542</v>
      </c>
      <c r="B1362" s="52">
        <v>44607</v>
      </c>
      <c r="C1362" s="156" t="s">
        <v>531</v>
      </c>
      <c r="D1362" s="156" t="s">
        <v>531</v>
      </c>
      <c r="E1362">
        <v>7195955</v>
      </c>
      <c r="F1362">
        <v>562643.22710000002</v>
      </c>
      <c r="G1362">
        <v>79.339600000000004</v>
      </c>
      <c r="H1362">
        <v>1.052411</v>
      </c>
      <c r="I1362">
        <v>1</v>
      </c>
      <c r="J1362" s="156">
        <v>1</v>
      </c>
      <c r="K1362">
        <v>1</v>
      </c>
      <c r="L1362">
        <v>1</v>
      </c>
      <c r="M1362">
        <v>1</v>
      </c>
      <c r="N1362">
        <v>1.052411</v>
      </c>
    </row>
    <row r="1363" spans="1:14" x14ac:dyDescent="0.35">
      <c r="A1363" s="156" t="s">
        <v>542</v>
      </c>
      <c r="B1363" s="52">
        <v>44608</v>
      </c>
      <c r="C1363" s="156" t="s">
        <v>531</v>
      </c>
      <c r="D1363" s="156" t="s">
        <v>531</v>
      </c>
      <c r="E1363">
        <v>19244680</v>
      </c>
      <c r="F1363">
        <v>1482952.8570999999</v>
      </c>
      <c r="G1363">
        <v>77.305599999999998</v>
      </c>
      <c r="H1363">
        <v>1.0048440000000001</v>
      </c>
      <c r="I1363">
        <v>1</v>
      </c>
      <c r="J1363" s="156">
        <v>1</v>
      </c>
      <c r="K1363">
        <v>1</v>
      </c>
      <c r="L1363">
        <v>1</v>
      </c>
      <c r="M1363">
        <v>1</v>
      </c>
      <c r="N1363">
        <v>1.0048440000000001</v>
      </c>
    </row>
    <row r="1364" spans="1:14" x14ac:dyDescent="0.35">
      <c r="A1364" s="156" t="s">
        <v>542</v>
      </c>
      <c r="B1364" s="52">
        <v>44609</v>
      </c>
      <c r="C1364" s="156" t="s">
        <v>531</v>
      </c>
      <c r="D1364" s="156" t="s">
        <v>531</v>
      </c>
      <c r="E1364">
        <v>7533011</v>
      </c>
      <c r="F1364">
        <v>604940.25150000001</v>
      </c>
      <c r="G1364">
        <v>80.618600000000001</v>
      </c>
      <c r="H1364">
        <v>0.98146100000000003</v>
      </c>
      <c r="I1364">
        <v>1</v>
      </c>
      <c r="J1364" s="156">
        <v>1</v>
      </c>
      <c r="K1364">
        <v>1</v>
      </c>
      <c r="L1364">
        <v>1</v>
      </c>
      <c r="M1364">
        <v>1</v>
      </c>
      <c r="N1364">
        <v>0.98146100000000003</v>
      </c>
    </row>
    <row r="1365" spans="1:14" x14ac:dyDescent="0.35">
      <c r="A1365" s="156" t="s">
        <v>542</v>
      </c>
      <c r="B1365" s="52">
        <v>44610</v>
      </c>
      <c r="C1365" s="156" t="s">
        <v>531</v>
      </c>
      <c r="D1365" s="156" t="s">
        <v>531</v>
      </c>
      <c r="E1365">
        <v>7191399</v>
      </c>
      <c r="F1365">
        <v>561754.95680000004</v>
      </c>
      <c r="G1365">
        <v>78.6708</v>
      </c>
      <c r="H1365">
        <v>0.98287400000000003</v>
      </c>
      <c r="I1365">
        <v>1</v>
      </c>
      <c r="J1365" s="156">
        <v>1</v>
      </c>
      <c r="K1365">
        <v>1</v>
      </c>
      <c r="L1365">
        <v>1</v>
      </c>
      <c r="M1365">
        <v>1</v>
      </c>
      <c r="N1365">
        <v>0.98287400000000003</v>
      </c>
    </row>
    <row r="1366" spans="1:14" x14ac:dyDescent="0.35">
      <c r="A1366" s="156" t="s">
        <v>542</v>
      </c>
      <c r="B1366" s="52">
        <v>44614</v>
      </c>
      <c r="C1366" s="156" t="s">
        <v>531</v>
      </c>
      <c r="D1366" s="156" t="s">
        <v>531</v>
      </c>
      <c r="E1366">
        <v>6140705</v>
      </c>
      <c r="F1366">
        <v>463982.48090000002</v>
      </c>
      <c r="G1366">
        <v>76.022800000000004</v>
      </c>
      <c r="H1366">
        <v>0.95835999999999999</v>
      </c>
      <c r="I1366">
        <v>1</v>
      </c>
      <c r="J1366" s="156">
        <v>1</v>
      </c>
      <c r="K1366">
        <v>1</v>
      </c>
      <c r="L1366">
        <v>1</v>
      </c>
      <c r="M1366">
        <v>1</v>
      </c>
      <c r="N1366">
        <v>0.95835999999999999</v>
      </c>
    </row>
    <row r="1367" spans="1:14" x14ac:dyDescent="0.35">
      <c r="A1367" s="156" t="s">
        <v>542</v>
      </c>
      <c r="B1367" s="52">
        <v>44615</v>
      </c>
      <c r="C1367" s="156" t="s">
        <v>531</v>
      </c>
      <c r="D1367" s="156" t="s">
        <v>531</v>
      </c>
      <c r="E1367">
        <v>4995533</v>
      </c>
      <c r="F1367">
        <v>370146.23950000003</v>
      </c>
      <c r="G1367">
        <v>74.603499999999997</v>
      </c>
      <c r="H1367">
        <v>0.99090900000000004</v>
      </c>
      <c r="I1367">
        <v>1</v>
      </c>
      <c r="J1367" s="156">
        <v>1</v>
      </c>
      <c r="K1367">
        <v>1</v>
      </c>
      <c r="L1367">
        <v>1</v>
      </c>
      <c r="M1367">
        <v>1</v>
      </c>
      <c r="N1367">
        <v>0.99090900000000004</v>
      </c>
    </row>
    <row r="1368" spans="1:14" x14ac:dyDescent="0.35">
      <c r="A1368" s="156" t="s">
        <v>542</v>
      </c>
      <c r="B1368" s="52">
        <v>44616</v>
      </c>
      <c r="C1368" s="156" t="s">
        <v>531</v>
      </c>
      <c r="D1368" s="156" t="s">
        <v>531</v>
      </c>
      <c r="E1368">
        <v>9859332</v>
      </c>
      <c r="F1368">
        <v>770708.82460000005</v>
      </c>
      <c r="G1368">
        <v>78.606899999999996</v>
      </c>
      <c r="H1368">
        <v>1.1173770000000001</v>
      </c>
      <c r="I1368">
        <v>1</v>
      </c>
      <c r="J1368" s="156">
        <v>1</v>
      </c>
      <c r="K1368">
        <v>1</v>
      </c>
      <c r="L1368">
        <v>1</v>
      </c>
      <c r="M1368">
        <v>1</v>
      </c>
      <c r="N1368">
        <v>1.1173770000000001</v>
      </c>
    </row>
    <row r="1369" spans="1:14" x14ac:dyDescent="0.35">
      <c r="A1369" s="156" t="s">
        <v>542</v>
      </c>
      <c r="B1369" s="52">
        <v>44617</v>
      </c>
      <c r="C1369" s="156" t="s">
        <v>531</v>
      </c>
      <c r="D1369" s="156" t="s">
        <v>531</v>
      </c>
      <c r="E1369">
        <v>5456328</v>
      </c>
      <c r="F1369">
        <v>451570.60960000003</v>
      </c>
      <c r="G1369">
        <v>82.952399999999997</v>
      </c>
      <c r="H1369">
        <v>1.0097799999999999</v>
      </c>
      <c r="I1369">
        <v>1</v>
      </c>
      <c r="J1369" s="156">
        <v>1</v>
      </c>
      <c r="K1369">
        <v>1</v>
      </c>
      <c r="L1369">
        <v>1</v>
      </c>
      <c r="M1369">
        <v>1</v>
      </c>
      <c r="N1369">
        <v>1.0097799999999999</v>
      </c>
    </row>
    <row r="1370" spans="1:14" x14ac:dyDescent="0.35">
      <c r="A1370" s="156" t="s">
        <v>542</v>
      </c>
      <c r="B1370" s="52">
        <v>44620</v>
      </c>
      <c r="C1370" s="156" t="s">
        <v>531</v>
      </c>
      <c r="D1370" s="156" t="s">
        <v>531</v>
      </c>
      <c r="E1370">
        <v>5525872</v>
      </c>
      <c r="F1370">
        <v>467139.66489999997</v>
      </c>
      <c r="G1370">
        <v>84.801400000000001</v>
      </c>
      <c r="H1370">
        <v>1.020208</v>
      </c>
      <c r="I1370">
        <v>1</v>
      </c>
      <c r="J1370" s="156">
        <v>1</v>
      </c>
      <c r="K1370">
        <v>1</v>
      </c>
      <c r="L1370">
        <v>1</v>
      </c>
      <c r="M1370">
        <v>1</v>
      </c>
      <c r="N1370">
        <v>1.020208</v>
      </c>
    </row>
    <row r="1371" spans="1:14" x14ac:dyDescent="0.35">
      <c r="A1371" s="156" t="s">
        <v>542</v>
      </c>
      <c r="B1371" s="52">
        <v>44621</v>
      </c>
      <c r="C1371" s="156" t="s">
        <v>531</v>
      </c>
      <c r="D1371" s="156" t="s">
        <v>531</v>
      </c>
      <c r="E1371">
        <v>5086667</v>
      </c>
      <c r="F1371">
        <v>421759.29239999998</v>
      </c>
      <c r="G1371">
        <v>83.011300000000006</v>
      </c>
      <c r="H1371">
        <v>0.96202500000000002</v>
      </c>
      <c r="I1371">
        <v>1</v>
      </c>
      <c r="J1371" s="156">
        <v>1</v>
      </c>
      <c r="K1371">
        <v>1</v>
      </c>
      <c r="L1371">
        <v>1</v>
      </c>
      <c r="M1371">
        <v>1</v>
      </c>
      <c r="N1371">
        <v>0.96202500000000002</v>
      </c>
    </row>
    <row r="1372" spans="1:14" x14ac:dyDescent="0.35">
      <c r="A1372" s="156" t="s">
        <v>542</v>
      </c>
      <c r="B1372" s="52">
        <v>44622</v>
      </c>
      <c r="C1372" s="156" t="s">
        <v>531</v>
      </c>
      <c r="D1372" s="156" t="s">
        <v>531</v>
      </c>
      <c r="E1372">
        <v>3598225</v>
      </c>
      <c r="F1372">
        <v>292028.87310000003</v>
      </c>
      <c r="G1372">
        <v>81.230400000000003</v>
      </c>
      <c r="H1372">
        <v>1.0021929999999999</v>
      </c>
      <c r="I1372">
        <v>1</v>
      </c>
      <c r="J1372" s="156">
        <v>1</v>
      </c>
      <c r="K1372">
        <v>1</v>
      </c>
      <c r="L1372">
        <v>1</v>
      </c>
      <c r="M1372">
        <v>1</v>
      </c>
      <c r="N1372">
        <v>1.0021929999999999</v>
      </c>
    </row>
    <row r="1373" spans="1:14" x14ac:dyDescent="0.35">
      <c r="A1373" s="156" t="s">
        <v>542</v>
      </c>
      <c r="B1373" s="52">
        <v>44623</v>
      </c>
      <c r="C1373" s="156" t="s">
        <v>531</v>
      </c>
      <c r="D1373" s="156" t="s">
        <v>531</v>
      </c>
      <c r="E1373">
        <v>4114809</v>
      </c>
      <c r="F1373">
        <v>327641.3884</v>
      </c>
      <c r="G1373">
        <v>79.848699999999994</v>
      </c>
      <c r="H1373">
        <v>0.96377299999999999</v>
      </c>
      <c r="I1373">
        <v>1</v>
      </c>
      <c r="J1373" s="156">
        <v>1</v>
      </c>
      <c r="K1373">
        <v>1</v>
      </c>
      <c r="L1373">
        <v>1</v>
      </c>
      <c r="M1373">
        <v>1</v>
      </c>
      <c r="N1373">
        <v>0.96377299999999999</v>
      </c>
    </row>
    <row r="1374" spans="1:14" x14ac:dyDescent="0.35">
      <c r="A1374" s="156" t="s">
        <v>542</v>
      </c>
      <c r="B1374" s="52">
        <v>44624</v>
      </c>
      <c r="C1374" s="156" t="s">
        <v>531</v>
      </c>
      <c r="D1374" s="156" t="s">
        <v>531</v>
      </c>
      <c r="E1374">
        <v>3698569</v>
      </c>
      <c r="F1374">
        <v>282606.15629999997</v>
      </c>
      <c r="G1374">
        <v>76.668899999999994</v>
      </c>
      <c r="H1374">
        <v>0.95433900000000005</v>
      </c>
      <c r="I1374">
        <v>1</v>
      </c>
      <c r="J1374" s="156">
        <v>1</v>
      </c>
      <c r="K1374">
        <v>1</v>
      </c>
      <c r="L1374">
        <v>1</v>
      </c>
      <c r="M1374">
        <v>1</v>
      </c>
      <c r="N1374">
        <v>0.95433900000000005</v>
      </c>
    </row>
    <row r="1375" spans="1:14" x14ac:dyDescent="0.35">
      <c r="A1375" s="156" t="s">
        <v>542</v>
      </c>
      <c r="B1375" s="52">
        <v>44627</v>
      </c>
      <c r="C1375" s="156" t="s">
        <v>531</v>
      </c>
      <c r="D1375" s="156" t="s">
        <v>531</v>
      </c>
      <c r="E1375">
        <v>7883167</v>
      </c>
      <c r="F1375">
        <v>541149.79630000005</v>
      </c>
      <c r="G1375">
        <v>68.914299999999997</v>
      </c>
      <c r="H1375">
        <v>0.87377700000000003</v>
      </c>
      <c r="I1375">
        <v>1</v>
      </c>
      <c r="J1375" s="156">
        <v>1</v>
      </c>
      <c r="K1375">
        <v>1</v>
      </c>
      <c r="L1375">
        <v>1</v>
      </c>
      <c r="M1375">
        <v>1</v>
      </c>
      <c r="N1375">
        <v>0.87377700000000003</v>
      </c>
    </row>
    <row r="1376" spans="1:14" x14ac:dyDescent="0.35">
      <c r="A1376" s="156" t="s">
        <v>542</v>
      </c>
      <c r="B1376" s="52">
        <v>44628</v>
      </c>
      <c r="C1376" s="156" t="s">
        <v>531</v>
      </c>
      <c r="D1376" s="156" t="s">
        <v>531</v>
      </c>
      <c r="E1376">
        <v>10640152</v>
      </c>
      <c r="F1376">
        <v>662139.39679999999</v>
      </c>
      <c r="G1376">
        <v>62.385300000000001</v>
      </c>
      <c r="H1376">
        <v>0.94312499999999999</v>
      </c>
      <c r="I1376">
        <v>1</v>
      </c>
      <c r="J1376" s="156">
        <v>1</v>
      </c>
      <c r="K1376">
        <v>1</v>
      </c>
      <c r="L1376">
        <v>1</v>
      </c>
      <c r="M1376">
        <v>1</v>
      </c>
      <c r="N1376">
        <v>0.94312499999999999</v>
      </c>
    </row>
    <row r="1377" spans="1:14" x14ac:dyDescent="0.35">
      <c r="A1377" s="156" t="s">
        <v>542</v>
      </c>
      <c r="B1377" s="52">
        <v>44629</v>
      </c>
      <c r="C1377" s="156" t="s">
        <v>531</v>
      </c>
      <c r="D1377" s="156" t="s">
        <v>531</v>
      </c>
      <c r="E1377">
        <v>4988312</v>
      </c>
      <c r="F1377">
        <v>328094.5232</v>
      </c>
      <c r="G1377">
        <v>65.979799999999997</v>
      </c>
      <c r="H1377">
        <v>1.064956</v>
      </c>
      <c r="I1377">
        <v>1</v>
      </c>
      <c r="J1377" s="156">
        <v>1</v>
      </c>
      <c r="K1377">
        <v>1</v>
      </c>
      <c r="L1377">
        <v>1</v>
      </c>
      <c r="M1377">
        <v>1</v>
      </c>
      <c r="N1377">
        <v>1.064956</v>
      </c>
    </row>
    <row r="1378" spans="1:14" x14ac:dyDescent="0.35">
      <c r="A1378" s="156" t="s">
        <v>542</v>
      </c>
      <c r="B1378" s="52">
        <v>44630</v>
      </c>
      <c r="C1378" s="156" t="s">
        <v>531</v>
      </c>
      <c r="D1378" s="156" t="s">
        <v>531</v>
      </c>
      <c r="E1378">
        <v>4812910</v>
      </c>
      <c r="F1378">
        <v>300177.66129999998</v>
      </c>
      <c r="G1378">
        <v>62.655500000000004</v>
      </c>
      <c r="H1378">
        <v>0.94924699999999995</v>
      </c>
      <c r="I1378">
        <v>1</v>
      </c>
      <c r="J1378" s="156">
        <v>1</v>
      </c>
      <c r="K1378">
        <v>1</v>
      </c>
      <c r="L1378">
        <v>1</v>
      </c>
      <c r="M1378">
        <v>1</v>
      </c>
      <c r="N1378">
        <v>0.94924699999999995</v>
      </c>
    </row>
    <row r="1379" spans="1:14" x14ac:dyDescent="0.35">
      <c r="A1379" s="156" t="s">
        <v>542</v>
      </c>
      <c r="B1379" s="52">
        <v>44631</v>
      </c>
      <c r="C1379" s="156" t="s">
        <v>531</v>
      </c>
      <c r="D1379" s="156" t="s">
        <v>531</v>
      </c>
      <c r="E1379">
        <v>7767116</v>
      </c>
      <c r="F1379">
        <v>451054.56770000001</v>
      </c>
      <c r="G1379">
        <v>58.557899999999997</v>
      </c>
      <c r="H1379">
        <v>0.90115800000000001</v>
      </c>
      <c r="I1379">
        <v>1</v>
      </c>
      <c r="J1379" s="156">
        <v>1</v>
      </c>
      <c r="K1379">
        <v>1</v>
      </c>
      <c r="L1379">
        <v>1</v>
      </c>
      <c r="M1379">
        <v>1</v>
      </c>
      <c r="N1379">
        <v>0.90115800000000001</v>
      </c>
    </row>
    <row r="1380" spans="1:14" x14ac:dyDescent="0.35">
      <c r="A1380" s="156" t="s">
        <v>542</v>
      </c>
      <c r="B1380" s="52">
        <v>44634</v>
      </c>
      <c r="C1380" s="156" t="s">
        <v>531</v>
      </c>
      <c r="D1380" s="156" t="s">
        <v>531</v>
      </c>
      <c r="E1380">
        <v>10391856</v>
      </c>
      <c r="F1380">
        <v>550967.11309999996</v>
      </c>
      <c r="G1380">
        <v>53.207799999999999</v>
      </c>
      <c r="H1380">
        <v>0.92394399999999999</v>
      </c>
      <c r="I1380">
        <v>1</v>
      </c>
      <c r="J1380" s="156">
        <v>1</v>
      </c>
      <c r="K1380">
        <v>1</v>
      </c>
      <c r="L1380">
        <v>1</v>
      </c>
      <c r="M1380">
        <v>1</v>
      </c>
      <c r="N1380">
        <v>0.92394399999999999</v>
      </c>
    </row>
    <row r="1381" spans="1:14" x14ac:dyDescent="0.35">
      <c r="A1381" s="156" t="s">
        <v>542</v>
      </c>
      <c r="B1381" s="52">
        <v>44635</v>
      </c>
      <c r="C1381" s="156" t="s">
        <v>531</v>
      </c>
      <c r="D1381" s="156" t="s">
        <v>531</v>
      </c>
      <c r="E1381">
        <v>8935061</v>
      </c>
      <c r="F1381">
        <v>472818.99339999998</v>
      </c>
      <c r="G1381">
        <v>53.058</v>
      </c>
      <c r="H1381">
        <v>1.026486</v>
      </c>
      <c r="I1381">
        <v>1</v>
      </c>
      <c r="J1381" s="156">
        <v>1</v>
      </c>
      <c r="K1381">
        <v>1</v>
      </c>
      <c r="L1381">
        <v>1</v>
      </c>
      <c r="M1381">
        <v>1</v>
      </c>
      <c r="N1381">
        <v>1.026486</v>
      </c>
    </row>
    <row r="1382" spans="1:14" x14ac:dyDescent="0.35">
      <c r="A1382" s="156" t="s">
        <v>542</v>
      </c>
      <c r="B1382" s="52">
        <v>44636</v>
      </c>
      <c r="C1382" s="156" t="s">
        <v>531</v>
      </c>
      <c r="D1382" s="156" t="s">
        <v>531</v>
      </c>
      <c r="E1382">
        <v>9222354</v>
      </c>
      <c r="F1382">
        <v>539234.35499999998</v>
      </c>
      <c r="G1382">
        <v>59.003100000000003</v>
      </c>
      <c r="H1382">
        <v>1.1195470000000001</v>
      </c>
      <c r="I1382">
        <v>1</v>
      </c>
      <c r="J1382" s="156">
        <v>1</v>
      </c>
      <c r="K1382">
        <v>1</v>
      </c>
      <c r="L1382">
        <v>1</v>
      </c>
      <c r="M1382">
        <v>1</v>
      </c>
      <c r="N1382">
        <v>1.1195470000000001</v>
      </c>
    </row>
    <row r="1383" spans="1:14" x14ac:dyDescent="0.35">
      <c r="A1383" s="156" t="s">
        <v>542</v>
      </c>
      <c r="B1383" s="52">
        <v>44637</v>
      </c>
      <c r="C1383" s="156" t="s">
        <v>531</v>
      </c>
      <c r="D1383" s="156" t="s">
        <v>531</v>
      </c>
      <c r="E1383">
        <v>7499177</v>
      </c>
      <c r="F1383">
        <v>477440.99540000001</v>
      </c>
      <c r="G1383">
        <v>63.820399999999999</v>
      </c>
      <c r="H1383">
        <v>1.0845629999999999</v>
      </c>
      <c r="I1383">
        <v>1</v>
      </c>
      <c r="J1383" s="156">
        <v>1</v>
      </c>
      <c r="K1383">
        <v>1</v>
      </c>
      <c r="L1383">
        <v>1</v>
      </c>
      <c r="M1383">
        <v>1</v>
      </c>
      <c r="N1383">
        <v>1.0845629999999999</v>
      </c>
    </row>
    <row r="1384" spans="1:14" x14ac:dyDescent="0.35">
      <c r="A1384" s="156" t="s">
        <v>542</v>
      </c>
      <c r="B1384" s="52">
        <v>44638</v>
      </c>
      <c r="C1384" s="156" t="s">
        <v>531</v>
      </c>
      <c r="D1384" s="156" t="s">
        <v>531</v>
      </c>
      <c r="E1384">
        <v>7960551</v>
      </c>
      <c r="F1384">
        <v>537663.42310000001</v>
      </c>
      <c r="G1384">
        <v>68.007499999999993</v>
      </c>
      <c r="H1384">
        <v>1.0519799999999999</v>
      </c>
      <c r="I1384">
        <v>1</v>
      </c>
      <c r="J1384" s="156">
        <v>1</v>
      </c>
      <c r="K1384">
        <v>1</v>
      </c>
      <c r="L1384">
        <v>1</v>
      </c>
      <c r="M1384">
        <v>1</v>
      </c>
      <c r="N1384">
        <v>1.0519799999999999</v>
      </c>
    </row>
    <row r="1385" spans="1:14" x14ac:dyDescent="0.35">
      <c r="A1385" s="156" t="s">
        <v>542</v>
      </c>
      <c r="B1385" s="52">
        <v>44641</v>
      </c>
      <c r="C1385" s="156" t="s">
        <v>531</v>
      </c>
      <c r="D1385" s="156" t="s">
        <v>531</v>
      </c>
      <c r="E1385">
        <v>5576210</v>
      </c>
      <c r="F1385">
        <v>372553.15909999999</v>
      </c>
      <c r="G1385">
        <v>66.929299999999998</v>
      </c>
      <c r="H1385">
        <v>0.97311400000000003</v>
      </c>
      <c r="I1385">
        <v>1</v>
      </c>
      <c r="J1385" s="156">
        <v>1</v>
      </c>
      <c r="K1385">
        <v>1</v>
      </c>
      <c r="L1385">
        <v>1</v>
      </c>
      <c r="M1385">
        <v>1</v>
      </c>
      <c r="N1385">
        <v>0.97311400000000003</v>
      </c>
    </row>
    <row r="1386" spans="1:14" x14ac:dyDescent="0.35">
      <c r="A1386" s="156" t="s">
        <v>542</v>
      </c>
      <c r="B1386" s="52">
        <v>44642</v>
      </c>
      <c r="C1386" s="156" t="s">
        <v>531</v>
      </c>
      <c r="D1386" s="156" t="s">
        <v>531</v>
      </c>
      <c r="E1386">
        <v>5148537</v>
      </c>
      <c r="F1386">
        <v>344472.73359999998</v>
      </c>
      <c r="G1386">
        <v>67.858699999999999</v>
      </c>
      <c r="H1386">
        <v>1.011798</v>
      </c>
      <c r="I1386">
        <v>1</v>
      </c>
      <c r="J1386" s="156">
        <v>1</v>
      </c>
      <c r="K1386">
        <v>1</v>
      </c>
      <c r="L1386">
        <v>1</v>
      </c>
      <c r="M1386">
        <v>1</v>
      </c>
      <c r="N1386">
        <v>1.011798</v>
      </c>
    </row>
    <row r="1387" spans="1:14" x14ac:dyDescent="0.35">
      <c r="A1387" s="156" t="s">
        <v>542</v>
      </c>
      <c r="B1387" s="52">
        <v>44643</v>
      </c>
      <c r="C1387" s="156" t="s">
        <v>531</v>
      </c>
      <c r="D1387" s="156" t="s">
        <v>531</v>
      </c>
      <c r="E1387">
        <v>6276465</v>
      </c>
      <c r="F1387">
        <v>422755.97859999997</v>
      </c>
      <c r="G1387">
        <v>67.466099999999997</v>
      </c>
      <c r="H1387">
        <v>0.98361600000000005</v>
      </c>
      <c r="I1387">
        <v>1</v>
      </c>
      <c r="J1387" s="156">
        <v>1</v>
      </c>
      <c r="K1387">
        <v>1</v>
      </c>
      <c r="L1387">
        <v>1</v>
      </c>
      <c r="M1387">
        <v>1</v>
      </c>
      <c r="N1387">
        <v>0.98361600000000005</v>
      </c>
    </row>
    <row r="1388" spans="1:14" x14ac:dyDescent="0.35">
      <c r="A1388" s="156" t="s">
        <v>542</v>
      </c>
      <c r="B1388" s="52">
        <v>44644</v>
      </c>
      <c r="C1388" s="156" t="s">
        <v>531</v>
      </c>
      <c r="D1388" s="156" t="s">
        <v>531</v>
      </c>
      <c r="E1388">
        <v>4053835</v>
      </c>
      <c r="F1388">
        <v>269875.54609999998</v>
      </c>
      <c r="G1388">
        <v>67.233400000000003</v>
      </c>
      <c r="H1388">
        <v>1.026411</v>
      </c>
      <c r="I1388">
        <v>1</v>
      </c>
      <c r="J1388" s="156">
        <v>1</v>
      </c>
      <c r="K1388">
        <v>1</v>
      </c>
      <c r="L1388">
        <v>1</v>
      </c>
      <c r="M1388">
        <v>1</v>
      </c>
      <c r="N1388">
        <v>1.026411</v>
      </c>
    </row>
    <row r="1389" spans="1:14" x14ac:dyDescent="0.35">
      <c r="A1389" s="156" t="s">
        <v>542</v>
      </c>
      <c r="B1389" s="52">
        <v>44645</v>
      </c>
      <c r="C1389" s="156" t="s">
        <v>531</v>
      </c>
      <c r="D1389" s="156" t="s">
        <v>531</v>
      </c>
      <c r="E1389">
        <v>8411470</v>
      </c>
      <c r="F1389">
        <v>543399.5895</v>
      </c>
      <c r="G1389">
        <v>64.896600000000007</v>
      </c>
      <c r="H1389">
        <v>0.95687100000000003</v>
      </c>
      <c r="I1389">
        <v>1</v>
      </c>
      <c r="J1389" s="156">
        <v>1</v>
      </c>
      <c r="K1389">
        <v>1</v>
      </c>
      <c r="L1389">
        <v>1</v>
      </c>
      <c r="M1389">
        <v>1</v>
      </c>
      <c r="N1389">
        <v>0.95687100000000003</v>
      </c>
    </row>
    <row r="1390" spans="1:14" x14ac:dyDescent="0.35">
      <c r="A1390" s="156" t="s">
        <v>542</v>
      </c>
      <c r="B1390" s="52">
        <v>44648</v>
      </c>
      <c r="C1390" s="156" t="s">
        <v>531</v>
      </c>
      <c r="D1390" s="156" t="s">
        <v>531</v>
      </c>
      <c r="E1390">
        <v>5542529</v>
      </c>
      <c r="F1390">
        <v>373252.19679999998</v>
      </c>
      <c r="G1390">
        <v>67.554400000000001</v>
      </c>
      <c r="H1390">
        <v>1.052559</v>
      </c>
      <c r="I1390">
        <v>1</v>
      </c>
      <c r="J1390" s="156">
        <v>1</v>
      </c>
      <c r="K1390">
        <v>1</v>
      </c>
      <c r="L1390">
        <v>1</v>
      </c>
      <c r="M1390">
        <v>1</v>
      </c>
      <c r="N1390">
        <v>1.052559</v>
      </c>
    </row>
    <row r="1391" spans="1:14" x14ac:dyDescent="0.35">
      <c r="A1391" s="156" t="s">
        <v>542</v>
      </c>
      <c r="B1391" s="52">
        <v>44649</v>
      </c>
      <c r="C1391" s="156" t="s">
        <v>531</v>
      </c>
      <c r="D1391" s="156" t="s">
        <v>531</v>
      </c>
      <c r="E1391">
        <v>5641616</v>
      </c>
      <c r="F1391">
        <v>405865.20260000002</v>
      </c>
      <c r="G1391">
        <v>72.235799999999998</v>
      </c>
      <c r="H1391">
        <v>1.064451</v>
      </c>
      <c r="I1391">
        <v>1</v>
      </c>
      <c r="J1391" s="156">
        <v>1</v>
      </c>
      <c r="K1391">
        <v>1</v>
      </c>
      <c r="L1391">
        <v>1</v>
      </c>
      <c r="M1391">
        <v>1</v>
      </c>
      <c r="N1391">
        <v>1.064451</v>
      </c>
    </row>
    <row r="1392" spans="1:14" x14ac:dyDescent="0.35">
      <c r="A1392" s="156" t="s">
        <v>542</v>
      </c>
      <c r="B1392" s="52">
        <v>44650</v>
      </c>
      <c r="C1392" s="156" t="s">
        <v>531</v>
      </c>
      <c r="D1392" s="156" t="s">
        <v>531</v>
      </c>
      <c r="E1392">
        <v>4682315</v>
      </c>
      <c r="F1392">
        <v>337702.03590000002</v>
      </c>
      <c r="G1392">
        <v>72.3459</v>
      </c>
      <c r="H1392">
        <v>0.97681700000000005</v>
      </c>
      <c r="I1392">
        <v>1</v>
      </c>
      <c r="J1392" s="156">
        <v>1</v>
      </c>
      <c r="K1392">
        <v>1</v>
      </c>
      <c r="L1392">
        <v>1</v>
      </c>
      <c r="M1392">
        <v>1</v>
      </c>
      <c r="N1392">
        <v>0.97681700000000005</v>
      </c>
    </row>
    <row r="1393" spans="1:14" x14ac:dyDescent="0.35">
      <c r="A1393" s="156" t="s">
        <v>542</v>
      </c>
      <c r="B1393" s="52">
        <v>44651</v>
      </c>
      <c r="C1393" s="156" t="s">
        <v>531</v>
      </c>
      <c r="D1393" s="156" t="s">
        <v>531</v>
      </c>
      <c r="E1393">
        <v>3089292</v>
      </c>
      <c r="F1393">
        <v>216236.8933</v>
      </c>
      <c r="G1393">
        <v>70.495199999999997</v>
      </c>
      <c r="H1393">
        <v>0.96677400000000002</v>
      </c>
      <c r="I1393">
        <v>1</v>
      </c>
      <c r="J1393" s="156">
        <v>1</v>
      </c>
      <c r="K1393">
        <v>1</v>
      </c>
      <c r="L1393">
        <v>1</v>
      </c>
      <c r="M1393">
        <v>1</v>
      </c>
      <c r="N1393">
        <v>0.96677400000000002</v>
      </c>
    </row>
    <row r="1394" spans="1:14" x14ac:dyDescent="0.35">
      <c r="A1394" s="156" t="s">
        <v>542</v>
      </c>
      <c r="B1394" s="52">
        <v>44652</v>
      </c>
      <c r="C1394" s="156" t="s">
        <v>531</v>
      </c>
      <c r="D1394" s="156" t="s">
        <v>531</v>
      </c>
      <c r="E1394">
        <v>7051911</v>
      </c>
      <c r="F1394">
        <v>508910.1703</v>
      </c>
      <c r="G1394">
        <v>72.577600000000004</v>
      </c>
      <c r="H1394">
        <v>1.0444770000000001</v>
      </c>
      <c r="I1394">
        <v>1</v>
      </c>
      <c r="J1394" s="156">
        <v>1</v>
      </c>
      <c r="K1394">
        <v>1</v>
      </c>
      <c r="L1394">
        <v>1</v>
      </c>
      <c r="M1394">
        <v>1</v>
      </c>
      <c r="N1394">
        <v>1.0444770000000001</v>
      </c>
    </row>
    <row r="1395" spans="1:14" x14ac:dyDescent="0.35">
      <c r="A1395" s="156" t="s">
        <v>542</v>
      </c>
      <c r="B1395" s="52">
        <v>44655</v>
      </c>
      <c r="C1395" s="156" t="s">
        <v>531</v>
      </c>
      <c r="D1395" s="156" t="s">
        <v>531</v>
      </c>
      <c r="E1395">
        <v>3642822</v>
      </c>
      <c r="F1395">
        <v>265672.80469999998</v>
      </c>
      <c r="G1395">
        <v>74.975499999999997</v>
      </c>
      <c r="H1395">
        <v>1.0399560000000001</v>
      </c>
      <c r="I1395">
        <v>1</v>
      </c>
      <c r="J1395" s="156">
        <v>1</v>
      </c>
      <c r="K1395">
        <v>1</v>
      </c>
      <c r="L1395">
        <v>1</v>
      </c>
      <c r="M1395">
        <v>1</v>
      </c>
      <c r="N1395">
        <v>1.0399560000000001</v>
      </c>
    </row>
    <row r="1396" spans="1:14" x14ac:dyDescent="0.35">
      <c r="A1396" s="156" t="s">
        <v>542</v>
      </c>
      <c r="B1396" s="52">
        <v>44656</v>
      </c>
      <c r="C1396" s="156" t="s">
        <v>531</v>
      </c>
      <c r="D1396" s="156" t="s">
        <v>531</v>
      </c>
      <c r="E1396">
        <v>3470372</v>
      </c>
      <c r="F1396">
        <v>247941.35939999999</v>
      </c>
      <c r="G1396">
        <v>72.270600000000002</v>
      </c>
      <c r="H1396">
        <v>0.956793</v>
      </c>
      <c r="I1396">
        <v>1</v>
      </c>
      <c r="J1396" s="156">
        <v>1</v>
      </c>
      <c r="K1396">
        <v>1</v>
      </c>
      <c r="L1396">
        <v>1</v>
      </c>
      <c r="M1396">
        <v>1</v>
      </c>
      <c r="N1396">
        <v>0.956793</v>
      </c>
    </row>
    <row r="1397" spans="1:14" x14ac:dyDescent="0.35">
      <c r="A1397" s="156" t="s">
        <v>542</v>
      </c>
      <c r="B1397" s="52">
        <v>44657</v>
      </c>
      <c r="C1397" s="156" t="s">
        <v>531</v>
      </c>
      <c r="D1397" s="156" t="s">
        <v>531</v>
      </c>
      <c r="E1397">
        <v>4597330</v>
      </c>
      <c r="F1397">
        <v>309395.50579999998</v>
      </c>
      <c r="G1397">
        <v>67.965900000000005</v>
      </c>
      <c r="H1397">
        <v>0.94108700000000001</v>
      </c>
      <c r="I1397">
        <v>1</v>
      </c>
      <c r="J1397" s="156">
        <v>1</v>
      </c>
      <c r="K1397">
        <v>1</v>
      </c>
      <c r="L1397">
        <v>1</v>
      </c>
      <c r="M1397">
        <v>1</v>
      </c>
      <c r="N1397">
        <v>0.94108700000000001</v>
      </c>
    </row>
    <row r="1398" spans="1:14" x14ac:dyDescent="0.35">
      <c r="A1398" s="156" t="s">
        <v>542</v>
      </c>
      <c r="B1398" s="52">
        <v>44658</v>
      </c>
      <c r="C1398" s="156" t="s">
        <v>531</v>
      </c>
      <c r="D1398" s="156" t="s">
        <v>531</v>
      </c>
      <c r="E1398">
        <v>4167500</v>
      </c>
      <c r="F1398">
        <v>282897.73830000003</v>
      </c>
      <c r="G1398">
        <v>68.147800000000004</v>
      </c>
      <c r="H1398">
        <v>1.0122549999999999</v>
      </c>
      <c r="I1398">
        <v>1</v>
      </c>
      <c r="J1398" s="156">
        <v>1</v>
      </c>
      <c r="K1398">
        <v>1</v>
      </c>
      <c r="L1398">
        <v>1</v>
      </c>
      <c r="M1398">
        <v>1</v>
      </c>
      <c r="N1398">
        <v>1.0122549999999999</v>
      </c>
    </row>
    <row r="1399" spans="1:14" x14ac:dyDescent="0.35">
      <c r="A1399" s="156" t="s">
        <v>542</v>
      </c>
      <c r="B1399" s="52">
        <v>44659</v>
      </c>
      <c r="C1399" s="156" t="s">
        <v>531</v>
      </c>
      <c r="D1399" s="156" t="s">
        <v>531</v>
      </c>
      <c r="E1399">
        <v>2898026</v>
      </c>
      <c r="F1399">
        <v>196763.97020000001</v>
      </c>
      <c r="G1399">
        <v>68.052099999999996</v>
      </c>
      <c r="H1399">
        <v>0.98876900000000001</v>
      </c>
      <c r="I1399">
        <v>1</v>
      </c>
      <c r="J1399" s="156">
        <v>1</v>
      </c>
      <c r="K1399">
        <v>1</v>
      </c>
      <c r="L1399">
        <v>1</v>
      </c>
      <c r="M1399">
        <v>1</v>
      </c>
      <c r="N1399">
        <v>0.98876900000000001</v>
      </c>
    </row>
    <row r="1400" spans="1:14" x14ac:dyDescent="0.35">
      <c r="A1400" s="156" t="s">
        <v>542</v>
      </c>
      <c r="B1400" s="52">
        <v>44662</v>
      </c>
      <c r="C1400" s="156" t="s">
        <v>531</v>
      </c>
      <c r="D1400" s="156" t="s">
        <v>531</v>
      </c>
      <c r="E1400">
        <v>3433573</v>
      </c>
      <c r="F1400">
        <v>224143.36799999999</v>
      </c>
      <c r="G1400">
        <v>66.9542</v>
      </c>
      <c r="H1400">
        <v>0.99129699999999998</v>
      </c>
      <c r="I1400">
        <v>1</v>
      </c>
      <c r="J1400" s="156">
        <v>1</v>
      </c>
      <c r="K1400">
        <v>1</v>
      </c>
      <c r="L1400">
        <v>1</v>
      </c>
      <c r="M1400">
        <v>1</v>
      </c>
      <c r="N1400">
        <v>0.99129699999999998</v>
      </c>
    </row>
    <row r="1401" spans="1:14" x14ac:dyDescent="0.35">
      <c r="A1401" s="156" t="s">
        <v>542</v>
      </c>
      <c r="B1401" s="52">
        <v>44663</v>
      </c>
      <c r="C1401" s="156" t="s">
        <v>531</v>
      </c>
      <c r="D1401" s="156" t="s">
        <v>531</v>
      </c>
      <c r="E1401">
        <v>3244358</v>
      </c>
      <c r="F1401">
        <v>218368.24460000001</v>
      </c>
      <c r="G1401">
        <v>67.388800000000003</v>
      </c>
      <c r="H1401">
        <v>0.97976200000000002</v>
      </c>
      <c r="I1401">
        <v>1</v>
      </c>
      <c r="J1401" s="156">
        <v>1</v>
      </c>
      <c r="K1401">
        <v>1</v>
      </c>
      <c r="L1401">
        <v>1</v>
      </c>
      <c r="M1401">
        <v>1</v>
      </c>
      <c r="N1401">
        <v>0.97976200000000002</v>
      </c>
    </row>
    <row r="1402" spans="1:14" x14ac:dyDescent="0.35">
      <c r="A1402" s="156" t="s">
        <v>542</v>
      </c>
      <c r="B1402" s="52">
        <v>44664</v>
      </c>
      <c r="C1402" s="156" t="s">
        <v>531</v>
      </c>
      <c r="D1402" s="156" t="s">
        <v>531</v>
      </c>
      <c r="E1402">
        <v>2805524</v>
      </c>
      <c r="F1402">
        <v>187243.84229999999</v>
      </c>
      <c r="G1402">
        <v>66.839699999999993</v>
      </c>
      <c r="H1402">
        <v>1.0177700000000001</v>
      </c>
      <c r="I1402">
        <v>1</v>
      </c>
      <c r="J1402" s="156">
        <v>1</v>
      </c>
      <c r="K1402">
        <v>1</v>
      </c>
      <c r="L1402">
        <v>1</v>
      </c>
      <c r="M1402">
        <v>1</v>
      </c>
      <c r="N1402">
        <v>1.0177700000000001</v>
      </c>
    </row>
    <row r="1403" spans="1:14" x14ac:dyDescent="0.35">
      <c r="A1403" s="156" t="s">
        <v>542</v>
      </c>
      <c r="B1403" s="52">
        <v>44665</v>
      </c>
      <c r="C1403" s="156" t="s">
        <v>531</v>
      </c>
      <c r="D1403" s="156" t="s">
        <v>531</v>
      </c>
      <c r="E1403">
        <v>3693843</v>
      </c>
      <c r="F1403">
        <v>232067.50779999999</v>
      </c>
      <c r="G1403">
        <v>64.231999999999999</v>
      </c>
      <c r="H1403">
        <v>0.94881400000000005</v>
      </c>
      <c r="I1403">
        <v>1</v>
      </c>
      <c r="J1403" s="156">
        <v>1</v>
      </c>
      <c r="K1403">
        <v>1</v>
      </c>
      <c r="L1403">
        <v>1</v>
      </c>
      <c r="M1403">
        <v>1</v>
      </c>
      <c r="N1403">
        <v>0.94881400000000005</v>
      </c>
    </row>
    <row r="1404" spans="1:14" x14ac:dyDescent="0.35">
      <c r="A1404" s="156" t="s">
        <v>542</v>
      </c>
      <c r="B1404" s="52">
        <v>44669</v>
      </c>
      <c r="C1404" s="156" t="s">
        <v>531</v>
      </c>
      <c r="D1404" s="156" t="s">
        <v>531</v>
      </c>
      <c r="E1404">
        <v>3197758</v>
      </c>
      <c r="F1404">
        <v>196564.3008</v>
      </c>
      <c r="G1404">
        <v>61.625999999999998</v>
      </c>
      <c r="H1404">
        <v>0.97562099999999996</v>
      </c>
      <c r="I1404">
        <v>1</v>
      </c>
      <c r="J1404" s="156">
        <v>1</v>
      </c>
      <c r="K1404">
        <v>1</v>
      </c>
      <c r="L1404">
        <v>1</v>
      </c>
      <c r="M1404">
        <v>1</v>
      </c>
      <c r="N1404">
        <v>0.97562099999999996</v>
      </c>
    </row>
    <row r="1405" spans="1:14" x14ac:dyDescent="0.35">
      <c r="A1405" s="156" t="s">
        <v>542</v>
      </c>
      <c r="B1405" s="52">
        <v>44670</v>
      </c>
      <c r="C1405" s="156" t="s">
        <v>531</v>
      </c>
      <c r="D1405" s="156" t="s">
        <v>531</v>
      </c>
      <c r="E1405">
        <v>5729965</v>
      </c>
      <c r="F1405">
        <v>374727.75919999997</v>
      </c>
      <c r="G1405">
        <v>66.174199999999999</v>
      </c>
      <c r="H1405">
        <v>1.078349</v>
      </c>
      <c r="I1405">
        <v>1</v>
      </c>
      <c r="J1405" s="156">
        <v>1</v>
      </c>
      <c r="K1405">
        <v>1</v>
      </c>
      <c r="L1405">
        <v>1</v>
      </c>
      <c r="M1405">
        <v>1</v>
      </c>
      <c r="N1405">
        <v>1.078349</v>
      </c>
    </row>
    <row r="1406" spans="1:14" x14ac:dyDescent="0.35">
      <c r="A1406" s="156" t="s">
        <v>542</v>
      </c>
      <c r="B1406" s="52">
        <v>44671</v>
      </c>
      <c r="C1406" s="156" t="s">
        <v>531</v>
      </c>
      <c r="D1406" s="156" t="s">
        <v>531</v>
      </c>
      <c r="E1406">
        <v>8277772</v>
      </c>
      <c r="F1406">
        <v>566330.80539999995</v>
      </c>
      <c r="G1406">
        <v>69.017399999999995</v>
      </c>
      <c r="H1406">
        <v>1.000448</v>
      </c>
      <c r="I1406">
        <v>1</v>
      </c>
      <c r="J1406" s="156">
        <v>1</v>
      </c>
      <c r="K1406">
        <v>1</v>
      </c>
      <c r="L1406">
        <v>1</v>
      </c>
      <c r="M1406">
        <v>1</v>
      </c>
      <c r="N1406">
        <v>1.000448</v>
      </c>
    </row>
    <row r="1407" spans="1:14" x14ac:dyDescent="0.35">
      <c r="A1407" s="156" t="s">
        <v>542</v>
      </c>
      <c r="B1407" s="52">
        <v>44672</v>
      </c>
      <c r="C1407" s="156" t="s">
        <v>531</v>
      </c>
      <c r="D1407" s="156" t="s">
        <v>531</v>
      </c>
      <c r="E1407">
        <v>5747059</v>
      </c>
      <c r="F1407">
        <v>375630.3921</v>
      </c>
      <c r="G1407">
        <v>66.196899999999999</v>
      </c>
      <c r="H1407">
        <v>0.94844600000000001</v>
      </c>
      <c r="I1407">
        <v>1</v>
      </c>
      <c r="J1407" s="156">
        <v>1</v>
      </c>
      <c r="K1407">
        <v>1</v>
      </c>
      <c r="L1407">
        <v>1</v>
      </c>
      <c r="M1407">
        <v>1</v>
      </c>
      <c r="N1407">
        <v>0.94844600000000001</v>
      </c>
    </row>
    <row r="1408" spans="1:14" x14ac:dyDescent="0.35">
      <c r="A1408" s="156" t="s">
        <v>542</v>
      </c>
      <c r="B1408" s="52">
        <v>44673</v>
      </c>
      <c r="C1408" s="156" t="s">
        <v>531</v>
      </c>
      <c r="D1408" s="156" t="s">
        <v>531</v>
      </c>
      <c r="E1408">
        <v>6085976</v>
      </c>
      <c r="F1408">
        <v>366785.03090000001</v>
      </c>
      <c r="G1408">
        <v>60.938200000000002</v>
      </c>
      <c r="H1408">
        <v>0.93650500000000003</v>
      </c>
      <c r="I1408">
        <v>1</v>
      </c>
      <c r="J1408" s="156">
        <v>1</v>
      </c>
      <c r="K1408">
        <v>1</v>
      </c>
      <c r="L1408">
        <v>1</v>
      </c>
      <c r="M1408">
        <v>1</v>
      </c>
      <c r="N1408">
        <v>0.93650500000000003</v>
      </c>
    </row>
    <row r="1409" spans="1:14" x14ac:dyDescent="0.35">
      <c r="A1409" s="156" t="s">
        <v>542</v>
      </c>
      <c r="B1409" s="52">
        <v>44676</v>
      </c>
      <c r="C1409" s="156" t="s">
        <v>531</v>
      </c>
      <c r="D1409" s="156" t="s">
        <v>531</v>
      </c>
      <c r="E1409">
        <v>4150880</v>
      </c>
      <c r="F1409">
        <v>252830.33040000001</v>
      </c>
      <c r="G1409">
        <v>61.845300000000002</v>
      </c>
      <c r="H1409">
        <v>1.0602290000000001</v>
      </c>
      <c r="I1409">
        <v>1</v>
      </c>
      <c r="J1409" s="156">
        <v>1</v>
      </c>
      <c r="K1409">
        <v>1</v>
      </c>
      <c r="L1409">
        <v>1</v>
      </c>
      <c r="M1409">
        <v>1</v>
      </c>
      <c r="N1409">
        <v>1.0602290000000001</v>
      </c>
    </row>
    <row r="1410" spans="1:14" x14ac:dyDescent="0.35">
      <c r="A1410" s="156" t="s">
        <v>542</v>
      </c>
      <c r="B1410" s="52">
        <v>44677</v>
      </c>
      <c r="C1410" s="156" t="s">
        <v>531</v>
      </c>
      <c r="D1410" s="156" t="s">
        <v>531</v>
      </c>
      <c r="E1410">
        <v>3351950</v>
      </c>
      <c r="F1410">
        <v>195599.75529999999</v>
      </c>
      <c r="G1410">
        <v>60.225999999999999</v>
      </c>
      <c r="H1410">
        <v>0.94525499999999996</v>
      </c>
      <c r="I1410">
        <v>1</v>
      </c>
      <c r="J1410" s="156">
        <v>1</v>
      </c>
      <c r="K1410">
        <v>1</v>
      </c>
      <c r="L1410">
        <v>1</v>
      </c>
      <c r="M1410">
        <v>1</v>
      </c>
      <c r="N1410">
        <v>0.94525499999999996</v>
      </c>
    </row>
    <row r="1411" spans="1:14" x14ac:dyDescent="0.35">
      <c r="A1411" s="156" t="s">
        <v>542</v>
      </c>
      <c r="B1411" s="52">
        <v>44678</v>
      </c>
      <c r="C1411" s="156" t="s">
        <v>531</v>
      </c>
      <c r="D1411" s="156" t="s">
        <v>531</v>
      </c>
      <c r="E1411">
        <v>5188816</v>
      </c>
      <c r="F1411">
        <v>301070.89159999997</v>
      </c>
      <c r="G1411">
        <v>58.363500000000002</v>
      </c>
      <c r="H1411">
        <v>0.95736100000000002</v>
      </c>
      <c r="I1411">
        <v>1</v>
      </c>
      <c r="J1411" s="156">
        <v>1</v>
      </c>
      <c r="K1411">
        <v>1</v>
      </c>
      <c r="L1411">
        <v>1</v>
      </c>
      <c r="M1411">
        <v>1</v>
      </c>
      <c r="N1411">
        <v>0.95736100000000002</v>
      </c>
    </row>
    <row r="1412" spans="1:14" x14ac:dyDescent="0.35">
      <c r="A1412" s="156" t="s">
        <v>542</v>
      </c>
      <c r="B1412" s="52">
        <v>44679</v>
      </c>
      <c r="C1412" s="156" t="s">
        <v>531</v>
      </c>
      <c r="D1412" s="156" t="s">
        <v>531</v>
      </c>
      <c r="E1412">
        <v>4798476</v>
      </c>
      <c r="F1412">
        <v>284153.48090000002</v>
      </c>
      <c r="G1412">
        <v>59.4803</v>
      </c>
      <c r="H1412">
        <v>1.066106</v>
      </c>
      <c r="I1412">
        <v>1</v>
      </c>
      <c r="J1412" s="156">
        <v>1</v>
      </c>
      <c r="K1412">
        <v>1</v>
      </c>
      <c r="L1412">
        <v>1</v>
      </c>
      <c r="M1412">
        <v>1</v>
      </c>
      <c r="N1412">
        <v>1.066106</v>
      </c>
    </row>
    <row r="1413" spans="1:14" x14ac:dyDescent="0.35">
      <c r="A1413" s="156" t="s">
        <v>542</v>
      </c>
      <c r="B1413" s="52">
        <v>44680</v>
      </c>
      <c r="C1413" s="156" t="s">
        <v>531</v>
      </c>
      <c r="D1413" s="156" t="s">
        <v>531</v>
      </c>
      <c r="E1413">
        <v>4340347</v>
      </c>
      <c r="F1413">
        <v>261069.97089999999</v>
      </c>
      <c r="G1413">
        <v>60.533499999999997</v>
      </c>
      <c r="H1413">
        <v>0.96907900000000002</v>
      </c>
      <c r="I1413">
        <v>1</v>
      </c>
      <c r="J1413" s="156">
        <v>1</v>
      </c>
      <c r="K1413">
        <v>1</v>
      </c>
      <c r="L1413">
        <v>1</v>
      </c>
      <c r="M1413">
        <v>1</v>
      </c>
      <c r="N1413">
        <v>0.96907900000000002</v>
      </c>
    </row>
    <row r="1414" spans="1:14" x14ac:dyDescent="0.35">
      <c r="A1414" s="156" t="s">
        <v>542</v>
      </c>
      <c r="B1414" s="52">
        <v>44683</v>
      </c>
      <c r="C1414" s="156" t="s">
        <v>531</v>
      </c>
      <c r="D1414" s="156" t="s">
        <v>531</v>
      </c>
      <c r="E1414">
        <v>4501884</v>
      </c>
      <c r="F1414">
        <v>266944.99249999999</v>
      </c>
      <c r="G1414">
        <v>60.479799999999997</v>
      </c>
      <c r="H1414">
        <v>1.0536319999999999</v>
      </c>
      <c r="I1414">
        <v>1</v>
      </c>
      <c r="J1414" s="156">
        <v>1</v>
      </c>
      <c r="K1414">
        <v>1</v>
      </c>
      <c r="L1414">
        <v>1</v>
      </c>
      <c r="M1414">
        <v>1</v>
      </c>
      <c r="N1414">
        <v>1.0536319999999999</v>
      </c>
    </row>
    <row r="1415" spans="1:14" x14ac:dyDescent="0.35">
      <c r="A1415" s="156" t="s">
        <v>542</v>
      </c>
      <c r="B1415" s="52">
        <v>44684</v>
      </c>
      <c r="C1415" s="156" t="s">
        <v>531</v>
      </c>
      <c r="D1415" s="156" t="s">
        <v>531</v>
      </c>
      <c r="E1415">
        <v>5955033</v>
      </c>
      <c r="F1415">
        <v>354183.16580000002</v>
      </c>
      <c r="G1415">
        <v>60.184399999999997</v>
      </c>
      <c r="H1415">
        <v>0.97132700000000005</v>
      </c>
      <c r="I1415">
        <v>1</v>
      </c>
      <c r="J1415" s="156">
        <v>1</v>
      </c>
      <c r="K1415">
        <v>1</v>
      </c>
      <c r="L1415">
        <v>1</v>
      </c>
      <c r="M1415">
        <v>1</v>
      </c>
      <c r="N1415">
        <v>0.97132700000000005</v>
      </c>
    </row>
    <row r="1416" spans="1:14" x14ac:dyDescent="0.35">
      <c r="A1416" s="156" t="s">
        <v>542</v>
      </c>
      <c r="B1416" s="52">
        <v>44685</v>
      </c>
      <c r="C1416" s="156" t="s">
        <v>531</v>
      </c>
      <c r="D1416" s="156" t="s">
        <v>531</v>
      </c>
      <c r="E1416">
        <v>6284211</v>
      </c>
      <c r="F1416">
        <v>369255.66210000002</v>
      </c>
      <c r="G1416">
        <v>59.4739</v>
      </c>
      <c r="H1416">
        <v>1.0363180000000001</v>
      </c>
      <c r="I1416">
        <v>1</v>
      </c>
      <c r="J1416" s="156">
        <v>1</v>
      </c>
      <c r="K1416">
        <v>1</v>
      </c>
      <c r="L1416">
        <v>1</v>
      </c>
      <c r="M1416">
        <v>1</v>
      </c>
      <c r="N1416">
        <v>1.0363180000000001</v>
      </c>
    </row>
    <row r="1417" spans="1:14" x14ac:dyDescent="0.35">
      <c r="A1417" s="156" t="s">
        <v>542</v>
      </c>
      <c r="B1417" s="52">
        <v>44686</v>
      </c>
      <c r="C1417" s="156" t="s">
        <v>531</v>
      </c>
      <c r="D1417" s="156" t="s">
        <v>531</v>
      </c>
      <c r="E1417">
        <v>6786242</v>
      </c>
      <c r="F1417">
        <v>377669.92800000001</v>
      </c>
      <c r="G1417">
        <v>56.059800000000003</v>
      </c>
      <c r="H1417">
        <v>0.88270099999999996</v>
      </c>
      <c r="I1417">
        <v>1</v>
      </c>
      <c r="J1417" s="156">
        <v>1</v>
      </c>
      <c r="K1417">
        <v>1</v>
      </c>
      <c r="L1417">
        <v>1</v>
      </c>
      <c r="M1417">
        <v>1</v>
      </c>
      <c r="N1417">
        <v>0.88270099999999996</v>
      </c>
    </row>
    <row r="1418" spans="1:14" x14ac:dyDescent="0.35">
      <c r="A1418" s="156" t="s">
        <v>542</v>
      </c>
      <c r="B1418" s="52">
        <v>44687</v>
      </c>
      <c r="C1418" s="156" t="s">
        <v>531</v>
      </c>
      <c r="D1418" s="156" t="s">
        <v>531</v>
      </c>
      <c r="E1418">
        <v>10956148</v>
      </c>
      <c r="F1418">
        <v>551154.02399999998</v>
      </c>
      <c r="G1418">
        <v>50.505000000000003</v>
      </c>
      <c r="H1418">
        <v>0.88687499999999997</v>
      </c>
      <c r="I1418">
        <v>1</v>
      </c>
      <c r="J1418" s="156">
        <v>1</v>
      </c>
      <c r="K1418">
        <v>1</v>
      </c>
      <c r="L1418">
        <v>1</v>
      </c>
      <c r="M1418">
        <v>1</v>
      </c>
      <c r="N1418">
        <v>0.88687499999999997</v>
      </c>
    </row>
    <row r="1419" spans="1:14" x14ac:dyDescent="0.35">
      <c r="A1419" s="156" t="s">
        <v>542</v>
      </c>
      <c r="B1419" s="52">
        <v>44690</v>
      </c>
      <c r="C1419" s="156" t="s">
        <v>531</v>
      </c>
      <c r="D1419" s="156" t="s">
        <v>531</v>
      </c>
      <c r="E1419">
        <v>11856337</v>
      </c>
      <c r="F1419">
        <v>527440.79920000001</v>
      </c>
      <c r="G1419">
        <v>45.01</v>
      </c>
      <c r="H1419">
        <v>0.91966499999999995</v>
      </c>
      <c r="I1419">
        <v>1</v>
      </c>
      <c r="J1419" s="156">
        <v>1</v>
      </c>
      <c r="K1419">
        <v>1</v>
      </c>
      <c r="L1419">
        <v>1</v>
      </c>
      <c r="M1419">
        <v>1</v>
      </c>
      <c r="N1419">
        <v>0.91966499999999995</v>
      </c>
    </row>
    <row r="1420" spans="1:14" x14ac:dyDescent="0.35">
      <c r="A1420" s="156" t="s">
        <v>542</v>
      </c>
      <c r="B1420" s="52">
        <v>44691</v>
      </c>
      <c r="C1420" s="156" t="s">
        <v>531</v>
      </c>
      <c r="D1420" s="156" t="s">
        <v>531</v>
      </c>
      <c r="E1420">
        <v>16025226</v>
      </c>
      <c r="F1420">
        <v>646832.55900000001</v>
      </c>
      <c r="G1420">
        <v>42.630600000000001</v>
      </c>
      <c r="H1420">
        <v>0.97243800000000002</v>
      </c>
      <c r="I1420">
        <v>1</v>
      </c>
      <c r="J1420" s="156">
        <v>1</v>
      </c>
      <c r="K1420">
        <v>1</v>
      </c>
      <c r="L1420">
        <v>1</v>
      </c>
      <c r="M1420">
        <v>1</v>
      </c>
      <c r="N1420">
        <v>0.97243800000000002</v>
      </c>
    </row>
    <row r="1421" spans="1:14" x14ac:dyDescent="0.35">
      <c r="A1421" s="156" t="s">
        <v>542</v>
      </c>
      <c r="B1421" s="52">
        <v>44692</v>
      </c>
      <c r="C1421" s="156" t="s">
        <v>531</v>
      </c>
      <c r="D1421" s="156" t="s">
        <v>531</v>
      </c>
      <c r="E1421">
        <v>16938123</v>
      </c>
      <c r="F1421">
        <v>727345.37659999996</v>
      </c>
      <c r="G1421">
        <v>42.982999999999997</v>
      </c>
      <c r="H1421">
        <v>0.99062899999999998</v>
      </c>
      <c r="I1421">
        <v>1</v>
      </c>
      <c r="J1421" s="156">
        <v>1</v>
      </c>
      <c r="K1421">
        <v>1</v>
      </c>
      <c r="L1421">
        <v>1</v>
      </c>
      <c r="M1421">
        <v>1</v>
      </c>
      <c r="N1421">
        <v>0.99062899999999998</v>
      </c>
    </row>
    <row r="1422" spans="1:14" x14ac:dyDescent="0.35">
      <c r="A1422" s="156" t="s">
        <v>542</v>
      </c>
      <c r="B1422" s="52">
        <v>44693</v>
      </c>
      <c r="C1422" s="156" t="s">
        <v>531</v>
      </c>
      <c r="D1422" s="156" t="s">
        <v>531</v>
      </c>
      <c r="E1422">
        <v>10645664</v>
      </c>
      <c r="F1422">
        <v>468304.60460000002</v>
      </c>
      <c r="G1422">
        <v>44.049799999999998</v>
      </c>
      <c r="H1422">
        <v>1.03461</v>
      </c>
      <c r="I1422">
        <v>1</v>
      </c>
      <c r="J1422" s="156">
        <v>1</v>
      </c>
      <c r="K1422">
        <v>1</v>
      </c>
      <c r="L1422">
        <v>1</v>
      </c>
      <c r="M1422">
        <v>1</v>
      </c>
      <c r="N1422">
        <v>1.03461</v>
      </c>
    </row>
    <row r="1423" spans="1:14" x14ac:dyDescent="0.35">
      <c r="A1423" s="156" t="s">
        <v>542</v>
      </c>
      <c r="B1423" s="52">
        <v>44694</v>
      </c>
      <c r="C1423" s="156" t="s">
        <v>531</v>
      </c>
      <c r="D1423" s="156" t="s">
        <v>531</v>
      </c>
      <c r="E1423">
        <v>7664352</v>
      </c>
      <c r="F1423">
        <v>387479.9019</v>
      </c>
      <c r="G1423">
        <v>50.6736</v>
      </c>
      <c r="H1423">
        <v>1.1578949999999999</v>
      </c>
      <c r="I1423">
        <v>1</v>
      </c>
      <c r="J1423" s="156">
        <v>1</v>
      </c>
      <c r="K1423">
        <v>1</v>
      </c>
      <c r="L1423">
        <v>1</v>
      </c>
      <c r="M1423">
        <v>1</v>
      </c>
      <c r="N1423">
        <v>1.1578949999999999</v>
      </c>
    </row>
    <row r="1424" spans="1:14" x14ac:dyDescent="0.35">
      <c r="A1424" s="156" t="s">
        <v>542</v>
      </c>
      <c r="B1424" s="52">
        <v>44697</v>
      </c>
      <c r="C1424" s="156" t="s">
        <v>531</v>
      </c>
      <c r="D1424" s="156" t="s">
        <v>531</v>
      </c>
      <c r="E1424">
        <v>9444552</v>
      </c>
      <c r="F1424">
        <v>492842.77539999998</v>
      </c>
      <c r="G1424">
        <v>52.257800000000003</v>
      </c>
      <c r="H1424">
        <v>0.98170299999999999</v>
      </c>
      <c r="I1424">
        <v>1</v>
      </c>
      <c r="J1424" s="156">
        <v>1</v>
      </c>
      <c r="K1424">
        <v>1</v>
      </c>
      <c r="L1424">
        <v>1</v>
      </c>
      <c r="M1424">
        <v>1</v>
      </c>
      <c r="N1424">
        <v>0.98170299999999999</v>
      </c>
    </row>
    <row r="1425" spans="1:14" x14ac:dyDescent="0.35">
      <c r="A1425" s="156" t="s">
        <v>542</v>
      </c>
      <c r="B1425" s="52">
        <v>44698</v>
      </c>
      <c r="C1425" s="156" t="s">
        <v>531</v>
      </c>
      <c r="D1425" s="156" t="s">
        <v>531</v>
      </c>
      <c r="E1425">
        <v>5087507</v>
      </c>
      <c r="F1425">
        <v>269416.37290000002</v>
      </c>
      <c r="G1425">
        <v>53.029499999999999</v>
      </c>
      <c r="H1425">
        <v>1.0470870000000001</v>
      </c>
      <c r="I1425">
        <v>1</v>
      </c>
      <c r="J1425" s="156">
        <v>1</v>
      </c>
      <c r="K1425">
        <v>1</v>
      </c>
      <c r="L1425">
        <v>1</v>
      </c>
      <c r="M1425">
        <v>1</v>
      </c>
      <c r="N1425">
        <v>1.0470870000000001</v>
      </c>
    </row>
    <row r="1426" spans="1:14" x14ac:dyDescent="0.35">
      <c r="A1426" s="156" t="s">
        <v>542</v>
      </c>
      <c r="B1426" s="52">
        <v>44699</v>
      </c>
      <c r="C1426" s="156" t="s">
        <v>531</v>
      </c>
      <c r="D1426" s="156" t="s">
        <v>531</v>
      </c>
      <c r="E1426">
        <v>5962098</v>
      </c>
      <c r="F1426">
        <v>306902.67839999998</v>
      </c>
      <c r="G1426">
        <v>51.753399999999999</v>
      </c>
      <c r="H1426">
        <v>0.95147099999999996</v>
      </c>
      <c r="I1426">
        <v>1</v>
      </c>
      <c r="J1426" s="156">
        <v>1</v>
      </c>
      <c r="K1426">
        <v>1</v>
      </c>
      <c r="L1426">
        <v>1</v>
      </c>
      <c r="M1426">
        <v>1</v>
      </c>
      <c r="N1426">
        <v>0.95147099999999996</v>
      </c>
    </row>
    <row r="1427" spans="1:14" x14ac:dyDescent="0.35">
      <c r="A1427" s="156" t="s">
        <v>542</v>
      </c>
      <c r="B1427" s="52">
        <v>44700</v>
      </c>
      <c r="C1427" s="156" t="s">
        <v>531</v>
      </c>
      <c r="D1427" s="156" t="s">
        <v>531</v>
      </c>
      <c r="E1427">
        <v>6511560</v>
      </c>
      <c r="F1427">
        <v>347895.70750000002</v>
      </c>
      <c r="G1427">
        <v>53.468499999999999</v>
      </c>
      <c r="H1427">
        <v>1.0571090000000001</v>
      </c>
      <c r="I1427">
        <v>1</v>
      </c>
      <c r="J1427" s="156">
        <v>1</v>
      </c>
      <c r="K1427">
        <v>1</v>
      </c>
      <c r="L1427">
        <v>1</v>
      </c>
      <c r="M1427">
        <v>1</v>
      </c>
      <c r="N1427">
        <v>1.0571090000000001</v>
      </c>
    </row>
    <row r="1428" spans="1:14" x14ac:dyDescent="0.35">
      <c r="A1428" s="156" t="s">
        <v>542</v>
      </c>
      <c r="B1428" s="52">
        <v>44701</v>
      </c>
      <c r="C1428" s="156" t="s">
        <v>531</v>
      </c>
      <c r="D1428" s="156" t="s">
        <v>531</v>
      </c>
      <c r="E1428">
        <v>5568825</v>
      </c>
      <c r="F1428">
        <v>288020.67099999997</v>
      </c>
      <c r="G1428">
        <v>52.058900000000001</v>
      </c>
      <c r="H1428">
        <v>0.980626</v>
      </c>
      <c r="I1428">
        <v>1</v>
      </c>
      <c r="J1428" s="156">
        <v>1</v>
      </c>
      <c r="K1428">
        <v>1</v>
      </c>
      <c r="L1428">
        <v>1</v>
      </c>
      <c r="M1428">
        <v>1</v>
      </c>
      <c r="N1428">
        <v>0.980626</v>
      </c>
    </row>
    <row r="1429" spans="1:14" x14ac:dyDescent="0.35">
      <c r="A1429" s="156" t="s">
        <v>542</v>
      </c>
      <c r="B1429" s="52">
        <v>44704</v>
      </c>
      <c r="C1429" s="156" t="s">
        <v>531</v>
      </c>
      <c r="D1429" s="156" t="s">
        <v>531</v>
      </c>
      <c r="E1429">
        <v>4245411</v>
      </c>
      <c r="F1429">
        <v>210925.25349999999</v>
      </c>
      <c r="G1429">
        <v>51.596800000000002</v>
      </c>
      <c r="H1429">
        <v>0.99734</v>
      </c>
      <c r="I1429">
        <v>1</v>
      </c>
      <c r="J1429" s="156">
        <v>1</v>
      </c>
      <c r="K1429">
        <v>1</v>
      </c>
      <c r="L1429">
        <v>1</v>
      </c>
      <c r="M1429">
        <v>1</v>
      </c>
      <c r="N1429">
        <v>0.99734</v>
      </c>
    </row>
    <row r="1430" spans="1:14" x14ac:dyDescent="0.35">
      <c r="A1430" s="156" t="s">
        <v>542</v>
      </c>
      <c r="B1430" s="52">
        <v>44705</v>
      </c>
      <c r="C1430" s="156" t="s">
        <v>531</v>
      </c>
      <c r="D1430" s="156" t="s">
        <v>531</v>
      </c>
      <c r="E1430">
        <v>21153171</v>
      </c>
      <c r="F1430">
        <v>894346.07629999996</v>
      </c>
      <c r="G1430">
        <v>42.429900000000004</v>
      </c>
      <c r="H1430">
        <v>0.81485700000000005</v>
      </c>
      <c r="I1430">
        <v>1</v>
      </c>
      <c r="J1430" s="156">
        <v>1</v>
      </c>
      <c r="K1430">
        <v>1</v>
      </c>
      <c r="L1430">
        <v>1</v>
      </c>
      <c r="M1430">
        <v>1</v>
      </c>
      <c r="N1430">
        <v>0.81485700000000005</v>
      </c>
    </row>
    <row r="1431" spans="1:14" x14ac:dyDescent="0.35">
      <c r="A1431" s="156" t="s">
        <v>542</v>
      </c>
      <c r="B1431" s="52">
        <v>44706</v>
      </c>
      <c r="C1431" s="156" t="s">
        <v>531</v>
      </c>
      <c r="D1431" s="156" t="s">
        <v>531</v>
      </c>
      <c r="E1431">
        <v>7976417</v>
      </c>
      <c r="F1431">
        <v>358464.48540000001</v>
      </c>
      <c r="G1431">
        <v>45.164299999999997</v>
      </c>
      <c r="H1431">
        <v>1.082983</v>
      </c>
      <c r="I1431">
        <v>1</v>
      </c>
      <c r="J1431" s="156">
        <v>1</v>
      </c>
      <c r="K1431">
        <v>1</v>
      </c>
      <c r="L1431">
        <v>1</v>
      </c>
      <c r="M1431">
        <v>1</v>
      </c>
      <c r="N1431">
        <v>1.082983</v>
      </c>
    </row>
    <row r="1432" spans="1:14" x14ac:dyDescent="0.35">
      <c r="A1432" s="156" t="s">
        <v>542</v>
      </c>
      <c r="B1432" s="52">
        <v>44707</v>
      </c>
      <c r="C1432" s="156" t="s">
        <v>531</v>
      </c>
      <c r="D1432" s="156" t="s">
        <v>531</v>
      </c>
      <c r="E1432">
        <v>13548521</v>
      </c>
      <c r="F1432">
        <v>646807.43330000003</v>
      </c>
      <c r="G1432">
        <v>47.933799999999998</v>
      </c>
      <c r="H1432">
        <v>1.0582780000000001</v>
      </c>
      <c r="I1432">
        <v>1</v>
      </c>
      <c r="J1432" s="156">
        <v>1</v>
      </c>
      <c r="K1432">
        <v>1</v>
      </c>
      <c r="L1432">
        <v>1</v>
      </c>
      <c r="M1432">
        <v>1</v>
      </c>
      <c r="N1432">
        <v>1.0582780000000001</v>
      </c>
    </row>
    <row r="1433" spans="1:14" x14ac:dyDescent="0.35">
      <c r="A1433" s="156" t="s">
        <v>542</v>
      </c>
      <c r="B1433" s="52">
        <v>44708</v>
      </c>
      <c r="C1433" s="156" t="s">
        <v>531</v>
      </c>
      <c r="D1433" s="156" t="s">
        <v>531</v>
      </c>
      <c r="E1433">
        <v>6251347</v>
      </c>
      <c r="F1433">
        <v>312471.71389999997</v>
      </c>
      <c r="G1433">
        <v>51.494399999999999</v>
      </c>
      <c r="H1433">
        <v>1.0705689999999999</v>
      </c>
      <c r="I1433">
        <v>1</v>
      </c>
      <c r="J1433" s="156">
        <v>1</v>
      </c>
      <c r="K1433">
        <v>1</v>
      </c>
      <c r="L1433">
        <v>1</v>
      </c>
      <c r="M1433">
        <v>1</v>
      </c>
      <c r="N1433">
        <v>1.0705689999999999</v>
      </c>
    </row>
    <row r="1434" spans="1:14" x14ac:dyDescent="0.35">
      <c r="A1434" s="156" t="s">
        <v>542</v>
      </c>
      <c r="B1434" s="52">
        <v>44712</v>
      </c>
      <c r="C1434" s="156" t="s">
        <v>531</v>
      </c>
      <c r="D1434" s="156" t="s">
        <v>531</v>
      </c>
      <c r="E1434">
        <v>6116246</v>
      </c>
      <c r="F1434">
        <v>313807.94140000001</v>
      </c>
      <c r="G1434">
        <v>51.974800000000002</v>
      </c>
      <c r="H1434">
        <v>0.99161699999999997</v>
      </c>
      <c r="I1434">
        <v>1</v>
      </c>
      <c r="J1434" s="156">
        <v>1</v>
      </c>
      <c r="K1434">
        <v>1</v>
      </c>
      <c r="L1434">
        <v>1</v>
      </c>
      <c r="M1434">
        <v>1</v>
      </c>
      <c r="N1434">
        <v>0.99161699999999997</v>
      </c>
    </row>
    <row r="1435" spans="1:14" x14ac:dyDescent="0.35">
      <c r="A1435" s="156" t="s">
        <v>542</v>
      </c>
      <c r="B1435" s="52">
        <v>44713</v>
      </c>
      <c r="C1435" s="156" t="s">
        <v>531</v>
      </c>
      <c r="D1435" s="156" t="s">
        <v>531</v>
      </c>
      <c r="E1435">
        <v>6043525</v>
      </c>
      <c r="F1435">
        <v>315724.45449999999</v>
      </c>
      <c r="G1435">
        <v>52.357900000000001</v>
      </c>
      <c r="H1435">
        <v>0.99058599999999997</v>
      </c>
      <c r="I1435">
        <v>1</v>
      </c>
      <c r="J1435" s="156">
        <v>1</v>
      </c>
      <c r="K1435">
        <v>1</v>
      </c>
      <c r="L1435">
        <v>1</v>
      </c>
      <c r="M1435">
        <v>1</v>
      </c>
      <c r="N1435">
        <v>0.99058599999999997</v>
      </c>
    </row>
    <row r="1436" spans="1:14" x14ac:dyDescent="0.35">
      <c r="A1436" s="156" t="s">
        <v>542</v>
      </c>
      <c r="B1436" s="52">
        <v>44714</v>
      </c>
      <c r="C1436" s="156" t="s">
        <v>531</v>
      </c>
      <c r="D1436" s="156" t="s">
        <v>531</v>
      </c>
      <c r="E1436">
        <v>5070642</v>
      </c>
      <c r="F1436">
        <v>270401.74729999999</v>
      </c>
      <c r="G1436">
        <v>53.589500000000001</v>
      </c>
      <c r="H1436">
        <v>1.0591539999999999</v>
      </c>
      <c r="I1436">
        <v>1</v>
      </c>
      <c r="J1436" s="156">
        <v>1</v>
      </c>
      <c r="K1436">
        <v>1</v>
      </c>
      <c r="L1436">
        <v>1</v>
      </c>
      <c r="M1436">
        <v>1</v>
      </c>
      <c r="N1436">
        <v>1.0591539999999999</v>
      </c>
    </row>
    <row r="1437" spans="1:14" x14ac:dyDescent="0.35">
      <c r="A1437" s="156" t="s">
        <v>542</v>
      </c>
      <c r="B1437" s="52">
        <v>44715</v>
      </c>
      <c r="C1437" s="156" t="s">
        <v>531</v>
      </c>
      <c r="D1437" s="156" t="s">
        <v>531</v>
      </c>
      <c r="E1437">
        <v>4895451</v>
      </c>
      <c r="F1437">
        <v>249908.08</v>
      </c>
      <c r="G1437">
        <v>51.330399999999997</v>
      </c>
      <c r="H1437">
        <v>0.93664199999999997</v>
      </c>
      <c r="I1437">
        <v>1</v>
      </c>
      <c r="J1437" s="156">
        <v>1</v>
      </c>
      <c r="K1437">
        <v>1</v>
      </c>
      <c r="L1437">
        <v>1</v>
      </c>
      <c r="M1437">
        <v>1</v>
      </c>
      <c r="N1437">
        <v>0.93664199999999997</v>
      </c>
    </row>
    <row r="1438" spans="1:14" x14ac:dyDescent="0.35">
      <c r="A1438" s="156" t="s">
        <v>542</v>
      </c>
      <c r="B1438" s="52">
        <v>44718</v>
      </c>
      <c r="C1438" s="156" t="s">
        <v>531</v>
      </c>
      <c r="D1438" s="156" t="s">
        <v>531</v>
      </c>
      <c r="E1438">
        <v>4820256</v>
      </c>
      <c r="F1438">
        <v>249925.98509999999</v>
      </c>
      <c r="G1438">
        <v>52.051900000000003</v>
      </c>
      <c r="H1438">
        <v>1.0295209999999999</v>
      </c>
      <c r="I1438">
        <v>1</v>
      </c>
      <c r="J1438" s="156">
        <v>1</v>
      </c>
      <c r="K1438">
        <v>1</v>
      </c>
      <c r="L1438">
        <v>1</v>
      </c>
      <c r="M1438">
        <v>1</v>
      </c>
      <c r="N1438">
        <v>1.0295209999999999</v>
      </c>
    </row>
    <row r="1439" spans="1:14" x14ac:dyDescent="0.35">
      <c r="A1439" s="156" t="s">
        <v>542</v>
      </c>
      <c r="B1439" s="52">
        <v>44719</v>
      </c>
      <c r="C1439" s="156" t="s">
        <v>531</v>
      </c>
      <c r="D1439" s="156" t="s">
        <v>531</v>
      </c>
      <c r="E1439">
        <v>4570441</v>
      </c>
      <c r="F1439">
        <v>238590.76199999999</v>
      </c>
      <c r="G1439">
        <v>52.648899999999998</v>
      </c>
      <c r="H1439">
        <v>1.0104439999999999</v>
      </c>
      <c r="I1439">
        <v>1</v>
      </c>
      <c r="J1439" s="156">
        <v>1</v>
      </c>
      <c r="K1439">
        <v>1</v>
      </c>
      <c r="L1439">
        <v>1</v>
      </c>
      <c r="M1439">
        <v>1</v>
      </c>
      <c r="N1439">
        <v>1.0104439999999999</v>
      </c>
    </row>
    <row r="1440" spans="1:14" x14ac:dyDescent="0.35">
      <c r="A1440" s="156" t="s">
        <v>542</v>
      </c>
      <c r="B1440" s="52">
        <v>44720</v>
      </c>
      <c r="C1440" s="156" t="s">
        <v>531</v>
      </c>
      <c r="D1440" s="156" t="s">
        <v>531</v>
      </c>
      <c r="E1440">
        <v>3432834</v>
      </c>
      <c r="F1440">
        <v>186447.45439999999</v>
      </c>
      <c r="G1440">
        <v>54.632199999999997</v>
      </c>
      <c r="H1440">
        <v>1.0281899999999999</v>
      </c>
      <c r="I1440">
        <v>1</v>
      </c>
      <c r="J1440" s="156">
        <v>1</v>
      </c>
      <c r="K1440">
        <v>1</v>
      </c>
      <c r="L1440">
        <v>1</v>
      </c>
      <c r="M1440">
        <v>1</v>
      </c>
      <c r="N1440">
        <v>1.0281899999999999</v>
      </c>
    </row>
    <row r="1441" spans="1:14" x14ac:dyDescent="0.35">
      <c r="A1441" s="156" t="s">
        <v>542</v>
      </c>
      <c r="B1441" s="52">
        <v>44721</v>
      </c>
      <c r="C1441" s="156" t="s">
        <v>531</v>
      </c>
      <c r="D1441" s="156" t="s">
        <v>531</v>
      </c>
      <c r="E1441">
        <v>4557621</v>
      </c>
      <c r="F1441">
        <v>240777.1617</v>
      </c>
      <c r="G1441">
        <v>52.882599999999996</v>
      </c>
      <c r="H1441">
        <v>0.95978799999999997</v>
      </c>
      <c r="I1441">
        <v>1</v>
      </c>
      <c r="J1441" s="156">
        <v>1</v>
      </c>
      <c r="K1441">
        <v>1</v>
      </c>
      <c r="L1441">
        <v>1</v>
      </c>
      <c r="M1441">
        <v>1</v>
      </c>
      <c r="N1441">
        <v>0.95978799999999997</v>
      </c>
    </row>
    <row r="1442" spans="1:14" x14ac:dyDescent="0.35">
      <c r="A1442" s="156" t="s">
        <v>542</v>
      </c>
      <c r="B1442" s="52">
        <v>44722</v>
      </c>
      <c r="C1442" s="156" t="s">
        <v>531</v>
      </c>
      <c r="D1442" s="156" t="s">
        <v>531</v>
      </c>
      <c r="E1442">
        <v>5025869</v>
      </c>
      <c r="F1442">
        <v>247212.74609999999</v>
      </c>
      <c r="G1442">
        <v>49.654299999999999</v>
      </c>
      <c r="H1442">
        <v>0.93829700000000005</v>
      </c>
      <c r="I1442">
        <v>1</v>
      </c>
      <c r="J1442" s="156">
        <v>1</v>
      </c>
      <c r="K1442">
        <v>1</v>
      </c>
      <c r="L1442">
        <v>1</v>
      </c>
      <c r="M1442">
        <v>1</v>
      </c>
      <c r="N1442">
        <v>0.93829700000000005</v>
      </c>
    </row>
    <row r="1443" spans="1:14" x14ac:dyDescent="0.35">
      <c r="A1443" s="156" t="s">
        <v>542</v>
      </c>
      <c r="B1443" s="52">
        <v>44725</v>
      </c>
      <c r="C1443" s="156" t="s">
        <v>531</v>
      </c>
      <c r="D1443" s="156" t="s">
        <v>531</v>
      </c>
      <c r="E1443">
        <v>8091641</v>
      </c>
      <c r="F1443">
        <v>366241.6925</v>
      </c>
      <c r="G1443">
        <v>45.345799999999997</v>
      </c>
      <c r="H1443">
        <v>0.92510700000000001</v>
      </c>
      <c r="I1443">
        <v>1</v>
      </c>
      <c r="J1443" s="156">
        <v>1</v>
      </c>
      <c r="K1443">
        <v>1</v>
      </c>
      <c r="L1443">
        <v>1</v>
      </c>
      <c r="M1443">
        <v>1</v>
      </c>
      <c r="N1443">
        <v>0.92510700000000001</v>
      </c>
    </row>
    <row r="1444" spans="1:14" x14ac:dyDescent="0.35">
      <c r="A1444" s="156" t="s">
        <v>542</v>
      </c>
      <c r="B1444" s="52">
        <v>44726</v>
      </c>
      <c r="C1444" s="156" t="s">
        <v>531</v>
      </c>
      <c r="D1444" s="156" t="s">
        <v>531</v>
      </c>
      <c r="E1444">
        <v>6104704</v>
      </c>
      <c r="F1444">
        <v>279884.34740000003</v>
      </c>
      <c r="G1444">
        <v>45.9923</v>
      </c>
      <c r="H1444">
        <v>0.99605100000000002</v>
      </c>
      <c r="I1444">
        <v>1</v>
      </c>
      <c r="J1444" s="156">
        <v>1</v>
      </c>
      <c r="K1444">
        <v>1</v>
      </c>
      <c r="L1444">
        <v>1</v>
      </c>
      <c r="M1444">
        <v>1</v>
      </c>
      <c r="N1444">
        <v>0.99605100000000002</v>
      </c>
    </row>
    <row r="1445" spans="1:14" x14ac:dyDescent="0.35">
      <c r="A1445" s="156" t="s">
        <v>542</v>
      </c>
      <c r="B1445" s="52">
        <v>44727</v>
      </c>
      <c r="C1445" s="156" t="s">
        <v>531</v>
      </c>
      <c r="D1445" s="156" t="s">
        <v>531</v>
      </c>
      <c r="E1445">
        <v>6395690</v>
      </c>
      <c r="F1445">
        <v>298290.08519999997</v>
      </c>
      <c r="G1445">
        <v>47.381100000000004</v>
      </c>
      <c r="H1445">
        <v>1.060352</v>
      </c>
      <c r="I1445">
        <v>1</v>
      </c>
      <c r="J1445" s="156">
        <v>1</v>
      </c>
      <c r="K1445">
        <v>1</v>
      </c>
      <c r="L1445">
        <v>1</v>
      </c>
      <c r="M1445">
        <v>1</v>
      </c>
      <c r="N1445">
        <v>1.060352</v>
      </c>
    </row>
    <row r="1446" spans="1:14" x14ac:dyDescent="0.35">
      <c r="A1446" s="156" t="s">
        <v>542</v>
      </c>
      <c r="B1446" s="52">
        <v>44728</v>
      </c>
      <c r="C1446" s="156" t="s">
        <v>531</v>
      </c>
      <c r="D1446" s="156" t="s">
        <v>531</v>
      </c>
      <c r="E1446">
        <v>5427282</v>
      </c>
      <c r="F1446">
        <v>237443.5747</v>
      </c>
      <c r="G1446">
        <v>44.3812</v>
      </c>
      <c r="H1446">
        <v>0.91877900000000001</v>
      </c>
      <c r="I1446">
        <v>1</v>
      </c>
      <c r="J1446" s="156">
        <v>1</v>
      </c>
      <c r="K1446">
        <v>1</v>
      </c>
      <c r="L1446">
        <v>1</v>
      </c>
      <c r="M1446">
        <v>1</v>
      </c>
      <c r="N1446">
        <v>0.91877900000000001</v>
      </c>
    </row>
    <row r="1447" spans="1:14" x14ac:dyDescent="0.35">
      <c r="A1447" s="156" t="s">
        <v>542</v>
      </c>
      <c r="B1447" s="52">
        <v>44729</v>
      </c>
      <c r="C1447" s="156" t="s">
        <v>531</v>
      </c>
      <c r="D1447" s="156" t="s">
        <v>531</v>
      </c>
      <c r="E1447">
        <v>5562176</v>
      </c>
      <c r="F1447">
        <v>239620.12049999999</v>
      </c>
      <c r="G1447">
        <v>46.235999999999997</v>
      </c>
      <c r="H1447">
        <v>1.0468010000000001</v>
      </c>
      <c r="I1447">
        <v>1</v>
      </c>
      <c r="J1447" s="156">
        <v>1</v>
      </c>
      <c r="K1447">
        <v>1</v>
      </c>
      <c r="L1447">
        <v>1</v>
      </c>
      <c r="M1447">
        <v>1</v>
      </c>
      <c r="N1447">
        <v>1.0468010000000001</v>
      </c>
    </row>
    <row r="1448" spans="1:14" x14ac:dyDescent="0.35">
      <c r="A1448" s="156" t="s">
        <v>542</v>
      </c>
      <c r="B1448" s="52">
        <v>44733</v>
      </c>
      <c r="C1448" s="156" t="s">
        <v>531</v>
      </c>
      <c r="D1448" s="156" t="s">
        <v>531</v>
      </c>
      <c r="E1448">
        <v>4939224</v>
      </c>
      <c r="F1448">
        <v>236773.94829999999</v>
      </c>
      <c r="G1448">
        <v>48.149500000000003</v>
      </c>
      <c r="H1448">
        <v>1.0164150000000001</v>
      </c>
      <c r="I1448">
        <v>1</v>
      </c>
      <c r="J1448" s="156">
        <v>1</v>
      </c>
      <c r="K1448">
        <v>1</v>
      </c>
      <c r="L1448">
        <v>1</v>
      </c>
      <c r="M1448">
        <v>1</v>
      </c>
      <c r="N1448">
        <v>1.0164150000000001</v>
      </c>
    </row>
    <row r="1449" spans="1:14" x14ac:dyDescent="0.35">
      <c r="A1449" s="156" t="s">
        <v>542</v>
      </c>
      <c r="B1449" s="52">
        <v>44734</v>
      </c>
      <c r="C1449" s="156" t="s">
        <v>531</v>
      </c>
      <c r="D1449" s="156" t="s">
        <v>531</v>
      </c>
      <c r="E1449">
        <v>7213777</v>
      </c>
      <c r="F1449">
        <v>333984.72369999997</v>
      </c>
      <c r="G1449">
        <v>46.3812</v>
      </c>
      <c r="H1449">
        <v>0.96430099999999996</v>
      </c>
      <c r="I1449">
        <v>1</v>
      </c>
      <c r="J1449" s="156">
        <v>1</v>
      </c>
      <c r="K1449">
        <v>1</v>
      </c>
      <c r="L1449">
        <v>1</v>
      </c>
      <c r="M1449">
        <v>1</v>
      </c>
      <c r="N1449">
        <v>0.96430099999999996</v>
      </c>
    </row>
    <row r="1450" spans="1:14" x14ac:dyDescent="0.35">
      <c r="A1450" s="156" t="s">
        <v>542</v>
      </c>
      <c r="B1450" s="52">
        <v>44735</v>
      </c>
      <c r="C1450" s="156" t="s">
        <v>531</v>
      </c>
      <c r="D1450" s="156" t="s">
        <v>531</v>
      </c>
      <c r="E1450">
        <v>4822796</v>
      </c>
      <c r="F1450">
        <v>223293.39300000001</v>
      </c>
      <c r="G1450">
        <v>46.703099999999999</v>
      </c>
      <c r="H1450">
        <v>1.0460560000000001</v>
      </c>
      <c r="I1450">
        <v>1</v>
      </c>
      <c r="J1450" s="156">
        <v>1</v>
      </c>
      <c r="K1450">
        <v>1</v>
      </c>
      <c r="L1450">
        <v>1</v>
      </c>
      <c r="M1450">
        <v>1</v>
      </c>
      <c r="N1450">
        <v>1.0460560000000001</v>
      </c>
    </row>
    <row r="1451" spans="1:14" x14ac:dyDescent="0.35">
      <c r="A1451" s="156" t="s">
        <v>542</v>
      </c>
      <c r="B1451" s="52">
        <v>44736</v>
      </c>
      <c r="C1451" s="156" t="s">
        <v>531</v>
      </c>
      <c r="D1451" s="156" t="s">
        <v>531</v>
      </c>
      <c r="E1451">
        <v>7069642</v>
      </c>
      <c r="F1451">
        <v>343414.10869999998</v>
      </c>
      <c r="G1451">
        <v>48.849299999999999</v>
      </c>
      <c r="H1451">
        <v>1.0425530000000001</v>
      </c>
      <c r="I1451">
        <v>1</v>
      </c>
      <c r="J1451" s="156">
        <v>1</v>
      </c>
      <c r="K1451">
        <v>1</v>
      </c>
      <c r="L1451">
        <v>1</v>
      </c>
      <c r="M1451">
        <v>1</v>
      </c>
      <c r="N1451">
        <v>1.0425530000000001</v>
      </c>
    </row>
    <row r="1452" spans="1:14" x14ac:dyDescent="0.35">
      <c r="A1452" s="156" t="s">
        <v>542</v>
      </c>
      <c r="B1452" s="52">
        <v>44739</v>
      </c>
      <c r="C1452" s="156" t="s">
        <v>531</v>
      </c>
      <c r="D1452" s="156" t="s">
        <v>531</v>
      </c>
      <c r="E1452">
        <v>3572768</v>
      </c>
      <c r="F1452">
        <v>171101.26360000001</v>
      </c>
      <c r="G1452">
        <v>48.294600000000003</v>
      </c>
      <c r="H1452">
        <v>0.96665999999999996</v>
      </c>
      <c r="I1452">
        <v>1</v>
      </c>
      <c r="J1452" s="156">
        <v>1</v>
      </c>
      <c r="K1452">
        <v>1</v>
      </c>
      <c r="L1452">
        <v>1</v>
      </c>
      <c r="M1452">
        <v>1</v>
      </c>
      <c r="N1452">
        <v>0.96665999999999996</v>
      </c>
    </row>
    <row r="1453" spans="1:14" x14ac:dyDescent="0.35">
      <c r="A1453" s="156" t="s">
        <v>542</v>
      </c>
      <c r="B1453" s="52">
        <v>44740</v>
      </c>
      <c r="C1453" s="156" t="s">
        <v>531</v>
      </c>
      <c r="D1453" s="156" t="s">
        <v>531</v>
      </c>
      <c r="E1453">
        <v>4150223</v>
      </c>
      <c r="F1453">
        <v>186882.64259999999</v>
      </c>
      <c r="G1453">
        <v>45.353000000000002</v>
      </c>
      <c r="H1453">
        <v>0.92286800000000002</v>
      </c>
      <c r="I1453">
        <v>1</v>
      </c>
      <c r="J1453" s="156">
        <v>1</v>
      </c>
      <c r="K1453">
        <v>1</v>
      </c>
      <c r="L1453">
        <v>1</v>
      </c>
      <c r="M1453">
        <v>1</v>
      </c>
      <c r="N1453">
        <v>0.92286800000000002</v>
      </c>
    </row>
    <row r="1454" spans="1:14" x14ac:dyDescent="0.35">
      <c r="A1454" s="156" t="s">
        <v>542</v>
      </c>
      <c r="B1454" s="52">
        <v>44741</v>
      </c>
      <c r="C1454" s="156" t="s">
        <v>531</v>
      </c>
      <c r="D1454" s="156" t="s">
        <v>531</v>
      </c>
      <c r="E1454">
        <v>4005955</v>
      </c>
      <c r="F1454">
        <v>171106.9503</v>
      </c>
      <c r="G1454">
        <v>43.1355</v>
      </c>
      <c r="H1454">
        <v>0.981653</v>
      </c>
      <c r="I1454">
        <v>1</v>
      </c>
      <c r="J1454" s="156">
        <v>1</v>
      </c>
      <c r="K1454">
        <v>1</v>
      </c>
      <c r="L1454">
        <v>1</v>
      </c>
      <c r="M1454">
        <v>1</v>
      </c>
      <c r="N1454">
        <v>0.981653</v>
      </c>
    </row>
    <row r="1455" spans="1:14" x14ac:dyDescent="0.35">
      <c r="A1455" s="156" t="s">
        <v>542</v>
      </c>
      <c r="B1455" s="52">
        <v>44742</v>
      </c>
      <c r="C1455" s="156" t="s">
        <v>531</v>
      </c>
      <c r="D1455" s="156" t="s">
        <v>531</v>
      </c>
      <c r="E1455">
        <v>5452039</v>
      </c>
      <c r="F1455">
        <v>227023.9332</v>
      </c>
      <c r="G1455">
        <v>41.745899999999999</v>
      </c>
      <c r="H1455">
        <v>0.96654399999999996</v>
      </c>
      <c r="I1455">
        <v>1</v>
      </c>
      <c r="J1455" s="156">
        <v>1</v>
      </c>
      <c r="K1455">
        <v>1</v>
      </c>
      <c r="L1455">
        <v>1</v>
      </c>
      <c r="M1455">
        <v>1</v>
      </c>
      <c r="N1455">
        <v>0.96654399999999996</v>
      </c>
    </row>
    <row r="1456" spans="1:14" x14ac:dyDescent="0.35">
      <c r="A1456" s="156" t="s">
        <v>542</v>
      </c>
      <c r="B1456" s="52">
        <v>44743</v>
      </c>
      <c r="C1456" s="156" t="s">
        <v>531</v>
      </c>
      <c r="D1456" s="156" t="s">
        <v>531</v>
      </c>
      <c r="E1456">
        <v>5334056</v>
      </c>
      <c r="F1456">
        <v>220936.535</v>
      </c>
      <c r="G1456">
        <v>41.493299999999998</v>
      </c>
      <c r="H1456">
        <v>0.99450899999999998</v>
      </c>
      <c r="I1456">
        <v>1</v>
      </c>
      <c r="J1456" s="156">
        <v>1</v>
      </c>
      <c r="K1456">
        <v>1</v>
      </c>
      <c r="L1456">
        <v>1</v>
      </c>
      <c r="M1456">
        <v>1</v>
      </c>
      <c r="N1456">
        <v>0.99450899999999998</v>
      </c>
    </row>
    <row r="1457" spans="1:14" x14ac:dyDescent="0.35">
      <c r="A1457" s="156" t="s">
        <v>542</v>
      </c>
      <c r="B1457" s="52">
        <v>44747</v>
      </c>
      <c r="C1457" s="156" t="s">
        <v>531</v>
      </c>
      <c r="D1457" s="156" t="s">
        <v>531</v>
      </c>
      <c r="E1457">
        <v>4211378</v>
      </c>
      <c r="F1457">
        <v>180394.4981</v>
      </c>
      <c r="G1457">
        <v>42.984299999999998</v>
      </c>
      <c r="H1457">
        <v>1.0631299999999999</v>
      </c>
      <c r="I1457">
        <v>1</v>
      </c>
      <c r="J1457" s="156">
        <v>1</v>
      </c>
      <c r="K1457">
        <v>1</v>
      </c>
      <c r="L1457">
        <v>1</v>
      </c>
      <c r="M1457">
        <v>1</v>
      </c>
      <c r="N1457">
        <v>1.0631299999999999</v>
      </c>
    </row>
    <row r="1458" spans="1:14" x14ac:dyDescent="0.35">
      <c r="A1458" s="156" t="s">
        <v>542</v>
      </c>
      <c r="B1458" s="52">
        <v>44748</v>
      </c>
      <c r="C1458" s="156" t="s">
        <v>531</v>
      </c>
      <c r="D1458" s="156" t="s">
        <v>531</v>
      </c>
      <c r="E1458">
        <v>3912971</v>
      </c>
      <c r="F1458">
        <v>169533.62169999999</v>
      </c>
      <c r="G1458">
        <v>43.464199999999998</v>
      </c>
      <c r="H1458">
        <v>0.97064799999999996</v>
      </c>
      <c r="I1458">
        <v>1</v>
      </c>
      <c r="J1458" s="156">
        <v>1</v>
      </c>
      <c r="K1458">
        <v>1</v>
      </c>
      <c r="L1458">
        <v>1</v>
      </c>
      <c r="M1458">
        <v>1</v>
      </c>
      <c r="N1458">
        <v>0.97064799999999996</v>
      </c>
    </row>
    <row r="1459" spans="1:14" x14ac:dyDescent="0.35">
      <c r="A1459" s="156" t="s">
        <v>542</v>
      </c>
      <c r="B1459" s="52">
        <v>44749</v>
      </c>
      <c r="C1459" s="156" t="s">
        <v>531</v>
      </c>
      <c r="D1459" s="156" t="s">
        <v>531</v>
      </c>
      <c r="E1459">
        <v>4759539</v>
      </c>
      <c r="F1459">
        <v>213151.3861</v>
      </c>
      <c r="G1459">
        <v>44.866599999999998</v>
      </c>
      <c r="H1459">
        <v>1.0590839999999999</v>
      </c>
      <c r="I1459">
        <v>1</v>
      </c>
      <c r="J1459" s="156">
        <v>1</v>
      </c>
      <c r="K1459">
        <v>1</v>
      </c>
      <c r="L1459">
        <v>1</v>
      </c>
      <c r="M1459">
        <v>1</v>
      </c>
      <c r="N1459">
        <v>1.0590839999999999</v>
      </c>
    </row>
    <row r="1460" spans="1:14" x14ac:dyDescent="0.35">
      <c r="A1460" s="156" t="s">
        <v>542</v>
      </c>
      <c r="B1460" s="52">
        <v>44750</v>
      </c>
      <c r="C1460" s="156" t="s">
        <v>531</v>
      </c>
      <c r="D1460" s="156" t="s">
        <v>531</v>
      </c>
      <c r="E1460">
        <v>3544913</v>
      </c>
      <c r="F1460">
        <v>160542.21160000001</v>
      </c>
      <c r="G1460">
        <v>45.451799999999999</v>
      </c>
      <c r="H1460">
        <v>1.0021960000000001</v>
      </c>
      <c r="I1460">
        <v>1</v>
      </c>
      <c r="J1460" s="156">
        <v>1</v>
      </c>
      <c r="K1460">
        <v>1</v>
      </c>
      <c r="L1460">
        <v>1</v>
      </c>
      <c r="M1460">
        <v>1</v>
      </c>
      <c r="N1460">
        <v>1.0021960000000001</v>
      </c>
    </row>
    <row r="1461" spans="1:14" x14ac:dyDescent="0.35">
      <c r="A1461" s="156" t="s">
        <v>542</v>
      </c>
      <c r="B1461" s="52">
        <v>44753</v>
      </c>
      <c r="C1461" s="156" t="s">
        <v>531</v>
      </c>
      <c r="D1461" s="156" t="s">
        <v>531</v>
      </c>
      <c r="E1461">
        <v>3105336</v>
      </c>
      <c r="F1461">
        <v>134381.22719999999</v>
      </c>
      <c r="G1461">
        <v>43.726199999999999</v>
      </c>
      <c r="H1461">
        <v>0.95353900000000003</v>
      </c>
      <c r="I1461">
        <v>1</v>
      </c>
      <c r="J1461" s="156">
        <v>1</v>
      </c>
      <c r="K1461">
        <v>1</v>
      </c>
      <c r="L1461">
        <v>1</v>
      </c>
      <c r="M1461">
        <v>1</v>
      </c>
      <c r="N1461">
        <v>0.95353900000000003</v>
      </c>
    </row>
    <row r="1462" spans="1:14" x14ac:dyDescent="0.35">
      <c r="A1462" s="156" t="s">
        <v>542</v>
      </c>
      <c r="B1462" s="52">
        <v>44754</v>
      </c>
      <c r="C1462" s="156" t="s">
        <v>531</v>
      </c>
      <c r="D1462" s="156" t="s">
        <v>531</v>
      </c>
      <c r="E1462">
        <v>7147220</v>
      </c>
      <c r="F1462">
        <v>319836.18900000001</v>
      </c>
      <c r="G1462">
        <v>44.809699999999999</v>
      </c>
      <c r="H1462">
        <v>1.0376920000000001</v>
      </c>
      <c r="I1462">
        <v>1</v>
      </c>
      <c r="J1462" s="156">
        <v>1</v>
      </c>
      <c r="K1462">
        <v>1</v>
      </c>
      <c r="L1462">
        <v>1</v>
      </c>
      <c r="M1462">
        <v>1</v>
      </c>
      <c r="N1462">
        <v>1.0376920000000001</v>
      </c>
    </row>
    <row r="1463" spans="1:14" x14ac:dyDescent="0.35">
      <c r="A1463" s="156" t="s">
        <v>542</v>
      </c>
      <c r="B1463" s="52">
        <v>44755</v>
      </c>
      <c r="C1463" s="156" t="s">
        <v>531</v>
      </c>
      <c r="D1463" s="156" t="s">
        <v>531</v>
      </c>
      <c r="E1463">
        <v>6932455</v>
      </c>
      <c r="F1463">
        <v>309366.0894</v>
      </c>
      <c r="G1463">
        <v>44.769500000000001</v>
      </c>
      <c r="H1463">
        <v>0.97807299999999997</v>
      </c>
      <c r="I1463">
        <v>1</v>
      </c>
      <c r="J1463" s="156">
        <v>1</v>
      </c>
      <c r="K1463">
        <v>1</v>
      </c>
      <c r="L1463">
        <v>1</v>
      </c>
      <c r="M1463">
        <v>1</v>
      </c>
      <c r="N1463">
        <v>0.97807299999999997</v>
      </c>
    </row>
    <row r="1464" spans="1:14" x14ac:dyDescent="0.35">
      <c r="A1464" s="156" t="s">
        <v>542</v>
      </c>
      <c r="B1464" s="52">
        <v>44756</v>
      </c>
      <c r="C1464" s="156" t="s">
        <v>531</v>
      </c>
      <c r="D1464" s="156" t="s">
        <v>531</v>
      </c>
      <c r="E1464">
        <v>11144005</v>
      </c>
      <c r="F1464">
        <v>448683.68459999998</v>
      </c>
      <c r="G1464">
        <v>40.698599999999999</v>
      </c>
      <c r="H1464">
        <v>0.93319700000000005</v>
      </c>
      <c r="I1464">
        <v>1</v>
      </c>
      <c r="J1464" s="156">
        <v>1</v>
      </c>
      <c r="K1464">
        <v>1</v>
      </c>
      <c r="L1464">
        <v>1</v>
      </c>
      <c r="M1464">
        <v>1</v>
      </c>
      <c r="N1464">
        <v>0.93319700000000005</v>
      </c>
    </row>
    <row r="1465" spans="1:14" x14ac:dyDescent="0.35">
      <c r="A1465" s="156" t="s">
        <v>542</v>
      </c>
      <c r="B1465" s="52">
        <v>44757</v>
      </c>
      <c r="C1465" s="156" t="s">
        <v>531</v>
      </c>
      <c r="D1465" s="156" t="s">
        <v>531</v>
      </c>
      <c r="E1465">
        <v>4986832</v>
      </c>
      <c r="F1465">
        <v>212433.4578</v>
      </c>
      <c r="G1465">
        <v>42.865400000000001</v>
      </c>
      <c r="H1465">
        <v>1.045863</v>
      </c>
      <c r="I1465">
        <v>1</v>
      </c>
      <c r="J1465" s="156">
        <v>1</v>
      </c>
      <c r="K1465">
        <v>1</v>
      </c>
      <c r="L1465">
        <v>1</v>
      </c>
      <c r="M1465">
        <v>1</v>
      </c>
      <c r="N1465">
        <v>1.045863</v>
      </c>
    </row>
    <row r="1466" spans="1:14" x14ac:dyDescent="0.35">
      <c r="A1466" s="156" t="s">
        <v>542</v>
      </c>
      <c r="B1466" s="52">
        <v>44760</v>
      </c>
      <c r="C1466" s="156" t="s">
        <v>531</v>
      </c>
      <c r="D1466" s="156" t="s">
        <v>531</v>
      </c>
      <c r="E1466">
        <v>4870476</v>
      </c>
      <c r="F1466">
        <v>212929.535</v>
      </c>
      <c r="G1466">
        <v>44.440300000000001</v>
      </c>
      <c r="H1466">
        <v>1.012065</v>
      </c>
      <c r="I1466">
        <v>1</v>
      </c>
      <c r="J1466" s="156">
        <v>1</v>
      </c>
      <c r="K1466">
        <v>1</v>
      </c>
      <c r="L1466">
        <v>1</v>
      </c>
      <c r="M1466">
        <v>1</v>
      </c>
      <c r="N1466">
        <v>1.012065</v>
      </c>
    </row>
    <row r="1467" spans="1:14" x14ac:dyDescent="0.35">
      <c r="A1467" s="156" t="s">
        <v>542</v>
      </c>
      <c r="B1467" s="52">
        <v>44761</v>
      </c>
      <c r="C1467" s="156" t="s">
        <v>531</v>
      </c>
      <c r="D1467" s="156" t="s">
        <v>531</v>
      </c>
      <c r="E1467">
        <v>4461272</v>
      </c>
      <c r="F1467">
        <v>200140.94760000001</v>
      </c>
      <c r="G1467">
        <v>45.350299999999997</v>
      </c>
      <c r="H1467">
        <v>1.055021</v>
      </c>
      <c r="I1467">
        <v>1</v>
      </c>
      <c r="J1467" s="156">
        <v>1</v>
      </c>
      <c r="K1467">
        <v>1</v>
      </c>
      <c r="L1467">
        <v>1</v>
      </c>
      <c r="M1467">
        <v>1</v>
      </c>
      <c r="N1467">
        <v>1.055021</v>
      </c>
    </row>
    <row r="1468" spans="1:14" x14ac:dyDescent="0.35">
      <c r="A1468" s="156" t="s">
        <v>542</v>
      </c>
      <c r="B1468" s="52">
        <v>44762</v>
      </c>
      <c r="C1468" s="156" t="s">
        <v>531</v>
      </c>
      <c r="D1468" s="156" t="s">
        <v>531</v>
      </c>
      <c r="E1468">
        <v>8517297</v>
      </c>
      <c r="F1468">
        <v>418444.91249999998</v>
      </c>
      <c r="G1468">
        <v>49.313600000000001</v>
      </c>
      <c r="H1468">
        <v>1.081704</v>
      </c>
      <c r="I1468">
        <v>1</v>
      </c>
      <c r="J1468" s="156">
        <v>1</v>
      </c>
      <c r="K1468">
        <v>1</v>
      </c>
      <c r="L1468">
        <v>1</v>
      </c>
      <c r="M1468">
        <v>1</v>
      </c>
      <c r="N1468">
        <v>1.081704</v>
      </c>
    </row>
    <row r="1469" spans="1:14" x14ac:dyDescent="0.35">
      <c r="A1469" s="156" t="s">
        <v>542</v>
      </c>
      <c r="B1469" s="52">
        <v>44763</v>
      </c>
      <c r="C1469" s="156" t="s">
        <v>531</v>
      </c>
      <c r="D1469" s="156" t="s">
        <v>531</v>
      </c>
      <c r="E1469">
        <v>4967884</v>
      </c>
      <c r="F1469">
        <v>244243.4847</v>
      </c>
      <c r="G1469">
        <v>50.358899999999998</v>
      </c>
      <c r="H1469">
        <v>1.0243070000000001</v>
      </c>
      <c r="I1469">
        <v>1</v>
      </c>
      <c r="J1469" s="156">
        <v>1</v>
      </c>
      <c r="K1469">
        <v>1</v>
      </c>
      <c r="L1469">
        <v>1</v>
      </c>
      <c r="M1469">
        <v>1</v>
      </c>
      <c r="N1469">
        <v>1.0243070000000001</v>
      </c>
    </row>
    <row r="1470" spans="1:14" x14ac:dyDescent="0.35">
      <c r="A1470" s="156" t="s">
        <v>542</v>
      </c>
      <c r="B1470" s="52">
        <v>44764</v>
      </c>
      <c r="C1470" s="156" t="s">
        <v>531</v>
      </c>
      <c r="D1470" s="156" t="s">
        <v>531</v>
      </c>
      <c r="E1470">
        <v>9175585</v>
      </c>
      <c r="F1470">
        <v>433748.22779999999</v>
      </c>
      <c r="G1470">
        <v>47.795999999999999</v>
      </c>
      <c r="H1470">
        <v>0.92704500000000001</v>
      </c>
      <c r="I1470">
        <v>1</v>
      </c>
      <c r="J1470" s="156">
        <v>1</v>
      </c>
      <c r="K1470">
        <v>1</v>
      </c>
      <c r="L1470">
        <v>1</v>
      </c>
      <c r="M1470">
        <v>1</v>
      </c>
      <c r="N1470">
        <v>0.92704500000000001</v>
      </c>
    </row>
    <row r="1471" spans="1:14" x14ac:dyDescent="0.35">
      <c r="A1471" s="156" t="s">
        <v>542</v>
      </c>
      <c r="B1471" s="52">
        <v>44767</v>
      </c>
      <c r="C1471" s="156" t="s">
        <v>531</v>
      </c>
      <c r="D1471" s="156" t="s">
        <v>531</v>
      </c>
      <c r="E1471">
        <v>3391576</v>
      </c>
      <c r="F1471">
        <v>157341.76190000001</v>
      </c>
      <c r="G1471">
        <v>46.566099999999999</v>
      </c>
      <c r="H1471">
        <v>0.98497999999999997</v>
      </c>
      <c r="I1471">
        <v>1</v>
      </c>
      <c r="J1471" s="156">
        <v>1</v>
      </c>
      <c r="K1471">
        <v>1</v>
      </c>
      <c r="L1471">
        <v>1</v>
      </c>
      <c r="M1471">
        <v>1</v>
      </c>
      <c r="N1471">
        <v>0.98497999999999997</v>
      </c>
    </row>
    <row r="1472" spans="1:14" x14ac:dyDescent="0.35">
      <c r="A1472" s="156" t="s">
        <v>542</v>
      </c>
      <c r="B1472" s="52">
        <v>44768</v>
      </c>
      <c r="C1472" s="156" t="s">
        <v>531</v>
      </c>
      <c r="D1472" s="156" t="s">
        <v>531</v>
      </c>
      <c r="E1472">
        <v>7453942</v>
      </c>
      <c r="F1472">
        <v>314359.45280000003</v>
      </c>
      <c r="G1472">
        <v>43.234999999999999</v>
      </c>
      <c r="H1472">
        <v>0.91774100000000003</v>
      </c>
      <c r="I1472">
        <v>1</v>
      </c>
      <c r="J1472" s="156">
        <v>1</v>
      </c>
      <c r="K1472">
        <v>1</v>
      </c>
      <c r="L1472">
        <v>1</v>
      </c>
      <c r="M1472">
        <v>1</v>
      </c>
      <c r="N1472">
        <v>0.91774100000000003</v>
      </c>
    </row>
    <row r="1473" spans="1:14" x14ac:dyDescent="0.35">
      <c r="A1473" s="156" t="s">
        <v>542</v>
      </c>
      <c r="B1473" s="52">
        <v>44769</v>
      </c>
      <c r="C1473" s="156" t="s">
        <v>531</v>
      </c>
      <c r="D1473" s="156" t="s">
        <v>531</v>
      </c>
      <c r="E1473">
        <v>7836096</v>
      </c>
      <c r="F1473">
        <v>358013.22869999998</v>
      </c>
      <c r="G1473">
        <v>45.8337</v>
      </c>
      <c r="H1473">
        <v>1.0912710000000001</v>
      </c>
      <c r="I1473">
        <v>1</v>
      </c>
      <c r="J1473" s="156">
        <v>1</v>
      </c>
      <c r="K1473">
        <v>1</v>
      </c>
      <c r="L1473">
        <v>1</v>
      </c>
      <c r="M1473">
        <v>1</v>
      </c>
      <c r="N1473">
        <v>1.0912710000000001</v>
      </c>
    </row>
    <row r="1474" spans="1:14" x14ac:dyDescent="0.35">
      <c r="A1474" s="156" t="s">
        <v>542</v>
      </c>
      <c r="B1474" s="52">
        <v>44770</v>
      </c>
      <c r="C1474" s="156" t="s">
        <v>531</v>
      </c>
      <c r="D1474" s="156" t="s">
        <v>531</v>
      </c>
      <c r="E1474">
        <v>5907693</v>
      </c>
      <c r="F1474">
        <v>249034.39600000001</v>
      </c>
      <c r="G1474">
        <v>46.122399999999999</v>
      </c>
      <c r="H1474">
        <v>1.010723</v>
      </c>
      <c r="I1474">
        <v>1</v>
      </c>
      <c r="J1474" s="156">
        <v>1</v>
      </c>
      <c r="K1474">
        <v>1</v>
      </c>
      <c r="L1474">
        <v>1</v>
      </c>
      <c r="M1474">
        <v>1</v>
      </c>
      <c r="N1474">
        <v>1.010723</v>
      </c>
    </row>
    <row r="1475" spans="1:14" x14ac:dyDescent="0.35">
      <c r="A1475" s="156" t="s">
        <v>542</v>
      </c>
      <c r="B1475" s="52">
        <v>44771</v>
      </c>
      <c r="C1475" s="156" t="s">
        <v>531</v>
      </c>
      <c r="D1475" s="156" t="s">
        <v>531</v>
      </c>
      <c r="E1475">
        <v>13536877</v>
      </c>
      <c r="F1475">
        <v>588169.97609999997</v>
      </c>
      <c r="G1475">
        <v>44.0717</v>
      </c>
      <c r="H1475">
        <v>0.95480600000000004</v>
      </c>
      <c r="I1475">
        <v>1</v>
      </c>
      <c r="J1475" s="156">
        <v>1</v>
      </c>
      <c r="K1475">
        <v>1</v>
      </c>
      <c r="L1475">
        <v>1</v>
      </c>
      <c r="M1475">
        <v>1</v>
      </c>
      <c r="N1475">
        <v>0.95480600000000004</v>
      </c>
    </row>
    <row r="1476" spans="1:14" x14ac:dyDescent="0.35">
      <c r="A1476" s="156" t="s">
        <v>542</v>
      </c>
      <c r="B1476" s="52">
        <v>44774</v>
      </c>
      <c r="C1476" s="156" t="s">
        <v>531</v>
      </c>
      <c r="D1476" s="156" t="s">
        <v>531</v>
      </c>
      <c r="E1476">
        <v>6020438</v>
      </c>
      <c r="F1476">
        <v>270117.58799999999</v>
      </c>
      <c r="G1476">
        <v>45.049700000000001</v>
      </c>
      <c r="H1476">
        <v>1.0095559999999999</v>
      </c>
      <c r="I1476">
        <v>1</v>
      </c>
      <c r="J1476" s="156">
        <v>1</v>
      </c>
      <c r="K1476">
        <v>1</v>
      </c>
      <c r="L1476">
        <v>1</v>
      </c>
      <c r="M1476">
        <v>1</v>
      </c>
      <c r="N1476">
        <v>1.0095559999999999</v>
      </c>
    </row>
    <row r="1477" spans="1:14" x14ac:dyDescent="0.35">
      <c r="A1477" s="156" t="s">
        <v>542</v>
      </c>
      <c r="B1477" s="52">
        <v>44775</v>
      </c>
      <c r="C1477" s="156" t="s">
        <v>531</v>
      </c>
      <c r="D1477" s="156" t="s">
        <v>531</v>
      </c>
      <c r="E1477">
        <v>5878527</v>
      </c>
      <c r="F1477">
        <v>274600.92170000001</v>
      </c>
      <c r="G1477">
        <v>47.622700000000002</v>
      </c>
      <c r="H1477">
        <v>1.0499670000000001</v>
      </c>
      <c r="I1477">
        <v>1</v>
      </c>
      <c r="J1477" s="156">
        <v>1</v>
      </c>
      <c r="K1477">
        <v>1</v>
      </c>
      <c r="L1477">
        <v>1</v>
      </c>
      <c r="M1477">
        <v>1</v>
      </c>
      <c r="N1477">
        <v>1.0499670000000001</v>
      </c>
    </row>
    <row r="1478" spans="1:14" x14ac:dyDescent="0.35">
      <c r="A1478" s="156" t="s">
        <v>542</v>
      </c>
      <c r="B1478" s="52">
        <v>44776</v>
      </c>
      <c r="C1478" s="156" t="s">
        <v>531</v>
      </c>
      <c r="D1478" s="156" t="s">
        <v>531</v>
      </c>
      <c r="E1478">
        <v>4728104</v>
      </c>
      <c r="F1478">
        <v>228637.68530000001</v>
      </c>
      <c r="G1478">
        <v>49.781300000000002</v>
      </c>
      <c r="H1478">
        <v>1.0488470000000001</v>
      </c>
      <c r="I1478">
        <v>1</v>
      </c>
      <c r="J1478" s="156">
        <v>1</v>
      </c>
      <c r="K1478">
        <v>1</v>
      </c>
      <c r="L1478">
        <v>1</v>
      </c>
      <c r="M1478">
        <v>1</v>
      </c>
      <c r="N1478">
        <v>1.0488470000000001</v>
      </c>
    </row>
    <row r="1479" spans="1:14" x14ac:dyDescent="0.35">
      <c r="A1479" s="156" t="s">
        <v>542</v>
      </c>
      <c r="B1479" s="52">
        <v>44777</v>
      </c>
      <c r="C1479" s="156" t="s">
        <v>531</v>
      </c>
      <c r="D1479" s="156" t="s">
        <v>531</v>
      </c>
      <c r="E1479">
        <v>4393358</v>
      </c>
      <c r="F1479">
        <v>217085.64449999999</v>
      </c>
      <c r="G1479">
        <v>50.0976</v>
      </c>
      <c r="H1479">
        <v>1.0085949999999999</v>
      </c>
      <c r="I1479">
        <v>1</v>
      </c>
      <c r="J1479" s="156">
        <v>1</v>
      </c>
      <c r="K1479">
        <v>1</v>
      </c>
      <c r="L1479">
        <v>1</v>
      </c>
      <c r="M1479">
        <v>1</v>
      </c>
      <c r="N1479">
        <v>1.0085949999999999</v>
      </c>
    </row>
    <row r="1480" spans="1:14" x14ac:dyDescent="0.35">
      <c r="A1480" s="156" t="s">
        <v>542</v>
      </c>
      <c r="B1480" s="52">
        <v>44778</v>
      </c>
      <c r="C1480" s="156" t="s">
        <v>531</v>
      </c>
      <c r="D1480" s="156" t="s">
        <v>531</v>
      </c>
      <c r="E1480">
        <v>5625760</v>
      </c>
      <c r="F1480">
        <v>289994.52720000001</v>
      </c>
      <c r="G1480">
        <v>51.73</v>
      </c>
      <c r="H1480">
        <v>1.0459769999999999</v>
      </c>
      <c r="I1480">
        <v>1</v>
      </c>
      <c r="J1480" s="156">
        <v>1</v>
      </c>
      <c r="K1480">
        <v>1</v>
      </c>
      <c r="L1480">
        <v>1</v>
      </c>
      <c r="M1480">
        <v>1</v>
      </c>
      <c r="N1480">
        <v>1.0459769999999999</v>
      </c>
    </row>
    <row r="1481" spans="1:14" x14ac:dyDescent="0.35">
      <c r="A1481" s="156" t="s">
        <v>542</v>
      </c>
      <c r="B1481" s="52">
        <v>44781</v>
      </c>
      <c r="C1481" s="156" t="s">
        <v>531</v>
      </c>
      <c r="D1481" s="156" t="s">
        <v>531</v>
      </c>
      <c r="E1481">
        <v>6819946</v>
      </c>
      <c r="F1481">
        <v>375462.08179999999</v>
      </c>
      <c r="G1481">
        <v>55.506500000000003</v>
      </c>
      <c r="H1481">
        <v>1.041493</v>
      </c>
      <c r="I1481">
        <v>1</v>
      </c>
      <c r="J1481" s="156">
        <v>1</v>
      </c>
      <c r="K1481">
        <v>1</v>
      </c>
      <c r="L1481">
        <v>1</v>
      </c>
      <c r="M1481">
        <v>1</v>
      </c>
      <c r="N1481">
        <v>1.041493</v>
      </c>
    </row>
    <row r="1482" spans="1:14" x14ac:dyDescent="0.35">
      <c r="A1482" s="156" t="s">
        <v>542</v>
      </c>
      <c r="B1482" s="52">
        <v>44782</v>
      </c>
      <c r="C1482" s="156" t="s">
        <v>531</v>
      </c>
      <c r="D1482" s="156" t="s">
        <v>531</v>
      </c>
      <c r="E1482">
        <v>8164850</v>
      </c>
      <c r="F1482">
        <v>413528.53940000001</v>
      </c>
      <c r="G1482">
        <v>56.286900000000003</v>
      </c>
      <c r="H1482">
        <v>0.99145000000000005</v>
      </c>
      <c r="I1482">
        <v>1</v>
      </c>
      <c r="J1482" s="156">
        <v>1</v>
      </c>
      <c r="K1482">
        <v>1</v>
      </c>
      <c r="L1482">
        <v>1</v>
      </c>
      <c r="M1482">
        <v>1</v>
      </c>
      <c r="N1482">
        <v>0.99145000000000005</v>
      </c>
    </row>
    <row r="1483" spans="1:14" x14ac:dyDescent="0.35">
      <c r="A1483" s="156" t="s">
        <v>542</v>
      </c>
      <c r="B1483" s="52">
        <v>44783</v>
      </c>
      <c r="C1483" s="156" t="s">
        <v>531</v>
      </c>
      <c r="D1483" s="156" t="s">
        <v>531</v>
      </c>
      <c r="E1483">
        <v>42340973</v>
      </c>
      <c r="F1483">
        <v>3065415.9457</v>
      </c>
      <c r="G1483">
        <v>72.7012</v>
      </c>
      <c r="H1483">
        <v>1.3622019999999999</v>
      </c>
      <c r="I1483">
        <v>1</v>
      </c>
      <c r="J1483" s="156">
        <v>1</v>
      </c>
      <c r="K1483">
        <v>1</v>
      </c>
      <c r="L1483">
        <v>1</v>
      </c>
      <c r="M1483">
        <v>1</v>
      </c>
      <c r="N1483">
        <v>1.3622019999999999</v>
      </c>
    </row>
    <row r="1484" spans="1:14" x14ac:dyDescent="0.35">
      <c r="A1484" s="156" t="s">
        <v>542</v>
      </c>
      <c r="B1484" s="52">
        <v>44784</v>
      </c>
      <c r="C1484" s="156" t="s">
        <v>531</v>
      </c>
      <c r="D1484" s="156" t="s">
        <v>531</v>
      </c>
      <c r="E1484">
        <v>12147233</v>
      </c>
      <c r="F1484">
        <v>892116.4031</v>
      </c>
      <c r="G1484">
        <v>73.860799999999998</v>
      </c>
      <c r="H1484">
        <v>0.96430499999999997</v>
      </c>
      <c r="I1484">
        <v>1</v>
      </c>
      <c r="J1484" s="156">
        <v>1</v>
      </c>
      <c r="K1484">
        <v>1</v>
      </c>
      <c r="L1484">
        <v>1</v>
      </c>
      <c r="M1484">
        <v>1</v>
      </c>
      <c r="N1484">
        <v>0.96430499999999997</v>
      </c>
    </row>
    <row r="1485" spans="1:14" x14ac:dyDescent="0.35">
      <c r="A1485" s="156" t="s">
        <v>542</v>
      </c>
      <c r="B1485" s="52">
        <v>44785</v>
      </c>
      <c r="C1485" s="156" t="s">
        <v>531</v>
      </c>
      <c r="D1485" s="156" t="s">
        <v>531</v>
      </c>
      <c r="E1485">
        <v>7796709</v>
      </c>
      <c r="F1485">
        <v>571939.51699999999</v>
      </c>
      <c r="G1485">
        <v>73.978999999999999</v>
      </c>
      <c r="H1485">
        <v>1.040508</v>
      </c>
      <c r="I1485">
        <v>1</v>
      </c>
      <c r="J1485" s="156">
        <v>1</v>
      </c>
      <c r="K1485">
        <v>1</v>
      </c>
      <c r="L1485">
        <v>1</v>
      </c>
      <c r="M1485">
        <v>1</v>
      </c>
      <c r="N1485">
        <v>1.040508</v>
      </c>
    </row>
    <row r="1486" spans="1:14" x14ac:dyDescent="0.35">
      <c r="A1486" s="156" t="s">
        <v>542</v>
      </c>
      <c r="B1486" s="52">
        <v>44788</v>
      </c>
      <c r="C1486" s="156" t="s">
        <v>531</v>
      </c>
      <c r="D1486" s="156" t="s">
        <v>531</v>
      </c>
      <c r="E1486">
        <v>5951236</v>
      </c>
      <c r="F1486">
        <v>446311.58130000002</v>
      </c>
      <c r="G1486">
        <v>75.492500000000007</v>
      </c>
      <c r="H1486">
        <v>1.012351</v>
      </c>
      <c r="I1486">
        <v>1</v>
      </c>
      <c r="J1486" s="156">
        <v>1</v>
      </c>
      <c r="K1486">
        <v>1</v>
      </c>
      <c r="L1486">
        <v>1</v>
      </c>
      <c r="M1486">
        <v>1</v>
      </c>
      <c r="N1486">
        <v>1.012351</v>
      </c>
    </row>
    <row r="1487" spans="1:14" x14ac:dyDescent="0.35">
      <c r="A1487" s="156" t="s">
        <v>542</v>
      </c>
      <c r="B1487" s="52">
        <v>44789</v>
      </c>
      <c r="C1487" s="156" t="s">
        <v>531</v>
      </c>
      <c r="D1487" s="156" t="s">
        <v>531</v>
      </c>
      <c r="E1487">
        <v>4769982</v>
      </c>
      <c r="F1487">
        <v>349333.41119999997</v>
      </c>
      <c r="G1487">
        <v>73.888199999999998</v>
      </c>
      <c r="H1487">
        <v>0.977854</v>
      </c>
      <c r="I1487">
        <v>1</v>
      </c>
      <c r="J1487" s="156">
        <v>1</v>
      </c>
      <c r="K1487">
        <v>1</v>
      </c>
      <c r="L1487">
        <v>1</v>
      </c>
      <c r="M1487">
        <v>1</v>
      </c>
      <c r="N1487">
        <v>0.977854</v>
      </c>
    </row>
    <row r="1488" spans="1:14" x14ac:dyDescent="0.35">
      <c r="A1488" s="156" t="s">
        <v>542</v>
      </c>
      <c r="B1488" s="52">
        <v>44790</v>
      </c>
      <c r="C1488" s="156" t="s">
        <v>531</v>
      </c>
      <c r="D1488" s="156" t="s">
        <v>531</v>
      </c>
      <c r="E1488">
        <v>7223006</v>
      </c>
      <c r="F1488">
        <v>507011.64380000002</v>
      </c>
      <c r="G1488">
        <v>70.435599999999994</v>
      </c>
      <c r="H1488">
        <v>0.95158699999999996</v>
      </c>
      <c r="I1488">
        <v>1</v>
      </c>
      <c r="J1488" s="156">
        <v>1</v>
      </c>
      <c r="K1488">
        <v>1</v>
      </c>
      <c r="L1488">
        <v>1</v>
      </c>
      <c r="M1488">
        <v>1</v>
      </c>
      <c r="N1488">
        <v>0.95158699999999996</v>
      </c>
    </row>
    <row r="1489" spans="1:14" x14ac:dyDescent="0.35">
      <c r="A1489" s="156" t="s">
        <v>542</v>
      </c>
      <c r="B1489" s="52">
        <v>44791</v>
      </c>
      <c r="C1489" s="156" t="s">
        <v>531</v>
      </c>
      <c r="D1489" s="156" t="s">
        <v>531</v>
      </c>
      <c r="E1489">
        <v>4170004</v>
      </c>
      <c r="F1489">
        <v>289827.19900000002</v>
      </c>
      <c r="G1489">
        <v>69.641400000000004</v>
      </c>
      <c r="H1489">
        <v>0.98503600000000002</v>
      </c>
      <c r="I1489">
        <v>1</v>
      </c>
      <c r="J1489" s="156">
        <v>1</v>
      </c>
      <c r="K1489">
        <v>1</v>
      </c>
      <c r="L1489">
        <v>1</v>
      </c>
      <c r="M1489">
        <v>1</v>
      </c>
      <c r="N1489">
        <v>0.98503600000000002</v>
      </c>
    </row>
    <row r="1490" spans="1:14" x14ac:dyDescent="0.35">
      <c r="A1490" s="156" t="s">
        <v>542</v>
      </c>
      <c r="B1490" s="52">
        <v>44792</v>
      </c>
      <c r="C1490" s="156" t="s">
        <v>531</v>
      </c>
      <c r="D1490" s="156" t="s">
        <v>531</v>
      </c>
      <c r="E1490">
        <v>5025589</v>
      </c>
      <c r="F1490">
        <v>331128.45539999998</v>
      </c>
      <c r="G1490">
        <v>66.011300000000006</v>
      </c>
      <c r="H1490">
        <v>0.950376</v>
      </c>
      <c r="I1490">
        <v>1</v>
      </c>
      <c r="J1490" s="156">
        <v>1</v>
      </c>
      <c r="K1490">
        <v>1</v>
      </c>
      <c r="L1490">
        <v>1</v>
      </c>
      <c r="M1490">
        <v>1</v>
      </c>
      <c r="N1490">
        <v>0.950376</v>
      </c>
    </row>
    <row r="1491" spans="1:14" x14ac:dyDescent="0.35">
      <c r="A1491" s="156" t="s">
        <v>542</v>
      </c>
      <c r="B1491" s="52">
        <v>44795</v>
      </c>
      <c r="C1491" s="156" t="s">
        <v>531</v>
      </c>
      <c r="D1491" s="156" t="s">
        <v>531</v>
      </c>
      <c r="E1491">
        <v>4766112</v>
      </c>
      <c r="F1491">
        <v>302338.94510000001</v>
      </c>
      <c r="G1491">
        <v>63.669499999999999</v>
      </c>
      <c r="H1491">
        <v>0.97336</v>
      </c>
      <c r="I1491">
        <v>1</v>
      </c>
      <c r="J1491" s="156">
        <v>1</v>
      </c>
      <c r="K1491">
        <v>1</v>
      </c>
      <c r="L1491">
        <v>1</v>
      </c>
      <c r="M1491">
        <v>1</v>
      </c>
      <c r="N1491">
        <v>0.97336</v>
      </c>
    </row>
    <row r="1492" spans="1:14" x14ac:dyDescent="0.35">
      <c r="A1492" s="156" t="s">
        <v>542</v>
      </c>
      <c r="B1492" s="52">
        <v>44796</v>
      </c>
      <c r="C1492" s="156" t="s">
        <v>531</v>
      </c>
      <c r="D1492" s="156" t="s">
        <v>531</v>
      </c>
      <c r="E1492">
        <v>2894286</v>
      </c>
      <c r="F1492">
        <v>184122.05319999999</v>
      </c>
      <c r="G1492">
        <v>63.891399999999997</v>
      </c>
      <c r="H1492">
        <v>0.991398</v>
      </c>
      <c r="I1492">
        <v>1</v>
      </c>
      <c r="J1492" s="156">
        <v>1</v>
      </c>
      <c r="K1492">
        <v>1</v>
      </c>
      <c r="L1492">
        <v>1</v>
      </c>
      <c r="M1492">
        <v>1</v>
      </c>
      <c r="N1492">
        <v>0.991398</v>
      </c>
    </row>
    <row r="1493" spans="1:14" x14ac:dyDescent="0.35">
      <c r="A1493" s="156" t="s">
        <v>542</v>
      </c>
      <c r="B1493" s="52">
        <v>44797</v>
      </c>
      <c r="C1493" s="156" t="s">
        <v>531</v>
      </c>
      <c r="D1493" s="156" t="s">
        <v>531</v>
      </c>
      <c r="E1493">
        <v>3728254</v>
      </c>
      <c r="F1493">
        <v>241452.7267</v>
      </c>
      <c r="G1493">
        <v>64.779200000000003</v>
      </c>
      <c r="H1493">
        <v>1.0080450000000001</v>
      </c>
      <c r="I1493">
        <v>1</v>
      </c>
      <c r="J1493" s="156">
        <v>1</v>
      </c>
      <c r="K1493">
        <v>1</v>
      </c>
      <c r="L1493">
        <v>1</v>
      </c>
      <c r="M1493">
        <v>1</v>
      </c>
      <c r="N1493">
        <v>1.0080450000000001</v>
      </c>
    </row>
    <row r="1494" spans="1:14" x14ac:dyDescent="0.35">
      <c r="A1494" s="156" t="s">
        <v>542</v>
      </c>
      <c r="B1494" s="52">
        <v>44798</v>
      </c>
      <c r="C1494" s="156" t="s">
        <v>531</v>
      </c>
      <c r="D1494" s="156" t="s">
        <v>531</v>
      </c>
      <c r="E1494">
        <v>3567911</v>
      </c>
      <c r="F1494">
        <v>233346.94459999999</v>
      </c>
      <c r="G1494">
        <v>65.549700000000001</v>
      </c>
      <c r="H1494">
        <v>1.0364629999999999</v>
      </c>
      <c r="I1494">
        <v>1</v>
      </c>
      <c r="J1494" s="156">
        <v>1</v>
      </c>
      <c r="K1494">
        <v>1</v>
      </c>
      <c r="L1494">
        <v>1</v>
      </c>
      <c r="M1494">
        <v>1</v>
      </c>
      <c r="N1494">
        <v>1.0364629999999999</v>
      </c>
    </row>
    <row r="1495" spans="1:14" x14ac:dyDescent="0.35">
      <c r="A1495" s="156" t="s">
        <v>542</v>
      </c>
      <c r="B1495" s="52">
        <v>44799</v>
      </c>
      <c r="C1495" s="156" t="s">
        <v>531</v>
      </c>
      <c r="D1495" s="156" t="s">
        <v>531</v>
      </c>
      <c r="E1495">
        <v>3687057</v>
      </c>
      <c r="F1495">
        <v>234996.87059999999</v>
      </c>
      <c r="G1495">
        <v>63.872399999999999</v>
      </c>
      <c r="H1495">
        <v>0.95742099999999997</v>
      </c>
      <c r="I1495">
        <v>1</v>
      </c>
      <c r="J1495" s="156">
        <v>1</v>
      </c>
      <c r="K1495">
        <v>1</v>
      </c>
      <c r="L1495">
        <v>1</v>
      </c>
      <c r="M1495">
        <v>1</v>
      </c>
      <c r="N1495">
        <v>0.95742099999999997</v>
      </c>
    </row>
    <row r="1496" spans="1:14" x14ac:dyDescent="0.35">
      <c r="A1496" s="156" t="s">
        <v>542</v>
      </c>
      <c r="B1496" s="52">
        <v>44802</v>
      </c>
      <c r="C1496" s="156" t="s">
        <v>531</v>
      </c>
      <c r="D1496" s="156" t="s">
        <v>531</v>
      </c>
      <c r="E1496">
        <v>2836115</v>
      </c>
      <c r="F1496">
        <v>178137.38260000001</v>
      </c>
      <c r="G1496">
        <v>62.966000000000001</v>
      </c>
      <c r="H1496">
        <v>0.98596399999999995</v>
      </c>
      <c r="I1496">
        <v>1</v>
      </c>
      <c r="J1496" s="156">
        <v>1</v>
      </c>
      <c r="K1496">
        <v>1</v>
      </c>
      <c r="L1496">
        <v>1</v>
      </c>
      <c r="M1496">
        <v>1</v>
      </c>
      <c r="N1496">
        <v>0.98596399999999995</v>
      </c>
    </row>
    <row r="1497" spans="1:14" x14ac:dyDescent="0.35">
      <c r="A1497" s="156" t="s">
        <v>542</v>
      </c>
      <c r="B1497" s="52">
        <v>44803</v>
      </c>
      <c r="C1497" s="156" t="s">
        <v>531</v>
      </c>
      <c r="D1497" s="156" t="s">
        <v>531</v>
      </c>
      <c r="E1497">
        <v>5077001</v>
      </c>
      <c r="F1497">
        <v>300245.8002</v>
      </c>
      <c r="G1497">
        <v>62.405099999999997</v>
      </c>
      <c r="H1497">
        <v>1.0047980000000001</v>
      </c>
      <c r="I1497">
        <v>1</v>
      </c>
      <c r="J1497" s="156">
        <v>1</v>
      </c>
      <c r="K1497">
        <v>1</v>
      </c>
      <c r="L1497">
        <v>1</v>
      </c>
      <c r="M1497">
        <v>1</v>
      </c>
      <c r="N1497">
        <v>1.0047980000000001</v>
      </c>
    </row>
    <row r="1498" spans="1:14" x14ac:dyDescent="0.35">
      <c r="A1498" s="156" t="s">
        <v>542</v>
      </c>
      <c r="B1498" s="52">
        <v>44804</v>
      </c>
      <c r="C1498" s="156" t="s">
        <v>531</v>
      </c>
      <c r="D1498" s="156" t="s">
        <v>531</v>
      </c>
      <c r="E1498">
        <v>4472960</v>
      </c>
      <c r="F1498">
        <v>281897.90590000001</v>
      </c>
      <c r="G1498">
        <v>63.350700000000003</v>
      </c>
      <c r="H1498">
        <v>0.99809000000000003</v>
      </c>
      <c r="I1498">
        <v>1</v>
      </c>
      <c r="J1498" s="156">
        <v>1</v>
      </c>
      <c r="K1498">
        <v>1</v>
      </c>
      <c r="L1498">
        <v>1</v>
      </c>
      <c r="M1498">
        <v>1</v>
      </c>
      <c r="N1498">
        <v>0.99809000000000003</v>
      </c>
    </row>
    <row r="1499" spans="1:14" x14ac:dyDescent="0.35">
      <c r="A1499" s="156" t="s">
        <v>542</v>
      </c>
      <c r="B1499" s="52">
        <v>44805</v>
      </c>
      <c r="C1499" s="156" t="s">
        <v>531</v>
      </c>
      <c r="D1499" s="156" t="s">
        <v>531</v>
      </c>
      <c r="E1499">
        <v>4708903</v>
      </c>
      <c r="F1499">
        <v>284015.58740000002</v>
      </c>
      <c r="G1499">
        <v>60.52</v>
      </c>
      <c r="H1499">
        <v>0.98708099999999999</v>
      </c>
      <c r="I1499">
        <v>1</v>
      </c>
      <c r="J1499" s="156">
        <v>1</v>
      </c>
      <c r="K1499">
        <v>1</v>
      </c>
      <c r="L1499">
        <v>1</v>
      </c>
      <c r="M1499">
        <v>1</v>
      </c>
      <c r="N1499">
        <v>0.98708099999999999</v>
      </c>
    </row>
    <row r="1500" spans="1:14" x14ac:dyDescent="0.35">
      <c r="A1500" s="156" t="s">
        <v>542</v>
      </c>
      <c r="B1500" s="52">
        <v>44806</v>
      </c>
      <c r="C1500" s="156" t="s">
        <v>531</v>
      </c>
      <c r="D1500" s="156" t="s">
        <v>531</v>
      </c>
      <c r="E1500">
        <v>3856538</v>
      </c>
      <c r="F1500">
        <v>236729.70139999999</v>
      </c>
      <c r="G1500">
        <v>61.763199999999998</v>
      </c>
      <c r="H1500">
        <v>0.98998200000000003</v>
      </c>
      <c r="I1500">
        <v>1</v>
      </c>
      <c r="J1500" s="156">
        <v>1</v>
      </c>
      <c r="K1500">
        <v>1</v>
      </c>
      <c r="L1500">
        <v>1</v>
      </c>
      <c r="M1500">
        <v>1</v>
      </c>
      <c r="N1500">
        <v>0.98998200000000003</v>
      </c>
    </row>
    <row r="1501" spans="1:14" x14ac:dyDescent="0.35">
      <c r="A1501" s="156" t="s">
        <v>542</v>
      </c>
      <c r="B1501" s="52">
        <v>44810</v>
      </c>
      <c r="C1501" s="156" t="s">
        <v>531</v>
      </c>
      <c r="D1501" s="156" t="s">
        <v>531</v>
      </c>
      <c r="E1501">
        <v>3171678</v>
      </c>
      <c r="F1501">
        <v>191021.10639999999</v>
      </c>
      <c r="G1501">
        <v>60.295900000000003</v>
      </c>
      <c r="H1501">
        <v>0.97976200000000002</v>
      </c>
      <c r="I1501">
        <v>1</v>
      </c>
      <c r="J1501" s="156">
        <v>1</v>
      </c>
      <c r="K1501">
        <v>1</v>
      </c>
      <c r="L1501">
        <v>1</v>
      </c>
      <c r="M1501">
        <v>1</v>
      </c>
      <c r="N1501">
        <v>0.97976200000000002</v>
      </c>
    </row>
    <row r="1502" spans="1:14" x14ac:dyDescent="0.35">
      <c r="A1502" s="156" t="s">
        <v>542</v>
      </c>
      <c r="B1502" s="52">
        <v>44811</v>
      </c>
      <c r="C1502" s="156" t="s">
        <v>531</v>
      </c>
      <c r="D1502" s="156" t="s">
        <v>531</v>
      </c>
      <c r="E1502">
        <v>3746907</v>
      </c>
      <c r="F1502">
        <v>228945.37030000001</v>
      </c>
      <c r="G1502">
        <v>61.384999999999998</v>
      </c>
      <c r="H1502">
        <v>1.0358149999999999</v>
      </c>
      <c r="I1502">
        <v>1</v>
      </c>
      <c r="J1502" s="156">
        <v>1</v>
      </c>
      <c r="K1502">
        <v>1</v>
      </c>
      <c r="L1502">
        <v>1</v>
      </c>
      <c r="M1502">
        <v>1</v>
      </c>
      <c r="N1502">
        <v>1.0358149999999999</v>
      </c>
    </row>
    <row r="1503" spans="1:14" x14ac:dyDescent="0.35">
      <c r="A1503" s="156" t="s">
        <v>542</v>
      </c>
      <c r="B1503" s="52">
        <v>44812</v>
      </c>
      <c r="C1503" s="156" t="s">
        <v>531</v>
      </c>
      <c r="D1503" s="156" t="s">
        <v>531</v>
      </c>
      <c r="E1503">
        <v>4127924</v>
      </c>
      <c r="F1503">
        <v>261733.416</v>
      </c>
      <c r="G1503">
        <v>63.739400000000003</v>
      </c>
      <c r="H1503">
        <v>1.035542</v>
      </c>
      <c r="I1503">
        <v>1</v>
      </c>
      <c r="J1503" s="156">
        <v>1</v>
      </c>
      <c r="K1503">
        <v>1</v>
      </c>
      <c r="L1503">
        <v>1</v>
      </c>
      <c r="M1503">
        <v>1</v>
      </c>
      <c r="N1503">
        <v>1.035542</v>
      </c>
    </row>
    <row r="1504" spans="1:14" x14ac:dyDescent="0.35">
      <c r="A1504" s="156" t="s">
        <v>542</v>
      </c>
      <c r="B1504" s="52">
        <v>44813</v>
      </c>
      <c r="C1504" s="156" t="s">
        <v>531</v>
      </c>
      <c r="D1504" s="156" t="s">
        <v>531</v>
      </c>
      <c r="E1504">
        <v>4672615</v>
      </c>
      <c r="F1504">
        <v>311072.59330000001</v>
      </c>
      <c r="G1504">
        <v>66.613</v>
      </c>
      <c r="H1504">
        <v>1.0386709999999999</v>
      </c>
      <c r="I1504">
        <v>1</v>
      </c>
      <c r="J1504" s="156">
        <v>1</v>
      </c>
      <c r="K1504">
        <v>1</v>
      </c>
      <c r="L1504">
        <v>1</v>
      </c>
      <c r="M1504">
        <v>1</v>
      </c>
      <c r="N1504">
        <v>1.0386709999999999</v>
      </c>
    </row>
    <row r="1505" spans="1:14" x14ac:dyDescent="0.35">
      <c r="A1505" s="156" t="s">
        <v>542</v>
      </c>
      <c r="B1505" s="52">
        <v>44816</v>
      </c>
      <c r="C1505" s="156" t="s">
        <v>531</v>
      </c>
      <c r="D1505" s="156" t="s">
        <v>531</v>
      </c>
      <c r="E1505">
        <v>3681327</v>
      </c>
      <c r="F1505">
        <v>246025.17189999999</v>
      </c>
      <c r="G1505">
        <v>66.942599999999999</v>
      </c>
      <c r="H1505">
        <v>1.008224</v>
      </c>
      <c r="I1505">
        <v>1</v>
      </c>
      <c r="J1505" s="156">
        <v>1</v>
      </c>
      <c r="K1505">
        <v>1</v>
      </c>
      <c r="L1505">
        <v>1</v>
      </c>
      <c r="M1505">
        <v>1</v>
      </c>
      <c r="N1505">
        <v>1.008224</v>
      </c>
    </row>
    <row r="1506" spans="1:14" x14ac:dyDescent="0.35">
      <c r="A1506" s="156" t="s">
        <v>542</v>
      </c>
      <c r="B1506" s="52">
        <v>44817</v>
      </c>
      <c r="C1506" s="156" t="s">
        <v>531</v>
      </c>
      <c r="D1506" s="156" t="s">
        <v>531</v>
      </c>
      <c r="E1506">
        <v>4012466</v>
      </c>
      <c r="F1506">
        <v>255834.52059999999</v>
      </c>
      <c r="G1506">
        <v>63.898400000000002</v>
      </c>
      <c r="H1506">
        <v>0.94690799999999997</v>
      </c>
      <c r="I1506">
        <v>1</v>
      </c>
      <c r="J1506" s="156">
        <v>1</v>
      </c>
      <c r="K1506">
        <v>1</v>
      </c>
      <c r="L1506">
        <v>1</v>
      </c>
      <c r="M1506">
        <v>1</v>
      </c>
      <c r="N1506">
        <v>0.94690799999999997</v>
      </c>
    </row>
    <row r="1507" spans="1:14" x14ac:dyDescent="0.35">
      <c r="A1507" s="156" t="s">
        <v>542</v>
      </c>
      <c r="B1507" s="52">
        <v>44818</v>
      </c>
      <c r="C1507" s="156" t="s">
        <v>531</v>
      </c>
      <c r="D1507" s="156" t="s">
        <v>531</v>
      </c>
      <c r="E1507">
        <v>4149162</v>
      </c>
      <c r="F1507">
        <v>261003.4613</v>
      </c>
      <c r="G1507">
        <v>63.197699999999998</v>
      </c>
      <c r="H1507">
        <v>0.99624100000000004</v>
      </c>
      <c r="I1507">
        <v>1</v>
      </c>
      <c r="J1507" s="156">
        <v>1</v>
      </c>
      <c r="K1507">
        <v>1</v>
      </c>
      <c r="L1507">
        <v>1</v>
      </c>
      <c r="M1507">
        <v>1</v>
      </c>
      <c r="N1507">
        <v>0.99624100000000004</v>
      </c>
    </row>
    <row r="1508" spans="1:14" x14ac:dyDescent="0.35">
      <c r="A1508" s="156" t="s">
        <v>542</v>
      </c>
      <c r="B1508" s="52">
        <v>44819</v>
      </c>
      <c r="C1508" s="156" t="s">
        <v>531</v>
      </c>
      <c r="D1508" s="156" t="s">
        <v>531</v>
      </c>
      <c r="E1508">
        <v>3774688</v>
      </c>
      <c r="F1508">
        <v>234085.565</v>
      </c>
      <c r="G1508">
        <v>63.004100000000001</v>
      </c>
      <c r="H1508">
        <v>0.98695200000000005</v>
      </c>
      <c r="I1508">
        <v>1</v>
      </c>
      <c r="J1508" s="156">
        <v>1</v>
      </c>
      <c r="K1508">
        <v>1</v>
      </c>
      <c r="L1508">
        <v>1</v>
      </c>
      <c r="M1508">
        <v>1</v>
      </c>
      <c r="N1508">
        <v>0.98695200000000005</v>
      </c>
    </row>
    <row r="1509" spans="1:14" x14ac:dyDescent="0.35">
      <c r="A1509" s="156" t="s">
        <v>542</v>
      </c>
      <c r="B1509" s="52">
        <v>44820</v>
      </c>
      <c r="C1509" s="156" t="s">
        <v>531</v>
      </c>
      <c r="D1509" s="156" t="s">
        <v>531</v>
      </c>
      <c r="E1509">
        <v>4104113</v>
      </c>
      <c r="F1509">
        <v>253267.3351</v>
      </c>
      <c r="G1509">
        <v>61.793599999999998</v>
      </c>
      <c r="H1509">
        <v>0.98582400000000003</v>
      </c>
      <c r="I1509">
        <v>1</v>
      </c>
      <c r="J1509" s="156">
        <v>1</v>
      </c>
      <c r="K1509">
        <v>1</v>
      </c>
      <c r="L1509">
        <v>1</v>
      </c>
      <c r="M1509">
        <v>1</v>
      </c>
      <c r="N1509">
        <v>0.98582400000000003</v>
      </c>
    </row>
    <row r="1510" spans="1:14" x14ac:dyDescent="0.35">
      <c r="A1510" s="156" t="s">
        <v>542</v>
      </c>
      <c r="B1510" s="52">
        <v>44823</v>
      </c>
      <c r="C1510" s="156" t="s">
        <v>531</v>
      </c>
      <c r="D1510" s="156" t="s">
        <v>531</v>
      </c>
      <c r="E1510">
        <v>3032451</v>
      </c>
      <c r="F1510">
        <v>189251.59450000001</v>
      </c>
      <c r="G1510">
        <v>62.528199999999998</v>
      </c>
      <c r="H1510">
        <v>1.0184200000000001</v>
      </c>
      <c r="I1510">
        <v>1</v>
      </c>
      <c r="J1510" s="156">
        <v>1</v>
      </c>
      <c r="K1510">
        <v>1</v>
      </c>
      <c r="L1510">
        <v>1</v>
      </c>
      <c r="M1510">
        <v>1</v>
      </c>
      <c r="N1510">
        <v>1.0184200000000001</v>
      </c>
    </row>
    <row r="1511" spans="1:14" x14ac:dyDescent="0.35">
      <c r="A1511" s="156" t="s">
        <v>542</v>
      </c>
      <c r="B1511" s="52">
        <v>44824</v>
      </c>
      <c r="C1511" s="156" t="s">
        <v>531</v>
      </c>
      <c r="D1511" s="156" t="s">
        <v>531</v>
      </c>
      <c r="E1511">
        <v>3028765</v>
      </c>
      <c r="F1511">
        <v>187772.13380000001</v>
      </c>
      <c r="G1511">
        <v>62.242699999999999</v>
      </c>
      <c r="H1511">
        <v>0.97683600000000004</v>
      </c>
      <c r="I1511">
        <v>1</v>
      </c>
      <c r="J1511" s="156">
        <v>1</v>
      </c>
      <c r="K1511">
        <v>1</v>
      </c>
      <c r="L1511">
        <v>1</v>
      </c>
      <c r="M1511">
        <v>1</v>
      </c>
      <c r="N1511">
        <v>0.97683600000000004</v>
      </c>
    </row>
    <row r="1512" spans="1:14" x14ac:dyDescent="0.35">
      <c r="A1512" s="156" t="s">
        <v>542</v>
      </c>
      <c r="B1512" s="52">
        <v>44825</v>
      </c>
      <c r="C1512" s="156" t="s">
        <v>531</v>
      </c>
      <c r="D1512" s="156" t="s">
        <v>531</v>
      </c>
      <c r="E1512">
        <v>4484729</v>
      </c>
      <c r="F1512">
        <v>279490.35389999999</v>
      </c>
      <c r="G1512">
        <v>62.478999999999999</v>
      </c>
      <c r="H1512">
        <v>1.0009749999999999</v>
      </c>
      <c r="I1512">
        <v>1</v>
      </c>
      <c r="J1512" s="156">
        <v>1</v>
      </c>
      <c r="K1512">
        <v>1</v>
      </c>
      <c r="L1512">
        <v>1</v>
      </c>
      <c r="M1512">
        <v>1</v>
      </c>
      <c r="N1512">
        <v>1.0009749999999999</v>
      </c>
    </row>
    <row r="1513" spans="1:14" x14ac:dyDescent="0.35">
      <c r="A1513" s="156" t="s">
        <v>542</v>
      </c>
      <c r="B1513" s="52">
        <v>44826</v>
      </c>
      <c r="C1513" s="156" t="s">
        <v>531</v>
      </c>
      <c r="D1513" s="156" t="s">
        <v>531</v>
      </c>
      <c r="E1513">
        <v>4102653</v>
      </c>
      <c r="F1513">
        <v>244967.67420000001</v>
      </c>
      <c r="G1513">
        <v>59.744799999999998</v>
      </c>
      <c r="H1513">
        <v>0.96121999999999996</v>
      </c>
      <c r="I1513">
        <v>1</v>
      </c>
      <c r="J1513" s="156">
        <v>1</v>
      </c>
      <c r="K1513">
        <v>1</v>
      </c>
      <c r="L1513">
        <v>1</v>
      </c>
      <c r="M1513">
        <v>1</v>
      </c>
      <c r="N1513">
        <v>0.96121999999999996</v>
      </c>
    </row>
    <row r="1514" spans="1:14" x14ac:dyDescent="0.35">
      <c r="A1514" s="156" t="s">
        <v>542</v>
      </c>
      <c r="B1514" s="52">
        <v>44827</v>
      </c>
      <c r="C1514" s="156" t="s">
        <v>531</v>
      </c>
      <c r="D1514" s="156" t="s">
        <v>531</v>
      </c>
      <c r="E1514">
        <v>6962386</v>
      </c>
      <c r="F1514">
        <v>393692.6421</v>
      </c>
      <c r="G1514">
        <v>57.174900000000001</v>
      </c>
      <c r="H1514">
        <v>0.97400399999999998</v>
      </c>
      <c r="I1514">
        <v>1</v>
      </c>
      <c r="J1514" s="156">
        <v>1</v>
      </c>
      <c r="K1514">
        <v>1</v>
      </c>
      <c r="L1514">
        <v>1</v>
      </c>
      <c r="M1514">
        <v>1</v>
      </c>
      <c r="N1514">
        <v>0.97400399999999998</v>
      </c>
    </row>
    <row r="1515" spans="1:14" x14ac:dyDescent="0.35">
      <c r="A1515" s="156" t="s">
        <v>542</v>
      </c>
      <c r="B1515" s="52">
        <v>44830</v>
      </c>
      <c r="C1515" s="156" t="s">
        <v>531</v>
      </c>
      <c r="D1515" s="156" t="s">
        <v>531</v>
      </c>
      <c r="E1515">
        <v>5856523</v>
      </c>
      <c r="F1515">
        <v>341401.71970000002</v>
      </c>
      <c r="G1515">
        <v>58.579799999999999</v>
      </c>
      <c r="H1515">
        <v>0.99566699999999997</v>
      </c>
      <c r="I1515">
        <v>1</v>
      </c>
      <c r="J1515" s="156">
        <v>1</v>
      </c>
      <c r="K1515">
        <v>1</v>
      </c>
      <c r="L1515">
        <v>1</v>
      </c>
      <c r="M1515">
        <v>1</v>
      </c>
      <c r="N1515">
        <v>0.99566699999999997</v>
      </c>
    </row>
    <row r="1516" spans="1:14" x14ac:dyDescent="0.35">
      <c r="A1516" s="156" t="s">
        <v>542</v>
      </c>
      <c r="B1516" s="52">
        <v>44831</v>
      </c>
      <c r="C1516" s="156" t="s">
        <v>531</v>
      </c>
      <c r="D1516" s="156" t="s">
        <v>531</v>
      </c>
      <c r="E1516">
        <v>4939425</v>
      </c>
      <c r="F1516">
        <v>295118.36930000002</v>
      </c>
      <c r="G1516">
        <v>59.848399999999998</v>
      </c>
      <c r="H1516">
        <v>1.0328980000000001</v>
      </c>
      <c r="I1516">
        <v>1</v>
      </c>
      <c r="J1516" s="156">
        <v>1</v>
      </c>
      <c r="K1516">
        <v>1</v>
      </c>
      <c r="L1516">
        <v>1</v>
      </c>
      <c r="M1516">
        <v>1</v>
      </c>
      <c r="N1516">
        <v>1.0328980000000001</v>
      </c>
    </row>
    <row r="1517" spans="1:14" x14ac:dyDescent="0.35">
      <c r="A1517" s="156" t="s">
        <v>542</v>
      </c>
      <c r="B1517" s="52">
        <v>44832</v>
      </c>
      <c r="C1517" s="156" t="s">
        <v>531</v>
      </c>
      <c r="D1517" s="156" t="s">
        <v>531</v>
      </c>
      <c r="E1517">
        <v>5209941</v>
      </c>
      <c r="F1517">
        <v>321873.90350000001</v>
      </c>
      <c r="G1517">
        <v>61.955500000000001</v>
      </c>
      <c r="H1517">
        <v>1.0610040000000001</v>
      </c>
      <c r="I1517">
        <v>1</v>
      </c>
      <c r="J1517" s="156">
        <v>1</v>
      </c>
      <c r="K1517">
        <v>1</v>
      </c>
      <c r="L1517">
        <v>1</v>
      </c>
      <c r="M1517">
        <v>1</v>
      </c>
      <c r="N1517">
        <v>1.0610040000000001</v>
      </c>
    </row>
    <row r="1518" spans="1:14" x14ac:dyDescent="0.35">
      <c r="A1518" s="156" t="s">
        <v>542</v>
      </c>
      <c r="B1518" s="52">
        <v>44833</v>
      </c>
      <c r="C1518" s="156" t="s">
        <v>531</v>
      </c>
      <c r="D1518" s="156" t="s">
        <v>531</v>
      </c>
      <c r="E1518">
        <v>4873096</v>
      </c>
      <c r="F1518">
        <v>290712.74109999998</v>
      </c>
      <c r="G1518">
        <v>60.474499999999999</v>
      </c>
      <c r="H1518">
        <v>0.96569300000000002</v>
      </c>
      <c r="I1518">
        <v>1</v>
      </c>
      <c r="J1518" s="156">
        <v>1</v>
      </c>
      <c r="K1518">
        <v>1</v>
      </c>
      <c r="L1518">
        <v>1</v>
      </c>
      <c r="M1518">
        <v>1</v>
      </c>
      <c r="N1518">
        <v>0.96569300000000002</v>
      </c>
    </row>
    <row r="1519" spans="1:14" x14ac:dyDescent="0.35">
      <c r="A1519" s="156" t="s">
        <v>542</v>
      </c>
      <c r="B1519" s="52">
        <v>44834</v>
      </c>
      <c r="C1519" s="156" t="s">
        <v>531</v>
      </c>
      <c r="D1519" s="156" t="s">
        <v>531</v>
      </c>
      <c r="E1519">
        <v>10174465</v>
      </c>
      <c r="F1519">
        <v>609519.38939999999</v>
      </c>
      <c r="G1519">
        <v>60.624099999999999</v>
      </c>
      <c r="H1519">
        <v>0.98272999999999999</v>
      </c>
      <c r="I1519">
        <v>1</v>
      </c>
      <c r="J1519" s="156">
        <v>1</v>
      </c>
      <c r="K1519">
        <v>1</v>
      </c>
      <c r="L1519">
        <v>1</v>
      </c>
      <c r="M1519">
        <v>1</v>
      </c>
      <c r="N1519">
        <v>0.98272999999999999</v>
      </c>
    </row>
    <row r="1520" spans="1:14" x14ac:dyDescent="0.35">
      <c r="A1520" s="156" t="s">
        <v>542</v>
      </c>
      <c r="B1520" s="52">
        <v>44837</v>
      </c>
      <c r="C1520" s="156" t="s">
        <v>531</v>
      </c>
      <c r="D1520" s="156" t="s">
        <v>531</v>
      </c>
      <c r="E1520">
        <v>5130089</v>
      </c>
      <c r="F1520">
        <v>311449.22330000001</v>
      </c>
      <c r="G1520">
        <v>60.867100000000001</v>
      </c>
      <c r="H1520">
        <v>1.023096</v>
      </c>
      <c r="I1520">
        <v>1</v>
      </c>
      <c r="J1520" s="156">
        <v>1</v>
      </c>
      <c r="K1520">
        <v>1</v>
      </c>
      <c r="L1520">
        <v>1</v>
      </c>
      <c r="M1520">
        <v>1</v>
      </c>
      <c r="N1520">
        <v>1.023096</v>
      </c>
    </row>
    <row r="1521" spans="1:14" x14ac:dyDescent="0.35">
      <c r="A1521" s="156" t="s">
        <v>542</v>
      </c>
      <c r="B1521" s="52">
        <v>44838</v>
      </c>
      <c r="C1521" s="156" t="s">
        <v>531</v>
      </c>
      <c r="D1521" s="156" t="s">
        <v>531</v>
      </c>
      <c r="E1521">
        <v>7025979</v>
      </c>
      <c r="F1521">
        <v>445897.73599999998</v>
      </c>
      <c r="G1521">
        <v>63.503799999999998</v>
      </c>
      <c r="H1521">
        <v>1.0413870000000001</v>
      </c>
      <c r="I1521">
        <v>1</v>
      </c>
      <c r="J1521" s="156">
        <v>1</v>
      </c>
      <c r="K1521">
        <v>1</v>
      </c>
      <c r="L1521">
        <v>1</v>
      </c>
      <c r="M1521">
        <v>1</v>
      </c>
      <c r="N1521">
        <v>1.0413870000000001</v>
      </c>
    </row>
    <row r="1522" spans="1:14" x14ac:dyDescent="0.35">
      <c r="A1522" s="156" t="s">
        <v>542</v>
      </c>
      <c r="B1522" s="52">
        <v>44839</v>
      </c>
      <c r="C1522" s="156" t="s">
        <v>531</v>
      </c>
      <c r="D1522" s="156" t="s">
        <v>531</v>
      </c>
      <c r="E1522">
        <v>7378913</v>
      </c>
      <c r="F1522">
        <v>451159.78470000002</v>
      </c>
      <c r="G1522">
        <v>61.262999999999998</v>
      </c>
      <c r="H1522">
        <v>0.97078200000000003</v>
      </c>
      <c r="I1522">
        <v>1</v>
      </c>
      <c r="J1522" s="156">
        <v>1</v>
      </c>
      <c r="K1522">
        <v>1</v>
      </c>
      <c r="L1522">
        <v>1</v>
      </c>
      <c r="M1522">
        <v>1</v>
      </c>
      <c r="N1522">
        <v>0.97078200000000003</v>
      </c>
    </row>
    <row r="1523" spans="1:14" x14ac:dyDescent="0.35">
      <c r="A1523" s="156" t="s">
        <v>542</v>
      </c>
      <c r="B1523" s="52">
        <v>44840</v>
      </c>
      <c r="C1523" s="156" t="s">
        <v>531</v>
      </c>
      <c r="D1523" s="156" t="s">
        <v>531</v>
      </c>
      <c r="E1523">
        <v>5310124</v>
      </c>
      <c r="F1523">
        <v>329184.82770000002</v>
      </c>
      <c r="G1523">
        <v>62.147799999999997</v>
      </c>
      <c r="H1523">
        <v>0.98980599999999996</v>
      </c>
      <c r="I1523">
        <v>1</v>
      </c>
      <c r="J1523" s="156">
        <v>1</v>
      </c>
      <c r="K1523">
        <v>1</v>
      </c>
      <c r="L1523">
        <v>1</v>
      </c>
      <c r="M1523">
        <v>1</v>
      </c>
      <c r="N1523">
        <v>0.98980599999999996</v>
      </c>
    </row>
    <row r="1524" spans="1:14" x14ac:dyDescent="0.35">
      <c r="A1524" s="156" t="s">
        <v>542</v>
      </c>
      <c r="B1524" s="52">
        <v>44841</v>
      </c>
      <c r="C1524" s="156" t="s">
        <v>531</v>
      </c>
      <c r="D1524" s="156" t="s">
        <v>531</v>
      </c>
      <c r="E1524">
        <v>6144132</v>
      </c>
      <c r="F1524">
        <v>349395.84080000001</v>
      </c>
      <c r="G1524">
        <v>56.918700000000001</v>
      </c>
      <c r="H1524">
        <v>0.928396</v>
      </c>
      <c r="I1524">
        <v>1</v>
      </c>
      <c r="J1524" s="156">
        <v>1</v>
      </c>
      <c r="K1524">
        <v>1</v>
      </c>
      <c r="L1524">
        <v>1</v>
      </c>
      <c r="M1524">
        <v>1</v>
      </c>
      <c r="N1524">
        <v>0.928396</v>
      </c>
    </row>
    <row r="1525" spans="1:14" x14ac:dyDescent="0.35">
      <c r="A1525" s="156" t="s">
        <v>542</v>
      </c>
      <c r="B1525" s="52">
        <v>44844</v>
      </c>
      <c r="C1525" s="156" t="s">
        <v>531</v>
      </c>
      <c r="D1525" s="156" t="s">
        <v>531</v>
      </c>
      <c r="E1525">
        <v>5448646</v>
      </c>
      <c r="F1525">
        <v>298694.20429999998</v>
      </c>
      <c r="G1525">
        <v>54.9771</v>
      </c>
      <c r="H1525">
        <v>0.96548699999999998</v>
      </c>
      <c r="I1525">
        <v>1</v>
      </c>
      <c r="J1525" s="156">
        <v>1</v>
      </c>
      <c r="K1525">
        <v>1</v>
      </c>
      <c r="L1525">
        <v>1</v>
      </c>
      <c r="M1525">
        <v>1</v>
      </c>
      <c r="N1525">
        <v>0.96548699999999998</v>
      </c>
    </row>
    <row r="1526" spans="1:14" x14ac:dyDescent="0.35">
      <c r="A1526" s="156" t="s">
        <v>542</v>
      </c>
      <c r="B1526" s="52">
        <v>44845</v>
      </c>
      <c r="C1526" s="156" t="s">
        <v>531</v>
      </c>
      <c r="D1526" s="156" t="s">
        <v>531</v>
      </c>
      <c r="E1526">
        <v>5506689</v>
      </c>
      <c r="F1526">
        <v>286248.97769999999</v>
      </c>
      <c r="G1526">
        <v>52.613</v>
      </c>
      <c r="H1526">
        <v>0.95750500000000005</v>
      </c>
      <c r="I1526">
        <v>1</v>
      </c>
      <c r="J1526" s="156">
        <v>1</v>
      </c>
      <c r="K1526">
        <v>1</v>
      </c>
      <c r="L1526">
        <v>1</v>
      </c>
      <c r="M1526">
        <v>1</v>
      </c>
      <c r="N1526">
        <v>0.95750500000000005</v>
      </c>
    </row>
    <row r="1527" spans="1:14" x14ac:dyDescent="0.35">
      <c r="A1527" s="156" t="s">
        <v>542</v>
      </c>
      <c r="B1527" s="52">
        <v>44846</v>
      </c>
      <c r="C1527" s="156" t="s">
        <v>531</v>
      </c>
      <c r="D1527" s="156" t="s">
        <v>531</v>
      </c>
      <c r="E1527">
        <v>5042325</v>
      </c>
      <c r="F1527">
        <v>259587.1202</v>
      </c>
      <c r="G1527">
        <v>52.162199999999999</v>
      </c>
      <c r="H1527">
        <v>1.002286</v>
      </c>
      <c r="I1527">
        <v>1</v>
      </c>
      <c r="J1527" s="156">
        <v>1</v>
      </c>
      <c r="K1527">
        <v>1</v>
      </c>
      <c r="L1527">
        <v>1</v>
      </c>
      <c r="M1527">
        <v>1</v>
      </c>
      <c r="N1527">
        <v>1.002286</v>
      </c>
    </row>
    <row r="1528" spans="1:14" x14ac:dyDescent="0.35">
      <c r="A1528" s="156" t="s">
        <v>542</v>
      </c>
      <c r="B1528" s="52">
        <v>44847</v>
      </c>
      <c r="C1528" s="156" t="s">
        <v>531</v>
      </c>
      <c r="D1528" s="156" t="s">
        <v>531</v>
      </c>
      <c r="E1528">
        <v>7512240</v>
      </c>
      <c r="F1528">
        <v>374866.3909</v>
      </c>
      <c r="G1528">
        <v>51.287799999999997</v>
      </c>
      <c r="H1528">
        <v>0.99714899999999995</v>
      </c>
      <c r="I1528">
        <v>1</v>
      </c>
      <c r="J1528" s="156">
        <v>1</v>
      </c>
      <c r="K1528">
        <v>1</v>
      </c>
      <c r="L1528">
        <v>1</v>
      </c>
      <c r="M1528">
        <v>1</v>
      </c>
      <c r="N1528">
        <v>0.99714899999999995</v>
      </c>
    </row>
    <row r="1529" spans="1:14" x14ac:dyDescent="0.35">
      <c r="A1529" s="156" t="s">
        <v>542</v>
      </c>
      <c r="B1529" s="52">
        <v>44848</v>
      </c>
      <c r="C1529" s="156" t="s">
        <v>531</v>
      </c>
      <c r="D1529" s="156" t="s">
        <v>531</v>
      </c>
      <c r="E1529">
        <v>3358892</v>
      </c>
      <c r="F1529">
        <v>171409.3885</v>
      </c>
      <c r="G1529">
        <v>51.079900000000002</v>
      </c>
      <c r="H1529">
        <v>0.96436100000000002</v>
      </c>
      <c r="I1529">
        <v>1</v>
      </c>
      <c r="J1529" s="156">
        <v>1</v>
      </c>
      <c r="K1529">
        <v>1</v>
      </c>
      <c r="L1529">
        <v>1</v>
      </c>
      <c r="M1529">
        <v>1</v>
      </c>
      <c r="N1529">
        <v>0.96436100000000002</v>
      </c>
    </row>
    <row r="1530" spans="1:14" x14ac:dyDescent="0.35">
      <c r="A1530" s="156" t="s">
        <v>542</v>
      </c>
      <c r="B1530" s="52">
        <v>44851</v>
      </c>
      <c r="C1530" s="156" t="s">
        <v>531</v>
      </c>
      <c r="D1530" s="156" t="s">
        <v>531</v>
      </c>
      <c r="E1530">
        <v>6100605</v>
      </c>
      <c r="F1530">
        <v>323060.70630000002</v>
      </c>
      <c r="G1530">
        <v>54.120899999999999</v>
      </c>
      <c r="H1530">
        <v>1.0792489999999999</v>
      </c>
      <c r="I1530">
        <v>1</v>
      </c>
      <c r="J1530" s="156">
        <v>1</v>
      </c>
      <c r="K1530">
        <v>1</v>
      </c>
      <c r="L1530">
        <v>1</v>
      </c>
      <c r="M1530">
        <v>1</v>
      </c>
      <c r="N1530">
        <v>1.0792489999999999</v>
      </c>
    </row>
    <row r="1531" spans="1:14" x14ac:dyDescent="0.35">
      <c r="A1531" s="156" t="s">
        <v>542</v>
      </c>
      <c r="B1531" s="52">
        <v>44852</v>
      </c>
      <c r="C1531" s="156" t="s">
        <v>531</v>
      </c>
      <c r="D1531" s="156" t="s">
        <v>531</v>
      </c>
      <c r="E1531">
        <v>6265123</v>
      </c>
      <c r="F1531">
        <v>351676.80089999997</v>
      </c>
      <c r="G1531">
        <v>56.372199999999999</v>
      </c>
      <c r="H1531">
        <v>1.0325949999999999</v>
      </c>
      <c r="I1531">
        <v>1</v>
      </c>
      <c r="J1531" s="156">
        <v>1</v>
      </c>
      <c r="K1531">
        <v>1</v>
      </c>
      <c r="L1531">
        <v>1</v>
      </c>
      <c r="M1531">
        <v>1</v>
      </c>
      <c r="N1531">
        <v>1.0325949999999999</v>
      </c>
    </row>
    <row r="1532" spans="1:14" x14ac:dyDescent="0.35">
      <c r="A1532" s="156" t="s">
        <v>542</v>
      </c>
      <c r="B1532" s="52">
        <v>44853</v>
      </c>
      <c r="C1532" s="156" t="s">
        <v>531</v>
      </c>
      <c r="D1532" s="156" t="s">
        <v>531</v>
      </c>
      <c r="E1532">
        <v>3836565</v>
      </c>
      <c r="F1532">
        <v>212711.609</v>
      </c>
      <c r="G1532">
        <v>55.540399999999998</v>
      </c>
      <c r="H1532">
        <v>0.97942899999999999</v>
      </c>
      <c r="I1532">
        <v>1</v>
      </c>
      <c r="J1532" s="156">
        <v>1</v>
      </c>
      <c r="K1532">
        <v>1</v>
      </c>
      <c r="L1532">
        <v>1</v>
      </c>
      <c r="M1532">
        <v>1</v>
      </c>
      <c r="N1532">
        <v>0.97942899999999999</v>
      </c>
    </row>
    <row r="1533" spans="1:14" x14ac:dyDescent="0.35">
      <c r="A1533" s="156" t="s">
        <v>542</v>
      </c>
      <c r="B1533" s="52">
        <v>44854</v>
      </c>
      <c r="C1533" s="156" t="s">
        <v>531</v>
      </c>
      <c r="D1533" s="156" t="s">
        <v>531</v>
      </c>
      <c r="E1533">
        <v>5732322</v>
      </c>
      <c r="F1533">
        <v>297992.61129999999</v>
      </c>
      <c r="G1533">
        <v>56.7879</v>
      </c>
      <c r="H1533">
        <v>1.0226329999999999</v>
      </c>
      <c r="I1533">
        <v>1</v>
      </c>
      <c r="J1533" s="156">
        <v>1</v>
      </c>
      <c r="K1533">
        <v>1</v>
      </c>
      <c r="L1533">
        <v>1</v>
      </c>
      <c r="M1533">
        <v>1</v>
      </c>
      <c r="N1533">
        <v>1.0226329999999999</v>
      </c>
    </row>
    <row r="1534" spans="1:14" x14ac:dyDescent="0.35">
      <c r="A1534" s="156" t="s">
        <v>542</v>
      </c>
      <c r="B1534" s="52">
        <v>44855</v>
      </c>
      <c r="C1534" s="156" t="s">
        <v>531</v>
      </c>
      <c r="D1534" s="156" t="s">
        <v>531</v>
      </c>
      <c r="E1534">
        <v>6054698</v>
      </c>
      <c r="F1534">
        <v>332905.1409</v>
      </c>
      <c r="G1534">
        <v>55.055799999999998</v>
      </c>
      <c r="H1534">
        <v>1.0079670000000001</v>
      </c>
      <c r="I1534">
        <v>1</v>
      </c>
      <c r="J1534" s="156">
        <v>1</v>
      </c>
      <c r="K1534">
        <v>1</v>
      </c>
      <c r="L1534">
        <v>1</v>
      </c>
      <c r="M1534">
        <v>1</v>
      </c>
      <c r="N1534">
        <v>1.0079670000000001</v>
      </c>
    </row>
    <row r="1535" spans="1:14" x14ac:dyDescent="0.35">
      <c r="A1535" s="156" t="s">
        <v>542</v>
      </c>
      <c r="B1535" s="52">
        <v>44858</v>
      </c>
      <c r="C1535" s="156" t="s">
        <v>531</v>
      </c>
      <c r="D1535" s="156" t="s">
        <v>531</v>
      </c>
      <c r="E1535">
        <v>3750283</v>
      </c>
      <c r="F1535">
        <v>207967.7298</v>
      </c>
      <c r="G1535">
        <v>55.486800000000002</v>
      </c>
      <c r="H1535">
        <v>0.97786799999999996</v>
      </c>
      <c r="I1535">
        <v>1</v>
      </c>
      <c r="J1535" s="156">
        <v>1</v>
      </c>
      <c r="K1535">
        <v>1</v>
      </c>
      <c r="L1535">
        <v>1</v>
      </c>
      <c r="M1535">
        <v>1</v>
      </c>
      <c r="N1535">
        <v>0.97786799999999996</v>
      </c>
    </row>
    <row r="1536" spans="1:14" x14ac:dyDescent="0.35">
      <c r="A1536" s="156" t="s">
        <v>542</v>
      </c>
      <c r="B1536" s="52">
        <v>44859</v>
      </c>
      <c r="C1536" s="156" t="s">
        <v>531</v>
      </c>
      <c r="D1536" s="156" t="s">
        <v>531</v>
      </c>
      <c r="E1536">
        <v>4325085</v>
      </c>
      <c r="F1536">
        <v>233695.16399999999</v>
      </c>
      <c r="G1536">
        <v>57.667000000000002</v>
      </c>
      <c r="H1536">
        <v>1.03898</v>
      </c>
      <c r="I1536">
        <v>1</v>
      </c>
      <c r="J1536" s="156">
        <v>1</v>
      </c>
      <c r="K1536">
        <v>1</v>
      </c>
      <c r="L1536">
        <v>1</v>
      </c>
      <c r="M1536">
        <v>1</v>
      </c>
      <c r="N1536">
        <v>1.03898</v>
      </c>
    </row>
    <row r="1537" spans="1:14" x14ac:dyDescent="0.35">
      <c r="A1537" s="156" t="s">
        <v>542</v>
      </c>
      <c r="B1537" s="52">
        <v>44860</v>
      </c>
      <c r="C1537" s="156" t="s">
        <v>531</v>
      </c>
      <c r="D1537" s="156" t="s">
        <v>531</v>
      </c>
      <c r="E1537">
        <v>6906999</v>
      </c>
      <c r="F1537">
        <v>369759.64840000001</v>
      </c>
      <c r="G1537">
        <v>55.556699999999999</v>
      </c>
      <c r="H1537">
        <v>0.95712299999999995</v>
      </c>
      <c r="I1537">
        <v>1</v>
      </c>
      <c r="J1537" s="156">
        <v>1</v>
      </c>
      <c r="K1537">
        <v>1</v>
      </c>
      <c r="L1537">
        <v>1</v>
      </c>
      <c r="M1537">
        <v>1</v>
      </c>
      <c r="N1537">
        <v>0.95712299999999995</v>
      </c>
    </row>
    <row r="1538" spans="1:14" x14ac:dyDescent="0.35">
      <c r="A1538" s="156" t="s">
        <v>542</v>
      </c>
      <c r="B1538" s="52">
        <v>44861</v>
      </c>
      <c r="C1538" s="156" t="s">
        <v>531</v>
      </c>
      <c r="D1538" s="156" t="s">
        <v>531</v>
      </c>
      <c r="E1538">
        <v>4886973</v>
      </c>
      <c r="F1538">
        <v>258255.0435</v>
      </c>
      <c r="G1538">
        <v>54.241999999999997</v>
      </c>
      <c r="H1538">
        <v>0.97109800000000002</v>
      </c>
      <c r="I1538">
        <v>1</v>
      </c>
      <c r="J1538" s="156">
        <v>1</v>
      </c>
      <c r="K1538">
        <v>1</v>
      </c>
      <c r="L1538">
        <v>1</v>
      </c>
      <c r="M1538">
        <v>1</v>
      </c>
      <c r="N1538">
        <v>0.97109800000000002</v>
      </c>
    </row>
    <row r="1539" spans="1:14" x14ac:dyDescent="0.35">
      <c r="A1539" s="156" t="s">
        <v>542</v>
      </c>
      <c r="B1539" s="52">
        <v>44862</v>
      </c>
      <c r="C1539" s="156" t="s">
        <v>531</v>
      </c>
      <c r="D1539" s="156" t="s">
        <v>531</v>
      </c>
      <c r="E1539">
        <v>4369873</v>
      </c>
      <c r="F1539">
        <v>232850.50109999999</v>
      </c>
      <c r="G1539">
        <v>53.348700000000001</v>
      </c>
      <c r="H1539">
        <v>0.99907000000000001</v>
      </c>
      <c r="I1539">
        <v>1</v>
      </c>
      <c r="J1539" s="156">
        <v>1</v>
      </c>
      <c r="K1539">
        <v>1</v>
      </c>
      <c r="L1539">
        <v>1</v>
      </c>
      <c r="M1539">
        <v>1</v>
      </c>
      <c r="N1539">
        <v>0.99907000000000001</v>
      </c>
    </row>
    <row r="1540" spans="1:14" x14ac:dyDescent="0.35">
      <c r="A1540" s="156" t="s">
        <v>542</v>
      </c>
      <c r="B1540" s="52">
        <v>44865</v>
      </c>
      <c r="C1540" s="156" t="s">
        <v>531</v>
      </c>
      <c r="D1540" s="156" t="s">
        <v>531</v>
      </c>
      <c r="E1540">
        <v>4210191</v>
      </c>
      <c r="F1540">
        <v>223926.88380000001</v>
      </c>
      <c r="G1540">
        <v>53.303100000000001</v>
      </c>
      <c r="H1540">
        <v>0.99124900000000005</v>
      </c>
      <c r="I1540">
        <v>1</v>
      </c>
      <c r="J1540" s="156">
        <v>1</v>
      </c>
      <c r="K1540">
        <v>1</v>
      </c>
      <c r="L1540">
        <v>1</v>
      </c>
      <c r="M1540">
        <v>1</v>
      </c>
      <c r="N1540">
        <v>0.99124900000000005</v>
      </c>
    </row>
    <row r="1541" spans="1:14" x14ac:dyDescent="0.35">
      <c r="A1541" s="156" t="s">
        <v>542</v>
      </c>
      <c r="B1541" s="52">
        <v>44866</v>
      </c>
      <c r="C1541" s="156" t="s">
        <v>531</v>
      </c>
      <c r="D1541" s="156" t="s">
        <v>531</v>
      </c>
      <c r="E1541">
        <v>3310026</v>
      </c>
      <c r="F1541">
        <v>178380.859</v>
      </c>
      <c r="G1541">
        <v>53.956400000000002</v>
      </c>
      <c r="H1541">
        <v>0.99699499999999996</v>
      </c>
      <c r="I1541">
        <v>1</v>
      </c>
      <c r="J1541" s="156">
        <v>1</v>
      </c>
      <c r="K1541">
        <v>1</v>
      </c>
      <c r="L1541">
        <v>1</v>
      </c>
      <c r="M1541">
        <v>1</v>
      </c>
      <c r="N1541">
        <v>0.99699499999999996</v>
      </c>
    </row>
    <row r="1542" spans="1:14" x14ac:dyDescent="0.35">
      <c r="A1542" s="156" t="s">
        <v>542</v>
      </c>
      <c r="B1542" s="52">
        <v>44867</v>
      </c>
      <c r="C1542" s="156" t="s">
        <v>531</v>
      </c>
      <c r="D1542" s="156" t="s">
        <v>531</v>
      </c>
      <c r="E1542">
        <v>4500520</v>
      </c>
      <c r="F1542">
        <v>227781.49249999999</v>
      </c>
      <c r="G1542">
        <v>50.884599999999999</v>
      </c>
      <c r="H1542">
        <v>0.93255500000000002</v>
      </c>
      <c r="I1542">
        <v>1</v>
      </c>
      <c r="J1542" s="156">
        <v>1</v>
      </c>
      <c r="K1542">
        <v>1</v>
      </c>
      <c r="L1542">
        <v>1</v>
      </c>
      <c r="M1542">
        <v>1</v>
      </c>
      <c r="N1542">
        <v>0.93255500000000002</v>
      </c>
    </row>
    <row r="1543" spans="1:14" x14ac:dyDescent="0.35">
      <c r="A1543" s="156" t="s">
        <v>542</v>
      </c>
      <c r="B1543" s="52">
        <v>44868</v>
      </c>
      <c r="C1543" s="156" t="s">
        <v>531</v>
      </c>
      <c r="D1543" s="156" t="s">
        <v>531</v>
      </c>
      <c r="E1543">
        <v>4842167</v>
      </c>
      <c r="F1543">
        <v>239259.23850000001</v>
      </c>
      <c r="G1543">
        <v>49.477600000000002</v>
      </c>
      <c r="H1543">
        <v>0.99333300000000002</v>
      </c>
      <c r="I1543">
        <v>1</v>
      </c>
      <c r="J1543" s="156">
        <v>1</v>
      </c>
      <c r="K1543">
        <v>1</v>
      </c>
      <c r="L1543">
        <v>1</v>
      </c>
      <c r="M1543">
        <v>1</v>
      </c>
      <c r="N1543">
        <v>0.99333300000000002</v>
      </c>
    </row>
    <row r="1544" spans="1:14" x14ac:dyDescent="0.35">
      <c r="A1544" s="156" t="s">
        <v>542</v>
      </c>
      <c r="B1544" s="52">
        <v>44869</v>
      </c>
      <c r="C1544" s="156" t="s">
        <v>531</v>
      </c>
      <c r="D1544" s="156" t="s">
        <v>531</v>
      </c>
      <c r="E1544">
        <v>8668998</v>
      </c>
      <c r="F1544">
        <v>392587.47560000001</v>
      </c>
      <c r="G1544">
        <v>46.283000000000001</v>
      </c>
      <c r="H1544">
        <v>0.94061399999999995</v>
      </c>
      <c r="I1544">
        <v>1</v>
      </c>
      <c r="J1544" s="156">
        <v>1</v>
      </c>
      <c r="K1544">
        <v>1</v>
      </c>
      <c r="L1544">
        <v>1</v>
      </c>
      <c r="M1544">
        <v>1</v>
      </c>
      <c r="N1544">
        <v>0.94061399999999995</v>
      </c>
    </row>
    <row r="1545" spans="1:14" x14ac:dyDescent="0.35">
      <c r="A1545" s="156" t="s">
        <v>542</v>
      </c>
      <c r="B1545" s="52">
        <v>44872</v>
      </c>
      <c r="C1545" s="156" t="s">
        <v>531</v>
      </c>
      <c r="D1545" s="156" t="s">
        <v>531</v>
      </c>
      <c r="E1545">
        <v>9266498</v>
      </c>
      <c r="F1545">
        <v>408438.79389999999</v>
      </c>
      <c r="G1545">
        <v>44.082500000000003</v>
      </c>
      <c r="H1545">
        <v>0.94529700000000005</v>
      </c>
      <c r="I1545">
        <v>1</v>
      </c>
      <c r="J1545" s="156">
        <v>1</v>
      </c>
      <c r="K1545">
        <v>1</v>
      </c>
      <c r="L1545">
        <v>1</v>
      </c>
      <c r="M1545">
        <v>1</v>
      </c>
      <c r="N1545">
        <v>0.94529700000000005</v>
      </c>
    </row>
    <row r="1546" spans="1:14" x14ac:dyDescent="0.35">
      <c r="A1546" s="156" t="s">
        <v>542</v>
      </c>
      <c r="B1546" s="52">
        <v>44873</v>
      </c>
      <c r="C1546" s="156" t="s">
        <v>531</v>
      </c>
      <c r="D1546" s="156" t="s">
        <v>531</v>
      </c>
      <c r="E1546">
        <v>9484929</v>
      </c>
      <c r="F1546">
        <v>406619.3383</v>
      </c>
      <c r="G1546">
        <v>43.3827</v>
      </c>
      <c r="H1546">
        <v>0.99199499999999996</v>
      </c>
      <c r="I1546">
        <v>1</v>
      </c>
      <c r="J1546" s="156">
        <v>1</v>
      </c>
      <c r="K1546">
        <v>1</v>
      </c>
      <c r="L1546">
        <v>1</v>
      </c>
      <c r="M1546">
        <v>1</v>
      </c>
      <c r="N1546">
        <v>0.99199499999999996</v>
      </c>
    </row>
    <row r="1547" spans="1:14" x14ac:dyDescent="0.35">
      <c r="A1547" s="156" t="s">
        <v>542</v>
      </c>
      <c r="B1547" s="52">
        <v>44874</v>
      </c>
      <c r="C1547" s="156" t="s">
        <v>531</v>
      </c>
      <c r="D1547" s="156" t="s">
        <v>531</v>
      </c>
      <c r="E1547">
        <v>20870609</v>
      </c>
      <c r="F1547">
        <v>867055.97719999996</v>
      </c>
      <c r="G1547">
        <v>41.760100000000001</v>
      </c>
      <c r="H1547">
        <v>0.91976000000000002</v>
      </c>
      <c r="I1547">
        <v>1</v>
      </c>
      <c r="J1547" s="156">
        <v>1</v>
      </c>
      <c r="K1547">
        <v>1</v>
      </c>
      <c r="L1547">
        <v>1</v>
      </c>
      <c r="M1547">
        <v>1</v>
      </c>
      <c r="N1547">
        <v>0.91976000000000002</v>
      </c>
    </row>
    <row r="1548" spans="1:14" x14ac:dyDescent="0.35">
      <c r="A1548" s="156" t="s">
        <v>542</v>
      </c>
      <c r="B1548" s="52">
        <v>44875</v>
      </c>
      <c r="C1548" s="156" t="s">
        <v>531</v>
      </c>
      <c r="D1548" s="156" t="s">
        <v>531</v>
      </c>
      <c r="E1548">
        <v>13282525</v>
      </c>
      <c r="F1548">
        <v>620849.07849999995</v>
      </c>
      <c r="G1548">
        <v>47.155000000000001</v>
      </c>
      <c r="H1548">
        <v>1.191025</v>
      </c>
      <c r="I1548">
        <v>1</v>
      </c>
      <c r="J1548" s="156">
        <v>1</v>
      </c>
      <c r="K1548">
        <v>1</v>
      </c>
      <c r="L1548">
        <v>1</v>
      </c>
      <c r="M1548">
        <v>1</v>
      </c>
      <c r="N1548">
        <v>1.191025</v>
      </c>
    </row>
    <row r="1549" spans="1:14" x14ac:dyDescent="0.35">
      <c r="A1549" s="156" t="s">
        <v>542</v>
      </c>
      <c r="B1549" s="52">
        <v>44876</v>
      </c>
      <c r="C1549" s="156" t="s">
        <v>531</v>
      </c>
      <c r="D1549" s="156" t="s">
        <v>531</v>
      </c>
      <c r="E1549">
        <v>7504072</v>
      </c>
      <c r="F1549">
        <v>363595.85190000001</v>
      </c>
      <c r="G1549">
        <v>48.681899999999999</v>
      </c>
      <c r="H1549">
        <v>1.026521</v>
      </c>
      <c r="I1549">
        <v>1</v>
      </c>
      <c r="J1549" s="156">
        <v>1</v>
      </c>
      <c r="K1549">
        <v>1</v>
      </c>
      <c r="L1549">
        <v>1</v>
      </c>
      <c r="M1549">
        <v>1</v>
      </c>
      <c r="N1549">
        <v>1.026521</v>
      </c>
    </row>
    <row r="1550" spans="1:14" x14ac:dyDescent="0.35">
      <c r="A1550" s="156" t="s">
        <v>542</v>
      </c>
      <c r="B1550" s="52">
        <v>44879</v>
      </c>
      <c r="C1550" s="156" t="s">
        <v>531</v>
      </c>
      <c r="D1550" s="156" t="s">
        <v>531</v>
      </c>
      <c r="E1550">
        <v>6182596</v>
      </c>
      <c r="F1550">
        <v>296997.69050000003</v>
      </c>
      <c r="G1550">
        <v>48.114600000000003</v>
      </c>
      <c r="H1550">
        <v>0.97929100000000002</v>
      </c>
      <c r="I1550">
        <v>1</v>
      </c>
      <c r="J1550" s="156">
        <v>1</v>
      </c>
      <c r="K1550">
        <v>1</v>
      </c>
      <c r="L1550">
        <v>1</v>
      </c>
      <c r="M1550">
        <v>1</v>
      </c>
      <c r="N1550">
        <v>0.97929100000000002</v>
      </c>
    </row>
    <row r="1551" spans="1:14" x14ac:dyDescent="0.35">
      <c r="A1551" s="156" t="s">
        <v>542</v>
      </c>
      <c r="B1551" s="52">
        <v>44880</v>
      </c>
      <c r="C1551" s="156" t="s">
        <v>531</v>
      </c>
      <c r="D1551" s="156" t="s">
        <v>531</v>
      </c>
      <c r="E1551">
        <v>10761967</v>
      </c>
      <c r="F1551">
        <v>568978.28189999994</v>
      </c>
      <c r="G1551">
        <v>53.2545</v>
      </c>
      <c r="H1551">
        <v>1.1214409999999999</v>
      </c>
      <c r="I1551">
        <v>1</v>
      </c>
      <c r="J1551" s="156">
        <v>1</v>
      </c>
      <c r="K1551">
        <v>1</v>
      </c>
      <c r="L1551">
        <v>1</v>
      </c>
      <c r="M1551">
        <v>1</v>
      </c>
      <c r="N1551">
        <v>1.1214409999999999</v>
      </c>
    </row>
    <row r="1552" spans="1:14" x14ac:dyDescent="0.35">
      <c r="A1552" s="156" t="s">
        <v>542</v>
      </c>
      <c r="B1552" s="52">
        <v>44881</v>
      </c>
      <c r="C1552" s="156" t="s">
        <v>531</v>
      </c>
      <c r="D1552" s="156" t="s">
        <v>531</v>
      </c>
      <c r="E1552">
        <v>5474493</v>
      </c>
      <c r="F1552">
        <v>279890.22110000002</v>
      </c>
      <c r="G1552">
        <v>51.785200000000003</v>
      </c>
      <c r="H1552">
        <v>0.96004500000000004</v>
      </c>
      <c r="I1552">
        <v>1</v>
      </c>
      <c r="J1552" s="156">
        <v>1</v>
      </c>
      <c r="K1552">
        <v>1</v>
      </c>
      <c r="L1552">
        <v>1</v>
      </c>
      <c r="M1552">
        <v>1</v>
      </c>
      <c r="N1552">
        <v>0.96004500000000004</v>
      </c>
    </row>
    <row r="1553" spans="1:14" x14ac:dyDescent="0.35">
      <c r="A1553" s="156" t="s">
        <v>542</v>
      </c>
      <c r="B1553" s="52">
        <v>44882</v>
      </c>
      <c r="C1553" s="156" t="s">
        <v>531</v>
      </c>
      <c r="D1553" s="156" t="s">
        <v>531</v>
      </c>
      <c r="E1553">
        <v>3503428</v>
      </c>
      <c r="F1553">
        <v>173278.3835</v>
      </c>
      <c r="G1553">
        <v>49.9041</v>
      </c>
      <c r="H1553">
        <v>0.97355100000000006</v>
      </c>
      <c r="I1553">
        <v>1</v>
      </c>
      <c r="J1553" s="156">
        <v>1</v>
      </c>
      <c r="K1553">
        <v>1</v>
      </c>
      <c r="L1553">
        <v>1</v>
      </c>
      <c r="M1553">
        <v>1</v>
      </c>
      <c r="N1553">
        <v>0.97355100000000006</v>
      </c>
    </row>
    <row r="1554" spans="1:14" x14ac:dyDescent="0.35">
      <c r="A1554" s="156" t="s">
        <v>542</v>
      </c>
      <c r="B1554" s="52">
        <v>44883</v>
      </c>
      <c r="C1554" s="156" t="s">
        <v>531</v>
      </c>
      <c r="D1554" s="156" t="s">
        <v>531</v>
      </c>
      <c r="E1554">
        <v>3622761</v>
      </c>
      <c r="F1554">
        <v>180940.92290000001</v>
      </c>
      <c r="G1554">
        <v>49.906700000000001</v>
      </c>
      <c r="H1554">
        <v>0.99420699999999995</v>
      </c>
      <c r="I1554">
        <v>1</v>
      </c>
      <c r="J1554" s="156">
        <v>1</v>
      </c>
      <c r="K1554">
        <v>1</v>
      </c>
      <c r="L1554">
        <v>1</v>
      </c>
      <c r="M1554">
        <v>1</v>
      </c>
      <c r="N1554">
        <v>0.99420699999999995</v>
      </c>
    </row>
    <row r="1555" spans="1:14" x14ac:dyDescent="0.35">
      <c r="A1555" s="156" t="s">
        <v>542</v>
      </c>
      <c r="B1555" s="52">
        <v>44886</v>
      </c>
      <c r="C1555" s="156" t="s">
        <v>531</v>
      </c>
      <c r="D1555" s="156" t="s">
        <v>531</v>
      </c>
      <c r="E1555">
        <v>3152641</v>
      </c>
      <c r="F1555">
        <v>151354.28829999999</v>
      </c>
      <c r="G1555">
        <v>48.515599999999999</v>
      </c>
      <c r="H1555">
        <v>0.97086600000000001</v>
      </c>
      <c r="I1555">
        <v>1</v>
      </c>
      <c r="J1555" s="156">
        <v>1</v>
      </c>
      <c r="K1555">
        <v>1</v>
      </c>
      <c r="L1555">
        <v>1</v>
      </c>
      <c r="M1555">
        <v>1</v>
      </c>
      <c r="N1555">
        <v>0.97086600000000001</v>
      </c>
    </row>
    <row r="1556" spans="1:14" x14ac:dyDescent="0.35">
      <c r="A1556" s="156" t="s">
        <v>542</v>
      </c>
      <c r="B1556" s="52">
        <v>44887</v>
      </c>
      <c r="C1556" s="156" t="s">
        <v>531</v>
      </c>
      <c r="D1556" s="156" t="s">
        <v>531</v>
      </c>
      <c r="E1556">
        <v>2361810</v>
      </c>
      <c r="F1556">
        <v>113222.8446</v>
      </c>
      <c r="G1556">
        <v>48.009900000000002</v>
      </c>
      <c r="H1556">
        <v>1.001242</v>
      </c>
      <c r="I1556">
        <v>1</v>
      </c>
      <c r="J1556" s="156">
        <v>1</v>
      </c>
      <c r="K1556">
        <v>1</v>
      </c>
      <c r="L1556">
        <v>1</v>
      </c>
      <c r="M1556">
        <v>1</v>
      </c>
      <c r="N1556">
        <v>1.001242</v>
      </c>
    </row>
    <row r="1557" spans="1:14" x14ac:dyDescent="0.35">
      <c r="A1557" s="156" t="s">
        <v>542</v>
      </c>
      <c r="B1557" s="52">
        <v>44888</v>
      </c>
      <c r="C1557" s="156" t="s">
        <v>531</v>
      </c>
      <c r="D1557" s="156" t="s">
        <v>531</v>
      </c>
      <c r="E1557">
        <v>2464662</v>
      </c>
      <c r="F1557">
        <v>122056.0866</v>
      </c>
      <c r="G1557">
        <v>49.723100000000002</v>
      </c>
      <c r="H1557">
        <v>1.0239769999999999</v>
      </c>
      <c r="I1557">
        <v>1</v>
      </c>
      <c r="J1557" s="156">
        <v>1</v>
      </c>
      <c r="K1557">
        <v>1</v>
      </c>
      <c r="L1557">
        <v>1</v>
      </c>
      <c r="M1557">
        <v>1</v>
      </c>
      <c r="N1557">
        <v>1.0239769999999999</v>
      </c>
    </row>
    <row r="1558" spans="1:14" x14ac:dyDescent="0.35">
      <c r="A1558" s="156" t="s">
        <v>542</v>
      </c>
      <c r="B1558" s="52">
        <v>44890</v>
      </c>
      <c r="C1558" s="156" t="s">
        <v>531</v>
      </c>
      <c r="D1558" s="156" t="s">
        <v>531</v>
      </c>
      <c r="E1558">
        <v>1168309</v>
      </c>
      <c r="F1558">
        <v>57526.790699999998</v>
      </c>
      <c r="G1558">
        <v>49.245800000000003</v>
      </c>
      <c r="H1558">
        <v>0.99697199999999997</v>
      </c>
      <c r="I1558">
        <v>1</v>
      </c>
      <c r="J1558" s="156">
        <v>1</v>
      </c>
      <c r="K1558">
        <v>1</v>
      </c>
      <c r="L1558">
        <v>1</v>
      </c>
      <c r="M1558">
        <v>1</v>
      </c>
      <c r="N1558">
        <v>0.99697199999999997</v>
      </c>
    </row>
    <row r="1559" spans="1:14" x14ac:dyDescent="0.35">
      <c r="A1559" s="156" t="s">
        <v>542</v>
      </c>
      <c r="B1559" s="52">
        <v>44893</v>
      </c>
      <c r="C1559" s="156" t="s">
        <v>531</v>
      </c>
      <c r="D1559" s="156" t="s">
        <v>531</v>
      </c>
      <c r="E1559">
        <v>3045005</v>
      </c>
      <c r="F1559">
        <v>148758.18960000001</v>
      </c>
      <c r="G1559">
        <v>48.885100000000001</v>
      </c>
      <c r="H1559">
        <v>0.99230600000000002</v>
      </c>
      <c r="I1559">
        <v>1</v>
      </c>
      <c r="J1559" s="156">
        <v>1</v>
      </c>
      <c r="K1559">
        <v>1</v>
      </c>
      <c r="L1559">
        <v>1</v>
      </c>
      <c r="M1559">
        <v>1</v>
      </c>
      <c r="N1559">
        <v>0.99230600000000002</v>
      </c>
    </row>
    <row r="1560" spans="1:14" x14ac:dyDescent="0.35">
      <c r="A1560" s="156" t="s">
        <v>542</v>
      </c>
      <c r="B1560" s="52">
        <v>44894</v>
      </c>
      <c r="C1560" s="156" t="s">
        <v>531</v>
      </c>
      <c r="D1560" s="156" t="s">
        <v>531</v>
      </c>
      <c r="E1560">
        <v>2992413</v>
      </c>
      <c r="F1560">
        <v>133339.30590000001</v>
      </c>
      <c r="G1560">
        <v>48.830100000000002</v>
      </c>
      <c r="H1560">
        <v>0.99347099999999999</v>
      </c>
      <c r="I1560">
        <v>1</v>
      </c>
      <c r="J1560" s="156">
        <v>1</v>
      </c>
      <c r="K1560">
        <v>1</v>
      </c>
      <c r="L1560">
        <v>1</v>
      </c>
      <c r="M1560">
        <v>1</v>
      </c>
      <c r="N1560">
        <v>0.99347099999999999</v>
      </c>
    </row>
    <row r="1561" spans="1:14" x14ac:dyDescent="0.35">
      <c r="A1561" s="156" t="s">
        <v>542</v>
      </c>
      <c r="B1561" s="52">
        <v>44895</v>
      </c>
      <c r="C1561" s="156" t="s">
        <v>531</v>
      </c>
      <c r="D1561" s="156" t="s">
        <v>531</v>
      </c>
      <c r="E1561">
        <v>5222746</v>
      </c>
      <c r="F1561">
        <v>263478.462</v>
      </c>
      <c r="G1561">
        <v>51.162599999999998</v>
      </c>
      <c r="H1561">
        <v>1.070856</v>
      </c>
      <c r="I1561">
        <v>1</v>
      </c>
      <c r="J1561" s="156">
        <v>1</v>
      </c>
      <c r="K1561">
        <v>1</v>
      </c>
      <c r="L1561">
        <v>1</v>
      </c>
      <c r="M1561">
        <v>1</v>
      </c>
      <c r="N1561">
        <v>1.070856</v>
      </c>
    </row>
    <row r="1562" spans="1:14" x14ac:dyDescent="0.35">
      <c r="A1562" s="156" t="s">
        <v>542</v>
      </c>
      <c r="B1562" s="52">
        <v>44896</v>
      </c>
      <c r="C1562" s="156" t="s">
        <v>531</v>
      </c>
      <c r="D1562" s="156" t="s">
        <v>531</v>
      </c>
      <c r="E1562">
        <v>4225734</v>
      </c>
      <c r="F1562">
        <v>218907.31099999999</v>
      </c>
      <c r="G1562">
        <v>52.2166</v>
      </c>
      <c r="H1562">
        <v>0.99558899999999995</v>
      </c>
      <c r="I1562">
        <v>1</v>
      </c>
      <c r="J1562" s="156">
        <v>1</v>
      </c>
      <c r="K1562">
        <v>1</v>
      </c>
      <c r="L1562">
        <v>1</v>
      </c>
      <c r="M1562">
        <v>1</v>
      </c>
      <c r="N1562">
        <v>0.99558899999999995</v>
      </c>
    </row>
    <row r="1563" spans="1:14" x14ac:dyDescent="0.35">
      <c r="A1563" s="156" t="s">
        <v>542</v>
      </c>
      <c r="B1563" s="52">
        <v>44897</v>
      </c>
      <c r="C1563" s="156" t="s">
        <v>531</v>
      </c>
      <c r="D1563" s="156" t="s">
        <v>531</v>
      </c>
      <c r="E1563">
        <v>4552217</v>
      </c>
      <c r="F1563">
        <v>244546.53469999999</v>
      </c>
      <c r="G1563">
        <v>53.856000000000002</v>
      </c>
      <c r="H1563">
        <v>1.049701</v>
      </c>
      <c r="I1563">
        <v>1</v>
      </c>
      <c r="J1563" s="156">
        <v>1</v>
      </c>
      <c r="K1563">
        <v>1</v>
      </c>
      <c r="L1563">
        <v>1</v>
      </c>
      <c r="M1563">
        <v>1</v>
      </c>
      <c r="N1563">
        <v>1.049701</v>
      </c>
    </row>
    <row r="1564" spans="1:14" x14ac:dyDescent="0.35">
      <c r="A1564" s="156" t="s">
        <v>542</v>
      </c>
      <c r="B1564" s="52">
        <v>44900</v>
      </c>
      <c r="C1564" s="156" t="s">
        <v>531</v>
      </c>
      <c r="D1564" s="156" t="s">
        <v>531</v>
      </c>
      <c r="E1564">
        <v>3482440</v>
      </c>
      <c r="F1564">
        <v>179376.46960000001</v>
      </c>
      <c r="G1564">
        <v>51.603999999999999</v>
      </c>
      <c r="H1564">
        <v>0.93301500000000004</v>
      </c>
      <c r="I1564">
        <v>1</v>
      </c>
      <c r="J1564" s="156">
        <v>1</v>
      </c>
      <c r="K1564">
        <v>1</v>
      </c>
      <c r="L1564">
        <v>1</v>
      </c>
      <c r="M1564">
        <v>1</v>
      </c>
      <c r="N1564">
        <v>0.93301500000000004</v>
      </c>
    </row>
    <row r="1565" spans="1:14" x14ac:dyDescent="0.35">
      <c r="A1565" s="156" t="s">
        <v>542</v>
      </c>
      <c r="B1565" s="52">
        <v>44901</v>
      </c>
      <c r="C1565" s="156" t="s">
        <v>531</v>
      </c>
      <c r="D1565" s="156" t="s">
        <v>531</v>
      </c>
      <c r="E1565">
        <v>4085712</v>
      </c>
      <c r="F1565">
        <v>195736.67079999999</v>
      </c>
      <c r="G1565">
        <v>48.012099999999997</v>
      </c>
      <c r="H1565">
        <v>0.93332000000000004</v>
      </c>
      <c r="I1565">
        <v>1</v>
      </c>
      <c r="J1565" s="156">
        <v>1</v>
      </c>
      <c r="K1565">
        <v>1</v>
      </c>
      <c r="L1565">
        <v>1</v>
      </c>
      <c r="M1565">
        <v>1</v>
      </c>
      <c r="N1565">
        <v>0.93332000000000004</v>
      </c>
    </row>
    <row r="1566" spans="1:14" x14ac:dyDescent="0.35">
      <c r="A1566" s="156" t="s">
        <v>542</v>
      </c>
      <c r="B1566" s="52">
        <v>44902</v>
      </c>
      <c r="C1566" s="156" t="s">
        <v>531</v>
      </c>
      <c r="D1566" s="156" t="s">
        <v>531</v>
      </c>
      <c r="E1566">
        <v>3952705</v>
      </c>
      <c r="F1566">
        <v>185115.16329999999</v>
      </c>
      <c r="G1566">
        <v>47.444099999999999</v>
      </c>
      <c r="H1566">
        <v>1.0067440000000001</v>
      </c>
      <c r="I1566">
        <v>1</v>
      </c>
      <c r="J1566" s="156">
        <v>1</v>
      </c>
      <c r="K1566">
        <v>1</v>
      </c>
      <c r="L1566">
        <v>1</v>
      </c>
      <c r="M1566">
        <v>1</v>
      </c>
      <c r="N1566">
        <v>1.0067440000000001</v>
      </c>
    </row>
    <row r="1567" spans="1:14" x14ac:dyDescent="0.35">
      <c r="A1567" s="156" t="s">
        <v>542</v>
      </c>
      <c r="B1567" s="52">
        <v>44903</v>
      </c>
      <c r="C1567" s="156" t="s">
        <v>531</v>
      </c>
      <c r="D1567" s="156" t="s">
        <v>531</v>
      </c>
      <c r="E1567">
        <v>3178201</v>
      </c>
      <c r="F1567">
        <v>154174.05350000001</v>
      </c>
      <c r="G1567">
        <v>48.668300000000002</v>
      </c>
      <c r="H1567">
        <v>1.0154909999999999</v>
      </c>
      <c r="I1567">
        <v>1</v>
      </c>
      <c r="J1567" s="156">
        <v>1</v>
      </c>
      <c r="K1567">
        <v>1</v>
      </c>
      <c r="L1567">
        <v>1</v>
      </c>
      <c r="M1567">
        <v>1</v>
      </c>
      <c r="N1567">
        <v>1.0154909999999999</v>
      </c>
    </row>
    <row r="1568" spans="1:14" x14ac:dyDescent="0.35">
      <c r="A1568" s="156" t="s">
        <v>542</v>
      </c>
      <c r="B1568" s="52">
        <v>44904</v>
      </c>
      <c r="C1568" s="156" t="s">
        <v>531</v>
      </c>
      <c r="D1568" s="156" t="s">
        <v>531</v>
      </c>
      <c r="E1568">
        <v>2444880</v>
      </c>
      <c r="F1568">
        <v>118055.51360000001</v>
      </c>
      <c r="G1568">
        <v>48.352699999999999</v>
      </c>
      <c r="H1568">
        <v>0.98556999999999995</v>
      </c>
      <c r="I1568">
        <v>1</v>
      </c>
      <c r="J1568" s="156">
        <v>1</v>
      </c>
      <c r="K1568">
        <v>1</v>
      </c>
      <c r="L1568">
        <v>1</v>
      </c>
      <c r="M1568">
        <v>1</v>
      </c>
      <c r="N1568">
        <v>0.98556999999999995</v>
      </c>
    </row>
    <row r="1569" spans="1:14" x14ac:dyDescent="0.35">
      <c r="A1569" s="156" t="s">
        <v>542</v>
      </c>
      <c r="B1569" s="52">
        <v>44907</v>
      </c>
      <c r="C1569" s="156" t="s">
        <v>531</v>
      </c>
      <c r="D1569" s="156" t="s">
        <v>531</v>
      </c>
      <c r="E1569">
        <v>3609779</v>
      </c>
      <c r="F1569">
        <v>175919.03659999999</v>
      </c>
      <c r="G1569">
        <v>48.819200000000002</v>
      </c>
      <c r="H1569">
        <v>1.0294920000000001</v>
      </c>
      <c r="I1569">
        <v>1</v>
      </c>
      <c r="J1569" s="156">
        <v>1</v>
      </c>
      <c r="K1569">
        <v>1</v>
      </c>
      <c r="L1569">
        <v>1</v>
      </c>
      <c r="M1569">
        <v>1</v>
      </c>
      <c r="N1569">
        <v>1.0294920000000001</v>
      </c>
    </row>
    <row r="1570" spans="1:14" x14ac:dyDescent="0.35">
      <c r="A1570" s="156" t="s">
        <v>542</v>
      </c>
      <c r="B1570" s="52">
        <v>44908</v>
      </c>
      <c r="C1570" s="156" t="s">
        <v>531</v>
      </c>
      <c r="D1570" s="156" t="s">
        <v>531</v>
      </c>
      <c r="E1570">
        <v>5516191</v>
      </c>
      <c r="F1570">
        <v>288234.01089999999</v>
      </c>
      <c r="G1570">
        <v>52.277900000000002</v>
      </c>
      <c r="H1570">
        <v>1.0552619999999999</v>
      </c>
      <c r="I1570">
        <v>1</v>
      </c>
      <c r="J1570" s="156">
        <v>1</v>
      </c>
      <c r="K1570">
        <v>1</v>
      </c>
      <c r="L1570">
        <v>1</v>
      </c>
      <c r="M1570">
        <v>1</v>
      </c>
      <c r="N1570">
        <v>1.0552619999999999</v>
      </c>
    </row>
    <row r="1571" spans="1:14" x14ac:dyDescent="0.35">
      <c r="A1571" s="156" t="s">
        <v>542</v>
      </c>
      <c r="B1571" s="52">
        <v>44909</v>
      </c>
      <c r="C1571" s="156" t="s">
        <v>531</v>
      </c>
      <c r="D1571" s="156" t="s">
        <v>531</v>
      </c>
      <c r="E1571">
        <v>4288761</v>
      </c>
      <c r="F1571">
        <v>221027.1923</v>
      </c>
      <c r="G1571">
        <v>51.590200000000003</v>
      </c>
      <c r="H1571">
        <v>0.98074700000000004</v>
      </c>
      <c r="I1571">
        <v>1</v>
      </c>
      <c r="J1571" s="156">
        <v>1</v>
      </c>
      <c r="K1571">
        <v>1</v>
      </c>
      <c r="L1571">
        <v>1</v>
      </c>
      <c r="M1571">
        <v>1</v>
      </c>
      <c r="N1571">
        <v>0.98074700000000004</v>
      </c>
    </row>
    <row r="1572" spans="1:14" x14ac:dyDescent="0.35">
      <c r="A1572" s="156" t="s">
        <v>542</v>
      </c>
      <c r="B1572" s="52">
        <v>44910</v>
      </c>
      <c r="C1572" s="156" t="s">
        <v>531</v>
      </c>
      <c r="D1572" s="156" t="s">
        <v>531</v>
      </c>
      <c r="E1572">
        <v>5956886</v>
      </c>
      <c r="F1572">
        <v>281249.28940000001</v>
      </c>
      <c r="G1572">
        <v>47.247999999999998</v>
      </c>
      <c r="H1572">
        <v>0.91833500000000001</v>
      </c>
      <c r="I1572">
        <v>1</v>
      </c>
      <c r="J1572" s="156">
        <v>1</v>
      </c>
      <c r="K1572">
        <v>1</v>
      </c>
      <c r="L1572">
        <v>1</v>
      </c>
      <c r="M1572">
        <v>1</v>
      </c>
      <c r="N1572">
        <v>0.91833500000000001</v>
      </c>
    </row>
    <row r="1573" spans="1:14" x14ac:dyDescent="0.35">
      <c r="A1573" s="156" t="s">
        <v>542</v>
      </c>
      <c r="B1573" s="52">
        <v>44911</v>
      </c>
      <c r="C1573" s="156" t="s">
        <v>531</v>
      </c>
      <c r="D1573" s="156" t="s">
        <v>531</v>
      </c>
      <c r="E1573">
        <v>7885460</v>
      </c>
      <c r="F1573">
        <v>363008.16519999999</v>
      </c>
      <c r="G1573">
        <v>46.084600000000002</v>
      </c>
      <c r="H1573">
        <v>0.98653299999999999</v>
      </c>
      <c r="I1573">
        <v>1</v>
      </c>
      <c r="J1573" s="156">
        <v>1</v>
      </c>
      <c r="K1573">
        <v>1</v>
      </c>
      <c r="L1573">
        <v>1</v>
      </c>
      <c r="M1573">
        <v>1</v>
      </c>
      <c r="N1573">
        <v>0.98653299999999999</v>
      </c>
    </row>
    <row r="1574" spans="1:14" x14ac:dyDescent="0.35">
      <c r="A1574" s="156" t="s">
        <v>542</v>
      </c>
      <c r="B1574" s="52">
        <v>44914</v>
      </c>
      <c r="C1574" s="156" t="s">
        <v>531</v>
      </c>
      <c r="D1574" s="156" t="s">
        <v>531</v>
      </c>
      <c r="E1574">
        <v>4699821</v>
      </c>
      <c r="F1574">
        <v>210288.75750000001</v>
      </c>
      <c r="G1574">
        <v>44.790900000000001</v>
      </c>
      <c r="H1574">
        <v>0.95623000000000002</v>
      </c>
      <c r="I1574">
        <v>1</v>
      </c>
      <c r="J1574" s="156">
        <v>1</v>
      </c>
      <c r="K1574">
        <v>1</v>
      </c>
      <c r="L1574">
        <v>1</v>
      </c>
      <c r="M1574">
        <v>1</v>
      </c>
      <c r="N1574">
        <v>0.95623000000000002</v>
      </c>
    </row>
    <row r="1575" spans="1:14" x14ac:dyDescent="0.35">
      <c r="A1575" s="156" t="s">
        <v>542</v>
      </c>
      <c r="B1575" s="52">
        <v>44915</v>
      </c>
      <c r="C1575" s="156" t="s">
        <v>531</v>
      </c>
      <c r="D1575" s="156" t="s">
        <v>531</v>
      </c>
      <c r="E1575">
        <v>4536289</v>
      </c>
      <c r="F1575">
        <v>208324.66699999999</v>
      </c>
      <c r="G1575">
        <v>46.045000000000002</v>
      </c>
      <c r="H1575">
        <v>1.055744</v>
      </c>
      <c r="I1575">
        <v>1</v>
      </c>
      <c r="J1575" s="156">
        <v>1</v>
      </c>
      <c r="K1575">
        <v>1</v>
      </c>
      <c r="L1575">
        <v>1</v>
      </c>
      <c r="M1575">
        <v>1</v>
      </c>
      <c r="N1575">
        <v>1.055744</v>
      </c>
    </row>
    <row r="1576" spans="1:14" x14ac:dyDescent="0.35">
      <c r="A1576" s="156" t="s">
        <v>542</v>
      </c>
      <c r="B1576" s="52">
        <v>44916</v>
      </c>
      <c r="C1576" s="156" t="s">
        <v>531</v>
      </c>
      <c r="D1576" s="156" t="s">
        <v>531</v>
      </c>
      <c r="E1576">
        <v>2819533</v>
      </c>
      <c r="F1576">
        <v>131494.1041</v>
      </c>
      <c r="G1576">
        <v>46.662799999999997</v>
      </c>
      <c r="H1576">
        <v>0.99957099999999999</v>
      </c>
      <c r="I1576">
        <v>1</v>
      </c>
      <c r="J1576" s="156">
        <v>1</v>
      </c>
      <c r="K1576">
        <v>1</v>
      </c>
      <c r="L1576">
        <v>1</v>
      </c>
      <c r="M1576">
        <v>1</v>
      </c>
      <c r="N1576">
        <v>0.99957099999999999</v>
      </c>
    </row>
    <row r="1577" spans="1:14" x14ac:dyDescent="0.35">
      <c r="A1577" s="156" t="s">
        <v>542</v>
      </c>
      <c r="B1577" s="52">
        <v>44917</v>
      </c>
      <c r="C1577" s="156" t="s">
        <v>531</v>
      </c>
      <c r="D1577" s="156" t="s">
        <v>531</v>
      </c>
      <c r="E1577">
        <v>3664983</v>
      </c>
      <c r="F1577">
        <v>162026.2015</v>
      </c>
      <c r="G1577">
        <v>44.2699</v>
      </c>
      <c r="H1577">
        <v>0.96414</v>
      </c>
      <c r="I1577">
        <v>1</v>
      </c>
      <c r="J1577" s="156">
        <v>1</v>
      </c>
      <c r="K1577">
        <v>1</v>
      </c>
      <c r="L1577">
        <v>1</v>
      </c>
      <c r="M1577">
        <v>1</v>
      </c>
      <c r="N1577">
        <v>0.96414</v>
      </c>
    </row>
    <row r="1578" spans="1:14" x14ac:dyDescent="0.35">
      <c r="A1578" s="156" t="s">
        <v>542</v>
      </c>
      <c r="B1578" s="52">
        <v>44918</v>
      </c>
      <c r="C1578" s="156" t="s">
        <v>531</v>
      </c>
      <c r="D1578" s="156" t="s">
        <v>531</v>
      </c>
      <c r="E1578">
        <v>2421711</v>
      </c>
      <c r="F1578">
        <v>107971.6581</v>
      </c>
      <c r="G1578">
        <v>44.616199999999999</v>
      </c>
      <c r="H1578">
        <v>0.99955499999999997</v>
      </c>
      <c r="I1578">
        <v>1</v>
      </c>
      <c r="J1578" s="156">
        <v>1</v>
      </c>
      <c r="K1578">
        <v>1</v>
      </c>
      <c r="L1578">
        <v>1</v>
      </c>
      <c r="M1578">
        <v>1</v>
      </c>
      <c r="N1578">
        <v>0.99955499999999997</v>
      </c>
    </row>
    <row r="1579" spans="1:14" x14ac:dyDescent="0.35">
      <c r="A1579" s="156" t="s">
        <v>542</v>
      </c>
      <c r="B1579" s="52">
        <v>44922</v>
      </c>
      <c r="C1579" s="156" t="s">
        <v>531</v>
      </c>
      <c r="D1579" s="156" t="s">
        <v>531</v>
      </c>
      <c r="E1579">
        <v>2639404</v>
      </c>
      <c r="F1579">
        <v>115100.9194</v>
      </c>
      <c r="G1579">
        <v>43.7498</v>
      </c>
      <c r="H1579">
        <v>0.97638100000000005</v>
      </c>
      <c r="I1579">
        <v>1</v>
      </c>
      <c r="J1579" s="156">
        <v>1</v>
      </c>
      <c r="K1579">
        <v>1</v>
      </c>
      <c r="L1579">
        <v>1</v>
      </c>
      <c r="M1579">
        <v>1</v>
      </c>
      <c r="N1579">
        <v>0.97638100000000005</v>
      </c>
    </row>
    <row r="1580" spans="1:14" x14ac:dyDescent="0.35">
      <c r="A1580" s="156" t="s">
        <v>542</v>
      </c>
      <c r="B1580" s="52">
        <v>44923</v>
      </c>
      <c r="C1580" s="156" t="s">
        <v>531</v>
      </c>
      <c r="D1580" s="156" t="s">
        <v>531</v>
      </c>
      <c r="E1580">
        <v>2766549</v>
      </c>
      <c r="F1580">
        <v>118999.91929999999</v>
      </c>
      <c r="G1580">
        <v>43.224699999999999</v>
      </c>
      <c r="H1580">
        <v>0.98858999999999997</v>
      </c>
      <c r="I1580">
        <v>1</v>
      </c>
      <c r="J1580" s="156">
        <v>1</v>
      </c>
      <c r="K1580">
        <v>1</v>
      </c>
      <c r="L1580">
        <v>1</v>
      </c>
      <c r="M1580">
        <v>1</v>
      </c>
      <c r="N1580">
        <v>0.98858999999999997</v>
      </c>
    </row>
    <row r="1581" spans="1:14" x14ac:dyDescent="0.35">
      <c r="A1581" s="156" t="s">
        <v>542</v>
      </c>
      <c r="B1581" s="52">
        <v>44924</v>
      </c>
      <c r="C1581" s="156" t="s">
        <v>531</v>
      </c>
      <c r="D1581" s="156" t="s">
        <v>531</v>
      </c>
      <c r="E1581">
        <v>2946271</v>
      </c>
      <c r="F1581">
        <v>133194.3609</v>
      </c>
      <c r="G1581">
        <v>45.241300000000003</v>
      </c>
      <c r="H1581">
        <v>1.0466299999999999</v>
      </c>
      <c r="I1581">
        <v>1</v>
      </c>
      <c r="J1581" s="156">
        <v>1</v>
      </c>
      <c r="K1581">
        <v>1</v>
      </c>
      <c r="L1581">
        <v>1</v>
      </c>
      <c r="M1581">
        <v>1</v>
      </c>
      <c r="N1581">
        <v>1.0466299999999999</v>
      </c>
    </row>
    <row r="1582" spans="1:14" x14ac:dyDescent="0.35">
      <c r="A1582" s="156" t="s">
        <v>542</v>
      </c>
      <c r="B1582" s="52">
        <v>44925</v>
      </c>
      <c r="C1582" s="156" t="s">
        <v>531</v>
      </c>
      <c r="D1582" s="156" t="s">
        <v>531</v>
      </c>
      <c r="E1582">
        <v>3110437</v>
      </c>
      <c r="F1582">
        <v>137002.88759999999</v>
      </c>
      <c r="G1582">
        <v>44.515999999999998</v>
      </c>
      <c r="H1582">
        <v>0.98875199999999996</v>
      </c>
      <c r="I1582">
        <v>1</v>
      </c>
      <c r="J1582" s="156">
        <v>1</v>
      </c>
      <c r="K1582">
        <v>1</v>
      </c>
      <c r="L1582">
        <v>1</v>
      </c>
      <c r="M1582">
        <v>1</v>
      </c>
      <c r="N1582">
        <v>0.98875199999999996</v>
      </c>
    </row>
    <row r="1583" spans="1:14" x14ac:dyDescent="0.35">
      <c r="A1583" s="156" t="s">
        <v>542</v>
      </c>
      <c r="B1583" s="52">
        <v>44929</v>
      </c>
      <c r="C1583" s="156" t="s">
        <v>531</v>
      </c>
      <c r="D1583" s="156" t="s">
        <v>531</v>
      </c>
      <c r="E1583">
        <v>2855612</v>
      </c>
      <c r="F1583">
        <v>125832.3907</v>
      </c>
      <c r="G1583">
        <v>44.1111</v>
      </c>
      <c r="H1583">
        <v>0.98193200000000003</v>
      </c>
      <c r="I1583">
        <v>1</v>
      </c>
      <c r="J1583" s="156">
        <v>1</v>
      </c>
      <c r="K1583">
        <v>1</v>
      </c>
      <c r="L1583">
        <v>1</v>
      </c>
      <c r="M1583">
        <v>1</v>
      </c>
      <c r="N1583">
        <v>0.98193200000000003</v>
      </c>
    </row>
    <row r="1584" spans="1:14" x14ac:dyDescent="0.35">
      <c r="A1584" s="156" t="s">
        <v>542</v>
      </c>
      <c r="B1584" s="52">
        <v>44930</v>
      </c>
      <c r="C1584" s="156" t="s">
        <v>531</v>
      </c>
      <c r="D1584" s="156" t="s">
        <v>531</v>
      </c>
      <c r="E1584">
        <v>4653717</v>
      </c>
      <c r="F1584">
        <v>203070.13200000001</v>
      </c>
      <c r="G1584">
        <v>43.9437</v>
      </c>
      <c r="H1584">
        <v>1.006588</v>
      </c>
      <c r="I1584">
        <v>1</v>
      </c>
      <c r="J1584" s="156">
        <v>1</v>
      </c>
      <c r="K1584">
        <v>1</v>
      </c>
      <c r="L1584">
        <v>1</v>
      </c>
      <c r="M1584">
        <v>1</v>
      </c>
      <c r="N1584">
        <v>1.006588</v>
      </c>
    </row>
    <row r="1585" spans="1:14" x14ac:dyDescent="0.35">
      <c r="A1585" s="156" t="s">
        <v>542</v>
      </c>
      <c r="B1585" s="52">
        <v>44931</v>
      </c>
      <c r="C1585" s="156" t="s">
        <v>531</v>
      </c>
      <c r="D1585" s="156" t="s">
        <v>531</v>
      </c>
      <c r="E1585">
        <v>3907979</v>
      </c>
      <c r="F1585">
        <v>165437.14929999999</v>
      </c>
      <c r="G1585">
        <v>42.82</v>
      </c>
      <c r="H1585">
        <v>0.96118300000000001</v>
      </c>
      <c r="I1585">
        <v>1</v>
      </c>
      <c r="J1585" s="156">
        <v>1</v>
      </c>
      <c r="K1585">
        <v>1</v>
      </c>
      <c r="L1585">
        <v>1</v>
      </c>
      <c r="M1585">
        <v>1</v>
      </c>
      <c r="N1585">
        <v>0.96118300000000001</v>
      </c>
    </row>
    <row r="1586" spans="1:14" x14ac:dyDescent="0.35">
      <c r="A1586" s="156" t="s">
        <v>542</v>
      </c>
      <c r="B1586" s="52">
        <v>44932</v>
      </c>
      <c r="C1586" s="156" t="s">
        <v>531</v>
      </c>
      <c r="D1586" s="156" t="s">
        <v>531</v>
      </c>
      <c r="E1586">
        <v>3976721</v>
      </c>
      <c r="F1586">
        <v>163732.0263</v>
      </c>
      <c r="G1586">
        <v>42.31</v>
      </c>
      <c r="H1586">
        <v>0.99295599999999995</v>
      </c>
      <c r="I1586">
        <v>1</v>
      </c>
      <c r="J1586" s="156">
        <v>1</v>
      </c>
      <c r="K1586">
        <v>1</v>
      </c>
      <c r="L1586">
        <v>1</v>
      </c>
      <c r="M1586">
        <v>1</v>
      </c>
      <c r="N1586">
        <v>0.99295599999999995</v>
      </c>
    </row>
    <row r="1587" spans="1:14" x14ac:dyDescent="0.35">
      <c r="A1587" s="156" t="s">
        <v>542</v>
      </c>
      <c r="B1587" s="52">
        <v>44935</v>
      </c>
      <c r="C1587" s="156" t="s">
        <v>531</v>
      </c>
      <c r="D1587" s="156" t="s">
        <v>531</v>
      </c>
      <c r="E1587">
        <v>4005311</v>
      </c>
      <c r="F1587">
        <v>172752.1047</v>
      </c>
      <c r="G1587">
        <v>44.120100000000001</v>
      </c>
      <c r="H1587">
        <v>1.0401990000000001</v>
      </c>
      <c r="I1587">
        <v>1</v>
      </c>
      <c r="J1587" s="156">
        <v>1</v>
      </c>
      <c r="K1587">
        <v>1</v>
      </c>
      <c r="L1587">
        <v>1</v>
      </c>
      <c r="M1587">
        <v>1</v>
      </c>
      <c r="N1587">
        <v>1.0401990000000001</v>
      </c>
    </row>
    <row r="1588" spans="1:14" x14ac:dyDescent="0.35">
      <c r="A1588" s="156" t="s">
        <v>542</v>
      </c>
      <c r="B1588" s="52">
        <v>44936</v>
      </c>
      <c r="C1588" s="156" t="s">
        <v>531</v>
      </c>
      <c r="D1588" s="156" t="s">
        <v>531</v>
      </c>
      <c r="E1588">
        <v>2909726</v>
      </c>
      <c r="F1588">
        <v>128067.3996</v>
      </c>
      <c r="G1588">
        <v>44.277900000000002</v>
      </c>
      <c r="H1588">
        <v>1.019323</v>
      </c>
      <c r="I1588">
        <v>1</v>
      </c>
      <c r="J1588" s="156">
        <v>1</v>
      </c>
      <c r="K1588">
        <v>1</v>
      </c>
      <c r="L1588">
        <v>1</v>
      </c>
      <c r="M1588">
        <v>1</v>
      </c>
      <c r="N1588">
        <v>1.019323</v>
      </c>
    </row>
    <row r="1589" spans="1:14" x14ac:dyDescent="0.35">
      <c r="A1589" s="156" t="s">
        <v>542</v>
      </c>
      <c r="B1589" s="52">
        <v>44937</v>
      </c>
      <c r="C1589" s="156" t="s">
        <v>531</v>
      </c>
      <c r="D1589" s="156" t="s">
        <v>531</v>
      </c>
      <c r="E1589">
        <v>4579901</v>
      </c>
      <c r="F1589">
        <v>213686.11550000001</v>
      </c>
      <c r="G1589">
        <v>46.710700000000003</v>
      </c>
      <c r="H1589">
        <v>1.0550850000000001</v>
      </c>
      <c r="I1589">
        <v>1</v>
      </c>
      <c r="J1589" s="156">
        <v>1</v>
      </c>
      <c r="K1589">
        <v>1</v>
      </c>
      <c r="L1589">
        <v>1</v>
      </c>
      <c r="M1589">
        <v>1</v>
      </c>
      <c r="N1589">
        <v>1.0550850000000001</v>
      </c>
    </row>
    <row r="1590" spans="1:14" x14ac:dyDescent="0.35">
      <c r="A1590" s="156" t="s">
        <v>542</v>
      </c>
      <c r="B1590" s="52">
        <v>44938</v>
      </c>
      <c r="C1590" s="156" t="s">
        <v>531</v>
      </c>
      <c r="D1590" s="156" t="s">
        <v>531</v>
      </c>
      <c r="E1590">
        <v>4378516</v>
      </c>
      <c r="F1590">
        <v>203137.68840000001</v>
      </c>
      <c r="G1590">
        <v>46.671199999999999</v>
      </c>
      <c r="H1590">
        <v>0.98710600000000004</v>
      </c>
      <c r="I1590">
        <v>1</v>
      </c>
      <c r="J1590" s="156">
        <v>1</v>
      </c>
      <c r="K1590">
        <v>1</v>
      </c>
      <c r="L1590">
        <v>1</v>
      </c>
      <c r="M1590">
        <v>1</v>
      </c>
      <c r="N1590">
        <v>0.98710600000000004</v>
      </c>
    </row>
    <row r="1591" spans="1:14" x14ac:dyDescent="0.35">
      <c r="A1591" s="156" t="s">
        <v>542</v>
      </c>
      <c r="B1591" s="52">
        <v>44939</v>
      </c>
      <c r="C1591" s="156" t="s">
        <v>531</v>
      </c>
      <c r="D1591" s="156" t="s">
        <v>531</v>
      </c>
      <c r="E1591">
        <v>4198061</v>
      </c>
      <c r="F1591">
        <v>193826.5196</v>
      </c>
      <c r="G1591">
        <v>46.617600000000003</v>
      </c>
      <c r="H1591">
        <v>1.007066</v>
      </c>
      <c r="I1591">
        <v>1</v>
      </c>
      <c r="J1591" s="156">
        <v>1</v>
      </c>
      <c r="K1591">
        <v>1</v>
      </c>
      <c r="L1591">
        <v>1</v>
      </c>
      <c r="M1591">
        <v>1</v>
      </c>
      <c r="N1591">
        <v>1.007066</v>
      </c>
    </row>
    <row r="1592" spans="1:14" x14ac:dyDescent="0.35">
      <c r="A1592" s="156" t="s">
        <v>542</v>
      </c>
      <c r="B1592" s="52">
        <v>44943</v>
      </c>
      <c r="C1592" s="156" t="s">
        <v>531</v>
      </c>
      <c r="D1592" s="156" t="s">
        <v>531</v>
      </c>
      <c r="E1592">
        <v>3369508</v>
      </c>
      <c r="F1592">
        <v>158104.3112</v>
      </c>
      <c r="G1592">
        <v>46.942799999999998</v>
      </c>
      <c r="H1592">
        <v>1.0008509999999999</v>
      </c>
      <c r="I1592">
        <v>1</v>
      </c>
      <c r="J1592" s="156">
        <v>1</v>
      </c>
      <c r="K1592">
        <v>1</v>
      </c>
      <c r="L1592">
        <v>1</v>
      </c>
      <c r="M1592">
        <v>1</v>
      </c>
      <c r="N1592">
        <v>1.0008509999999999</v>
      </c>
    </row>
    <row r="1593" spans="1:14" x14ac:dyDescent="0.35">
      <c r="A1593" s="156" t="s">
        <v>542</v>
      </c>
      <c r="B1593" s="52">
        <v>44944</v>
      </c>
      <c r="C1593" s="156" t="s">
        <v>531</v>
      </c>
      <c r="D1593" s="156" t="s">
        <v>531</v>
      </c>
      <c r="E1593">
        <v>3543294</v>
      </c>
      <c r="F1593">
        <v>162951.8388</v>
      </c>
      <c r="G1593">
        <v>46.2819</v>
      </c>
      <c r="H1593">
        <v>0.97047000000000005</v>
      </c>
      <c r="I1593">
        <v>1</v>
      </c>
      <c r="J1593" s="156">
        <v>1</v>
      </c>
      <c r="K1593">
        <v>1</v>
      </c>
      <c r="L1593">
        <v>1</v>
      </c>
      <c r="M1593">
        <v>1</v>
      </c>
      <c r="N1593">
        <v>0.97047000000000005</v>
      </c>
    </row>
    <row r="1594" spans="1:14" x14ac:dyDescent="0.35">
      <c r="A1594" s="156" t="s">
        <v>542</v>
      </c>
      <c r="B1594" s="52">
        <v>44945</v>
      </c>
      <c r="C1594" s="156" t="s">
        <v>531</v>
      </c>
      <c r="D1594" s="156" t="s">
        <v>531</v>
      </c>
      <c r="E1594">
        <v>3042989</v>
      </c>
      <c r="F1594">
        <v>135498.0442</v>
      </c>
      <c r="G1594">
        <v>44.629199999999997</v>
      </c>
      <c r="H1594">
        <v>0.96891400000000005</v>
      </c>
      <c r="I1594">
        <v>1</v>
      </c>
      <c r="J1594" s="156">
        <v>1</v>
      </c>
      <c r="K1594">
        <v>1</v>
      </c>
      <c r="L1594">
        <v>1</v>
      </c>
      <c r="M1594">
        <v>1</v>
      </c>
      <c r="N1594">
        <v>0.96891400000000005</v>
      </c>
    </row>
    <row r="1595" spans="1:14" x14ac:dyDescent="0.35">
      <c r="A1595" s="156" t="s">
        <v>542</v>
      </c>
      <c r="B1595" s="52">
        <v>44946</v>
      </c>
      <c r="C1595" s="156" t="s">
        <v>531</v>
      </c>
      <c r="D1595" s="156" t="s">
        <v>531</v>
      </c>
      <c r="E1595">
        <v>3157031</v>
      </c>
      <c r="F1595">
        <v>141118.1508</v>
      </c>
      <c r="G1595">
        <v>45.223799999999997</v>
      </c>
      <c r="H1595">
        <v>1.029598</v>
      </c>
      <c r="I1595">
        <v>1</v>
      </c>
      <c r="J1595" s="156">
        <v>1</v>
      </c>
      <c r="K1595">
        <v>1</v>
      </c>
      <c r="L1595">
        <v>1</v>
      </c>
      <c r="M1595">
        <v>1</v>
      </c>
      <c r="N1595">
        <v>1.029598</v>
      </c>
    </row>
    <row r="1596" spans="1:14" x14ac:dyDescent="0.35">
      <c r="A1596" s="156" t="s">
        <v>542</v>
      </c>
      <c r="B1596" s="52">
        <v>44949</v>
      </c>
      <c r="C1596" s="156" t="s">
        <v>531</v>
      </c>
      <c r="D1596" s="156" t="s">
        <v>531</v>
      </c>
      <c r="E1596">
        <v>4386842</v>
      </c>
      <c r="F1596">
        <v>206561.32949999999</v>
      </c>
      <c r="G1596">
        <v>47.155999999999999</v>
      </c>
      <c r="H1596">
        <v>1.03555</v>
      </c>
      <c r="I1596">
        <v>1</v>
      </c>
      <c r="J1596" s="156">
        <v>1</v>
      </c>
      <c r="K1596">
        <v>1</v>
      </c>
      <c r="L1596">
        <v>1</v>
      </c>
      <c r="M1596">
        <v>1</v>
      </c>
      <c r="N1596">
        <v>1.03555</v>
      </c>
    </row>
    <row r="1597" spans="1:14" x14ac:dyDescent="0.35">
      <c r="A1597" s="156" t="s">
        <v>542</v>
      </c>
      <c r="B1597" s="52">
        <v>44950</v>
      </c>
      <c r="C1597" s="156" t="s">
        <v>531</v>
      </c>
      <c r="D1597" s="156" t="s">
        <v>531</v>
      </c>
      <c r="E1597">
        <v>3936053</v>
      </c>
      <c r="F1597">
        <v>183557.47140000001</v>
      </c>
      <c r="G1597">
        <v>47.322000000000003</v>
      </c>
      <c r="H1597">
        <v>1.009112</v>
      </c>
      <c r="I1597">
        <v>1</v>
      </c>
      <c r="J1597" s="156">
        <v>1</v>
      </c>
      <c r="K1597">
        <v>1</v>
      </c>
      <c r="L1597">
        <v>1</v>
      </c>
      <c r="M1597">
        <v>1</v>
      </c>
      <c r="N1597">
        <v>1.009112</v>
      </c>
    </row>
    <row r="1598" spans="1:14" x14ac:dyDescent="0.35">
      <c r="A1598" s="156" t="s">
        <v>542</v>
      </c>
      <c r="B1598" s="52">
        <v>44951</v>
      </c>
      <c r="C1598" s="156" t="s">
        <v>531</v>
      </c>
      <c r="D1598" s="156" t="s">
        <v>531</v>
      </c>
      <c r="E1598">
        <v>5887002</v>
      </c>
      <c r="F1598">
        <v>275762.60259999998</v>
      </c>
      <c r="G1598">
        <v>47.1751</v>
      </c>
      <c r="H1598">
        <v>1.0228900000000001</v>
      </c>
      <c r="I1598">
        <v>1</v>
      </c>
      <c r="J1598" s="156">
        <v>1</v>
      </c>
      <c r="K1598">
        <v>1</v>
      </c>
      <c r="L1598">
        <v>1</v>
      </c>
      <c r="M1598">
        <v>1</v>
      </c>
      <c r="N1598">
        <v>1.0228900000000001</v>
      </c>
    </row>
    <row r="1599" spans="1:14" x14ac:dyDescent="0.35">
      <c r="A1599" s="156" t="s">
        <v>542</v>
      </c>
      <c r="B1599" s="52">
        <v>44952</v>
      </c>
      <c r="C1599" s="156" t="s">
        <v>531</v>
      </c>
      <c r="D1599" s="156" t="s">
        <v>531</v>
      </c>
      <c r="E1599">
        <v>3787602</v>
      </c>
      <c r="F1599">
        <v>187299.973</v>
      </c>
      <c r="G1599">
        <v>49.5505</v>
      </c>
      <c r="H1599">
        <v>1.0213509999999999</v>
      </c>
      <c r="I1599">
        <v>1</v>
      </c>
      <c r="J1599" s="156">
        <v>1</v>
      </c>
      <c r="K1599">
        <v>1</v>
      </c>
      <c r="L1599">
        <v>1</v>
      </c>
      <c r="M1599">
        <v>1</v>
      </c>
      <c r="N1599">
        <v>1.0213509999999999</v>
      </c>
    </row>
    <row r="1600" spans="1:14" x14ac:dyDescent="0.35">
      <c r="A1600" s="156" t="s">
        <v>542</v>
      </c>
      <c r="B1600" s="52">
        <v>44953</v>
      </c>
      <c r="C1600" s="156" t="s">
        <v>531</v>
      </c>
      <c r="D1600" s="156" t="s">
        <v>531</v>
      </c>
      <c r="E1600">
        <v>4227438</v>
      </c>
      <c r="F1600">
        <v>214152.4952</v>
      </c>
      <c r="G1600">
        <v>51.596299999999999</v>
      </c>
      <c r="H1600">
        <v>1.0442210000000001</v>
      </c>
      <c r="I1600">
        <v>1</v>
      </c>
      <c r="J1600" s="156">
        <v>1</v>
      </c>
      <c r="K1600">
        <v>1</v>
      </c>
      <c r="L1600">
        <v>1</v>
      </c>
      <c r="M1600">
        <v>1</v>
      </c>
      <c r="N1600">
        <v>1.0442210000000001</v>
      </c>
    </row>
    <row r="1601" spans="1:14" x14ac:dyDescent="0.35">
      <c r="A1601" s="156" t="s">
        <v>542</v>
      </c>
      <c r="B1601" s="52">
        <v>44956</v>
      </c>
      <c r="C1601" s="156" t="s">
        <v>531</v>
      </c>
      <c r="D1601" s="156" t="s">
        <v>531</v>
      </c>
      <c r="E1601">
        <v>3587979</v>
      </c>
      <c r="F1601">
        <v>177897.3069</v>
      </c>
      <c r="G1601">
        <v>49.871899999999997</v>
      </c>
      <c r="H1601">
        <v>0.94744899999999999</v>
      </c>
      <c r="I1601">
        <v>1</v>
      </c>
      <c r="J1601" s="156">
        <v>1</v>
      </c>
      <c r="K1601">
        <v>1</v>
      </c>
      <c r="L1601">
        <v>1</v>
      </c>
      <c r="M1601">
        <v>1</v>
      </c>
      <c r="N1601">
        <v>0.94744899999999999</v>
      </c>
    </row>
    <row r="1602" spans="1:14" x14ac:dyDescent="0.35">
      <c r="A1602" s="156" t="s">
        <v>542</v>
      </c>
      <c r="B1602" s="52">
        <v>44957</v>
      </c>
      <c r="C1602" s="156" t="s">
        <v>531</v>
      </c>
      <c r="D1602" s="156" t="s">
        <v>531</v>
      </c>
      <c r="E1602">
        <v>3678832</v>
      </c>
      <c r="F1602">
        <v>184004.4308</v>
      </c>
      <c r="G1602">
        <v>50.299500000000002</v>
      </c>
      <c r="H1602">
        <v>1.0300689999999999</v>
      </c>
      <c r="I1602">
        <v>1</v>
      </c>
      <c r="J1602" s="156">
        <v>1</v>
      </c>
      <c r="K1602">
        <v>1</v>
      </c>
      <c r="L1602">
        <v>1</v>
      </c>
      <c r="M1602">
        <v>1</v>
      </c>
      <c r="N1602">
        <v>1.0300689999999999</v>
      </c>
    </row>
    <row r="1603" spans="1:14" x14ac:dyDescent="0.35">
      <c r="A1603" s="156" t="s">
        <v>542</v>
      </c>
      <c r="B1603" s="52">
        <v>44958</v>
      </c>
      <c r="C1603" s="156" t="s">
        <v>531</v>
      </c>
      <c r="D1603" s="156" t="s">
        <v>531</v>
      </c>
      <c r="E1603">
        <v>3936792</v>
      </c>
      <c r="F1603">
        <v>196973.861</v>
      </c>
      <c r="G1603">
        <v>51.164400000000001</v>
      </c>
      <c r="H1603">
        <v>1.031755</v>
      </c>
      <c r="I1603">
        <v>1</v>
      </c>
      <c r="J1603" s="156">
        <v>1</v>
      </c>
      <c r="K1603">
        <v>1</v>
      </c>
      <c r="L1603">
        <v>1</v>
      </c>
      <c r="M1603">
        <v>1</v>
      </c>
      <c r="N1603">
        <v>1.031755</v>
      </c>
    </row>
    <row r="1604" spans="1:14" x14ac:dyDescent="0.35">
      <c r="A1604" s="156" t="s">
        <v>542</v>
      </c>
      <c r="B1604" s="52">
        <v>44959</v>
      </c>
      <c r="C1604" s="156" t="s">
        <v>531</v>
      </c>
      <c r="D1604" s="156" t="s">
        <v>531</v>
      </c>
      <c r="E1604">
        <v>8060501</v>
      </c>
      <c r="F1604">
        <v>453989.97169999999</v>
      </c>
      <c r="G1604">
        <v>56.877099999999999</v>
      </c>
      <c r="H1604">
        <v>1.0898490000000001</v>
      </c>
      <c r="I1604">
        <v>1</v>
      </c>
      <c r="J1604" s="156">
        <v>1</v>
      </c>
      <c r="K1604">
        <v>1</v>
      </c>
      <c r="L1604">
        <v>1</v>
      </c>
      <c r="M1604">
        <v>1</v>
      </c>
      <c r="N1604">
        <v>1.0898490000000001</v>
      </c>
    </row>
    <row r="1605" spans="1:14" x14ac:dyDescent="0.35">
      <c r="A1605" s="156" t="s">
        <v>542</v>
      </c>
      <c r="B1605" s="52">
        <v>44960</v>
      </c>
      <c r="C1605" s="156" t="s">
        <v>531</v>
      </c>
      <c r="D1605" s="156" t="s">
        <v>531</v>
      </c>
      <c r="E1605">
        <v>4539465</v>
      </c>
      <c r="F1605">
        <v>245868.63029999999</v>
      </c>
      <c r="G1605">
        <v>54.222200000000001</v>
      </c>
      <c r="H1605">
        <v>0.93141600000000002</v>
      </c>
      <c r="I1605">
        <v>1</v>
      </c>
      <c r="J1605" s="156">
        <v>1</v>
      </c>
      <c r="K1605">
        <v>1</v>
      </c>
      <c r="L1605">
        <v>1</v>
      </c>
      <c r="M1605">
        <v>1</v>
      </c>
      <c r="N1605">
        <v>0.93141600000000002</v>
      </c>
    </row>
    <row r="1606" spans="1:14" x14ac:dyDescent="0.35">
      <c r="A1606" s="156" t="s">
        <v>542</v>
      </c>
      <c r="B1606" s="52">
        <v>44963</v>
      </c>
      <c r="C1606" s="156" t="s">
        <v>531</v>
      </c>
      <c r="D1606" s="156" t="s">
        <v>531</v>
      </c>
      <c r="E1606">
        <v>4160021</v>
      </c>
      <c r="F1606">
        <v>215009.84039999999</v>
      </c>
      <c r="G1606">
        <v>52.518799999999999</v>
      </c>
      <c r="H1606">
        <v>0.98568699999999998</v>
      </c>
      <c r="I1606">
        <v>1</v>
      </c>
      <c r="J1606" s="156">
        <v>1</v>
      </c>
      <c r="K1606">
        <v>1</v>
      </c>
      <c r="L1606">
        <v>1</v>
      </c>
      <c r="M1606">
        <v>1</v>
      </c>
      <c r="N1606">
        <v>0.98568699999999998</v>
      </c>
    </row>
    <row r="1607" spans="1:14" x14ac:dyDescent="0.35">
      <c r="A1607" s="156" t="s">
        <v>542</v>
      </c>
      <c r="B1607" s="52">
        <v>44964</v>
      </c>
      <c r="C1607" s="156" t="s">
        <v>531</v>
      </c>
      <c r="D1607" s="156" t="s">
        <v>531</v>
      </c>
      <c r="E1607">
        <v>4210457</v>
      </c>
      <c r="F1607">
        <v>218341.47820000001</v>
      </c>
      <c r="G1607">
        <v>51.936399999999999</v>
      </c>
      <c r="H1607">
        <v>1.0068779999999999</v>
      </c>
      <c r="I1607">
        <v>1</v>
      </c>
      <c r="J1607" s="156">
        <v>1</v>
      </c>
      <c r="K1607">
        <v>1</v>
      </c>
      <c r="L1607">
        <v>1</v>
      </c>
      <c r="M1607">
        <v>1</v>
      </c>
      <c r="N1607">
        <v>1.0068779999999999</v>
      </c>
    </row>
    <row r="1608" spans="1:14" x14ac:dyDescent="0.35">
      <c r="A1608" s="156" t="s">
        <v>542</v>
      </c>
      <c r="B1608" s="52">
        <v>44965</v>
      </c>
      <c r="C1608" s="156" t="s">
        <v>531</v>
      </c>
      <c r="D1608" s="156" t="s">
        <v>531</v>
      </c>
      <c r="E1608">
        <v>2711950</v>
      </c>
      <c r="F1608">
        <v>139172.16699999999</v>
      </c>
      <c r="G1608">
        <v>52.206899999999997</v>
      </c>
      <c r="H1608">
        <v>0.98197299999999998</v>
      </c>
      <c r="I1608">
        <v>1</v>
      </c>
      <c r="J1608" s="156">
        <v>1</v>
      </c>
      <c r="K1608">
        <v>1</v>
      </c>
      <c r="L1608">
        <v>1</v>
      </c>
      <c r="M1608">
        <v>1</v>
      </c>
      <c r="N1608">
        <v>0.98197299999999998</v>
      </c>
    </row>
    <row r="1609" spans="1:14" x14ac:dyDescent="0.35">
      <c r="A1609" s="156" t="s">
        <v>542</v>
      </c>
      <c r="B1609" s="52">
        <v>44966</v>
      </c>
      <c r="C1609" s="156" t="s">
        <v>531</v>
      </c>
      <c r="D1609" s="156" t="s">
        <v>531</v>
      </c>
      <c r="E1609">
        <v>3587902</v>
      </c>
      <c r="F1609">
        <v>180258.12239999999</v>
      </c>
      <c r="G1609">
        <v>50.855400000000003</v>
      </c>
      <c r="H1609">
        <v>0.96386499999999997</v>
      </c>
      <c r="I1609">
        <v>1</v>
      </c>
      <c r="J1609" s="156">
        <v>1</v>
      </c>
      <c r="K1609">
        <v>1</v>
      </c>
      <c r="L1609">
        <v>1</v>
      </c>
      <c r="M1609">
        <v>1</v>
      </c>
      <c r="N1609">
        <v>0.96386499999999997</v>
      </c>
    </row>
    <row r="1610" spans="1:14" x14ac:dyDescent="0.35">
      <c r="A1610" s="156" t="s">
        <v>542</v>
      </c>
      <c r="B1610" s="52">
        <v>44967</v>
      </c>
      <c r="C1610" s="156" t="s">
        <v>531</v>
      </c>
      <c r="D1610" s="156" t="s">
        <v>531</v>
      </c>
      <c r="E1610">
        <v>3559950</v>
      </c>
      <c r="F1610">
        <v>173509.4259</v>
      </c>
      <c r="G1610">
        <v>48.787799999999997</v>
      </c>
      <c r="H1610">
        <v>0.97614299999999998</v>
      </c>
      <c r="I1610">
        <v>1</v>
      </c>
      <c r="J1610" s="156">
        <v>1</v>
      </c>
      <c r="K1610">
        <v>1</v>
      </c>
      <c r="L1610">
        <v>1</v>
      </c>
      <c r="M1610">
        <v>1</v>
      </c>
      <c r="N1610">
        <v>0.97614299999999998</v>
      </c>
    </row>
    <row r="1611" spans="1:14" x14ac:dyDescent="0.35">
      <c r="A1611" s="156" t="s">
        <v>542</v>
      </c>
      <c r="B1611" s="52">
        <v>44970</v>
      </c>
      <c r="C1611" s="156" t="s">
        <v>531</v>
      </c>
      <c r="D1611" s="156" t="s">
        <v>531</v>
      </c>
      <c r="E1611">
        <v>4577327</v>
      </c>
      <c r="F1611">
        <v>218461.42449999999</v>
      </c>
      <c r="G1611">
        <v>48.7879</v>
      </c>
      <c r="H1611">
        <v>0.99876799999999999</v>
      </c>
      <c r="I1611">
        <v>1</v>
      </c>
      <c r="J1611" s="156">
        <v>1</v>
      </c>
      <c r="K1611">
        <v>1</v>
      </c>
      <c r="L1611">
        <v>1</v>
      </c>
      <c r="M1611">
        <v>1</v>
      </c>
      <c r="N1611">
        <v>0.99876799999999999</v>
      </c>
    </row>
    <row r="1612" spans="1:14" x14ac:dyDescent="0.35">
      <c r="A1612" s="156" t="s">
        <v>542</v>
      </c>
      <c r="B1612" s="52">
        <v>44971</v>
      </c>
      <c r="C1612" s="156" t="s">
        <v>531</v>
      </c>
      <c r="D1612" s="156" t="s">
        <v>531</v>
      </c>
      <c r="E1612">
        <v>6354504</v>
      </c>
      <c r="F1612">
        <v>307192.55670000002</v>
      </c>
      <c r="G1612">
        <v>49.6402</v>
      </c>
      <c r="H1612">
        <v>1.026527</v>
      </c>
      <c r="I1612">
        <v>1</v>
      </c>
      <c r="J1612" s="156">
        <v>1</v>
      </c>
      <c r="K1612">
        <v>1</v>
      </c>
      <c r="L1612">
        <v>1</v>
      </c>
      <c r="M1612">
        <v>1</v>
      </c>
      <c r="N1612">
        <v>1.026527</v>
      </c>
    </row>
    <row r="1613" spans="1:14" x14ac:dyDescent="0.35">
      <c r="A1613" s="156" t="s">
        <v>542</v>
      </c>
      <c r="B1613" s="52">
        <v>44972</v>
      </c>
      <c r="C1613" s="156" t="s">
        <v>531</v>
      </c>
      <c r="D1613" s="156" t="s">
        <v>531</v>
      </c>
      <c r="E1613">
        <v>33435367</v>
      </c>
      <c r="F1613">
        <v>2097605.0554999998</v>
      </c>
      <c r="G1613">
        <v>62.962800000000001</v>
      </c>
      <c r="H1613">
        <v>1.328125</v>
      </c>
      <c r="I1613">
        <v>1</v>
      </c>
      <c r="J1613" s="156">
        <v>1</v>
      </c>
      <c r="K1613">
        <v>1</v>
      </c>
      <c r="L1613">
        <v>1</v>
      </c>
      <c r="M1613">
        <v>1</v>
      </c>
      <c r="N1613">
        <v>1.328125</v>
      </c>
    </row>
    <row r="1614" spans="1:14" x14ac:dyDescent="0.35">
      <c r="A1614" s="156" t="s">
        <v>542</v>
      </c>
      <c r="B1614" s="52">
        <v>44973</v>
      </c>
      <c r="C1614" s="156" t="s">
        <v>531</v>
      </c>
      <c r="D1614" s="156" t="s">
        <v>531</v>
      </c>
      <c r="E1614">
        <v>11457061</v>
      </c>
      <c r="F1614">
        <v>730202.61809999996</v>
      </c>
      <c r="G1614">
        <v>63.905099999999997</v>
      </c>
      <c r="H1614">
        <v>0.95128199999999996</v>
      </c>
      <c r="I1614">
        <v>1</v>
      </c>
      <c r="J1614" s="156">
        <v>1</v>
      </c>
      <c r="K1614">
        <v>1</v>
      </c>
      <c r="L1614">
        <v>1</v>
      </c>
      <c r="M1614">
        <v>1</v>
      </c>
      <c r="N1614">
        <v>0.95128199999999996</v>
      </c>
    </row>
    <row r="1615" spans="1:14" x14ac:dyDescent="0.35">
      <c r="A1615" s="156" t="s">
        <v>542</v>
      </c>
      <c r="B1615" s="52">
        <v>44974</v>
      </c>
      <c r="C1615" s="156" t="s">
        <v>531</v>
      </c>
      <c r="D1615" s="156" t="s">
        <v>531</v>
      </c>
      <c r="E1615">
        <v>8217262</v>
      </c>
      <c r="F1615">
        <v>495838.70939999999</v>
      </c>
      <c r="G1615">
        <v>61.170900000000003</v>
      </c>
      <c r="H1615">
        <v>0.95608099999999996</v>
      </c>
      <c r="I1615">
        <v>1</v>
      </c>
      <c r="J1615" s="156">
        <v>1</v>
      </c>
      <c r="K1615">
        <v>1</v>
      </c>
      <c r="L1615">
        <v>1</v>
      </c>
      <c r="M1615">
        <v>1</v>
      </c>
      <c r="N1615">
        <v>0.95608099999999996</v>
      </c>
    </row>
    <row r="1616" spans="1:14" x14ac:dyDescent="0.35">
      <c r="A1616" s="156" t="s">
        <v>542</v>
      </c>
      <c r="B1616" s="52">
        <v>44978</v>
      </c>
      <c r="C1616" s="156" t="s">
        <v>531</v>
      </c>
      <c r="D1616" s="156" t="s">
        <v>531</v>
      </c>
      <c r="E1616">
        <v>6998640</v>
      </c>
      <c r="F1616">
        <v>399559.14809999999</v>
      </c>
      <c r="G1616">
        <v>57.1509</v>
      </c>
      <c r="H1616">
        <v>0.94112799999999996</v>
      </c>
      <c r="I1616">
        <v>1</v>
      </c>
      <c r="J1616" s="156">
        <v>1</v>
      </c>
      <c r="K1616">
        <v>1</v>
      </c>
      <c r="L1616">
        <v>1</v>
      </c>
      <c r="M1616">
        <v>1</v>
      </c>
      <c r="N1616">
        <v>0.94112799999999996</v>
      </c>
    </row>
    <row r="1617" spans="1:14" x14ac:dyDescent="0.35">
      <c r="A1617" s="156" t="s">
        <v>542</v>
      </c>
      <c r="B1617" s="52">
        <v>44979</v>
      </c>
      <c r="C1617" s="156" t="s">
        <v>531</v>
      </c>
      <c r="D1617" s="156" t="s">
        <v>531</v>
      </c>
      <c r="E1617">
        <v>5325776</v>
      </c>
      <c r="F1617">
        <v>300556.44520000002</v>
      </c>
      <c r="G1617">
        <v>56.6965</v>
      </c>
      <c r="H1617">
        <v>0.99400900000000003</v>
      </c>
      <c r="I1617">
        <v>1</v>
      </c>
      <c r="J1617" s="156">
        <v>1</v>
      </c>
      <c r="K1617">
        <v>1</v>
      </c>
      <c r="L1617">
        <v>1</v>
      </c>
      <c r="M1617">
        <v>1</v>
      </c>
      <c r="N1617">
        <v>0.99400900000000003</v>
      </c>
    </row>
    <row r="1618" spans="1:14" x14ac:dyDescent="0.35">
      <c r="A1618" s="156" t="s">
        <v>542</v>
      </c>
      <c r="B1618" s="52">
        <v>44980</v>
      </c>
      <c r="C1618" s="156" t="s">
        <v>531</v>
      </c>
      <c r="D1618" s="156" t="s">
        <v>531</v>
      </c>
      <c r="E1618">
        <v>4683395</v>
      </c>
      <c r="F1618">
        <v>261931.85140000001</v>
      </c>
      <c r="G1618">
        <v>56.030299999999997</v>
      </c>
      <c r="H1618">
        <v>0.99716400000000005</v>
      </c>
      <c r="I1618">
        <v>1</v>
      </c>
      <c r="J1618" s="156">
        <v>1</v>
      </c>
      <c r="K1618">
        <v>1</v>
      </c>
      <c r="L1618">
        <v>1</v>
      </c>
      <c r="M1618">
        <v>1</v>
      </c>
      <c r="N1618">
        <v>0.99716400000000005</v>
      </c>
    </row>
    <row r="1619" spans="1:14" x14ac:dyDescent="0.35">
      <c r="A1619" s="156" t="s">
        <v>542</v>
      </c>
      <c r="B1619" s="52">
        <v>44981</v>
      </c>
      <c r="C1619" s="156" t="s">
        <v>531</v>
      </c>
      <c r="D1619" s="156" t="s">
        <v>531</v>
      </c>
      <c r="E1619">
        <v>3960492</v>
      </c>
      <c r="F1619">
        <v>216637.84909999999</v>
      </c>
      <c r="G1619">
        <v>54.785899999999998</v>
      </c>
      <c r="H1619">
        <v>0.977244</v>
      </c>
      <c r="I1619">
        <v>1</v>
      </c>
      <c r="J1619" s="156">
        <v>1</v>
      </c>
      <c r="K1619">
        <v>1</v>
      </c>
      <c r="L1619">
        <v>1</v>
      </c>
      <c r="M1619">
        <v>1</v>
      </c>
      <c r="N1619">
        <v>0.977244</v>
      </c>
    </row>
    <row r="1620" spans="1:14" x14ac:dyDescent="0.35">
      <c r="A1620" s="156" t="s">
        <v>542</v>
      </c>
      <c r="B1620" s="52">
        <v>44984</v>
      </c>
      <c r="C1620" s="156" t="s">
        <v>531</v>
      </c>
      <c r="D1620" s="156" t="s">
        <v>531</v>
      </c>
      <c r="E1620">
        <v>3238220</v>
      </c>
      <c r="F1620">
        <v>177226.27619999999</v>
      </c>
      <c r="G1620">
        <v>55.071399999999997</v>
      </c>
      <c r="H1620">
        <v>1.0020009999999999</v>
      </c>
      <c r="I1620">
        <v>1</v>
      </c>
      <c r="J1620" s="156">
        <v>1</v>
      </c>
      <c r="K1620">
        <v>1</v>
      </c>
      <c r="L1620">
        <v>1</v>
      </c>
      <c r="M1620">
        <v>1</v>
      </c>
      <c r="N1620">
        <v>1.0020009999999999</v>
      </c>
    </row>
    <row r="1621" spans="1:14" x14ac:dyDescent="0.35">
      <c r="A1621" s="156" t="s">
        <v>542</v>
      </c>
      <c r="B1621" s="52">
        <v>44985</v>
      </c>
      <c r="C1621" s="156" t="s">
        <v>531</v>
      </c>
      <c r="D1621" s="156" t="s">
        <v>531</v>
      </c>
      <c r="E1621">
        <v>4048490</v>
      </c>
      <c r="F1621">
        <v>227229.9327</v>
      </c>
      <c r="G1621">
        <v>56.229300000000002</v>
      </c>
      <c r="H1621">
        <v>1.0159769999999999</v>
      </c>
      <c r="I1621">
        <v>1</v>
      </c>
      <c r="J1621" s="156">
        <v>1</v>
      </c>
      <c r="K1621">
        <v>1</v>
      </c>
      <c r="L1621">
        <v>1</v>
      </c>
      <c r="M1621">
        <v>1</v>
      </c>
      <c r="N1621">
        <v>1.0159769999999999</v>
      </c>
    </row>
    <row r="1622" spans="1:14" x14ac:dyDescent="0.35">
      <c r="A1622" s="156" t="s">
        <v>542</v>
      </c>
      <c r="B1622" s="52">
        <v>44986</v>
      </c>
      <c r="C1622" s="156" t="s">
        <v>531</v>
      </c>
      <c r="D1622" s="156" t="s">
        <v>531</v>
      </c>
      <c r="E1622">
        <v>2983139</v>
      </c>
      <c r="F1622">
        <v>165847.81289999999</v>
      </c>
      <c r="G1622">
        <v>55.695</v>
      </c>
      <c r="H1622">
        <v>0.99017200000000005</v>
      </c>
      <c r="I1622">
        <v>1</v>
      </c>
      <c r="J1622" s="156">
        <v>1</v>
      </c>
      <c r="K1622">
        <v>1</v>
      </c>
      <c r="L1622">
        <v>1</v>
      </c>
      <c r="M1622">
        <v>1</v>
      </c>
      <c r="N1622">
        <v>0.99017200000000005</v>
      </c>
    </row>
    <row r="1623" spans="1:14" x14ac:dyDescent="0.35">
      <c r="A1623" s="156" t="s">
        <v>542</v>
      </c>
      <c r="B1623" s="52">
        <v>44987</v>
      </c>
      <c r="C1623" s="156" t="s">
        <v>531</v>
      </c>
      <c r="D1623" s="156" t="s">
        <v>531</v>
      </c>
      <c r="E1623">
        <v>3186904</v>
      </c>
      <c r="F1623">
        <v>176789.0955</v>
      </c>
      <c r="G1623">
        <v>55.669800000000002</v>
      </c>
      <c r="H1623">
        <v>1.0176860000000001</v>
      </c>
      <c r="I1623">
        <v>1</v>
      </c>
      <c r="J1623" s="156">
        <v>1</v>
      </c>
      <c r="K1623">
        <v>1</v>
      </c>
      <c r="L1623">
        <v>1</v>
      </c>
      <c r="M1623">
        <v>1</v>
      </c>
      <c r="N1623">
        <v>1.0176860000000001</v>
      </c>
    </row>
    <row r="1624" spans="1:14" x14ac:dyDescent="0.35">
      <c r="A1624" s="156" t="s">
        <v>542</v>
      </c>
      <c r="B1624" s="52">
        <v>44988</v>
      </c>
      <c r="C1624" s="156" t="s">
        <v>531</v>
      </c>
      <c r="D1624" s="156" t="s">
        <v>531</v>
      </c>
      <c r="E1624">
        <v>3818560</v>
      </c>
      <c r="F1624">
        <v>218020.9743</v>
      </c>
      <c r="G1624">
        <v>57.186900000000001</v>
      </c>
      <c r="H1624">
        <v>1.01596</v>
      </c>
      <c r="I1624">
        <v>1</v>
      </c>
      <c r="J1624" s="156">
        <v>1</v>
      </c>
      <c r="K1624">
        <v>1</v>
      </c>
      <c r="L1624">
        <v>1</v>
      </c>
      <c r="M1624">
        <v>1</v>
      </c>
      <c r="N1624">
        <v>1.01596</v>
      </c>
    </row>
    <row r="1625" spans="1:14" x14ac:dyDescent="0.35">
      <c r="A1625" s="156" t="s">
        <v>542</v>
      </c>
      <c r="B1625" s="52">
        <v>44991</v>
      </c>
      <c r="C1625" s="156" t="s">
        <v>531</v>
      </c>
      <c r="D1625" s="156" t="s">
        <v>531</v>
      </c>
      <c r="E1625">
        <v>3460950</v>
      </c>
      <c r="F1625">
        <v>198683.51939999999</v>
      </c>
      <c r="G1625">
        <v>57.5291</v>
      </c>
      <c r="H1625">
        <v>0.99197100000000005</v>
      </c>
      <c r="I1625">
        <v>1</v>
      </c>
      <c r="J1625" s="156">
        <v>1</v>
      </c>
      <c r="K1625">
        <v>1</v>
      </c>
      <c r="L1625">
        <v>1</v>
      </c>
      <c r="M1625">
        <v>1</v>
      </c>
      <c r="N1625">
        <v>0.99197100000000005</v>
      </c>
    </row>
    <row r="1626" spans="1:14" x14ac:dyDescent="0.35">
      <c r="A1626" s="156" t="s">
        <v>542</v>
      </c>
      <c r="B1626" s="52">
        <v>44992</v>
      </c>
      <c r="C1626" s="156" t="s">
        <v>531</v>
      </c>
      <c r="D1626" s="156" t="s">
        <v>531</v>
      </c>
      <c r="E1626">
        <v>3546480</v>
      </c>
      <c r="F1626">
        <v>205127.2395</v>
      </c>
      <c r="G1626">
        <v>57.871699999999997</v>
      </c>
      <c r="H1626">
        <v>1.0142530000000001</v>
      </c>
      <c r="I1626">
        <v>1</v>
      </c>
      <c r="J1626" s="156">
        <v>1</v>
      </c>
      <c r="K1626">
        <v>1</v>
      </c>
      <c r="L1626">
        <v>1</v>
      </c>
      <c r="M1626">
        <v>1</v>
      </c>
      <c r="N1626">
        <v>1.0142530000000001</v>
      </c>
    </row>
    <row r="1627" spans="1:14" x14ac:dyDescent="0.35">
      <c r="A1627" s="156" t="s">
        <v>542</v>
      </c>
      <c r="B1627" s="52">
        <v>44993</v>
      </c>
      <c r="C1627" s="156" t="s">
        <v>531</v>
      </c>
      <c r="D1627" s="156" t="s">
        <v>531</v>
      </c>
      <c r="E1627">
        <v>4304826</v>
      </c>
      <c r="F1627">
        <v>250052.46780000001</v>
      </c>
      <c r="G1627">
        <v>58.192799999999998</v>
      </c>
      <c r="H1627">
        <v>1.010062</v>
      </c>
      <c r="I1627">
        <v>1</v>
      </c>
      <c r="J1627" s="156">
        <v>1</v>
      </c>
      <c r="K1627">
        <v>1</v>
      </c>
      <c r="L1627">
        <v>1</v>
      </c>
      <c r="M1627">
        <v>1</v>
      </c>
      <c r="N1627">
        <v>1.010062</v>
      </c>
    </row>
    <row r="1628" spans="1:14" x14ac:dyDescent="0.35">
      <c r="A1628" s="156" t="s">
        <v>542</v>
      </c>
      <c r="B1628" s="52">
        <v>44994</v>
      </c>
      <c r="C1628" s="156" t="s">
        <v>531</v>
      </c>
      <c r="D1628" s="156" t="s">
        <v>531</v>
      </c>
      <c r="E1628">
        <v>6016954</v>
      </c>
      <c r="F1628">
        <v>344505.897</v>
      </c>
      <c r="G1628">
        <v>57.306800000000003</v>
      </c>
      <c r="H1628">
        <v>0.95774599999999999</v>
      </c>
      <c r="I1628">
        <v>1</v>
      </c>
      <c r="J1628" s="156">
        <v>1</v>
      </c>
      <c r="K1628">
        <v>1</v>
      </c>
      <c r="L1628">
        <v>1</v>
      </c>
      <c r="M1628">
        <v>1</v>
      </c>
      <c r="N1628">
        <v>0.95774599999999999</v>
      </c>
    </row>
    <row r="1629" spans="1:14" x14ac:dyDescent="0.35">
      <c r="A1629" s="156" t="s">
        <v>542</v>
      </c>
      <c r="B1629" s="52">
        <v>44995</v>
      </c>
      <c r="C1629" s="156" t="s">
        <v>531</v>
      </c>
      <c r="D1629" s="156" t="s">
        <v>531</v>
      </c>
      <c r="E1629">
        <v>4469788</v>
      </c>
      <c r="F1629">
        <v>239858.3793</v>
      </c>
      <c r="G1629">
        <v>53.717700000000001</v>
      </c>
      <c r="H1629">
        <v>0.95677900000000005</v>
      </c>
      <c r="I1629">
        <v>1</v>
      </c>
      <c r="J1629" s="156">
        <v>1</v>
      </c>
      <c r="K1629">
        <v>1</v>
      </c>
      <c r="L1629">
        <v>1</v>
      </c>
      <c r="M1629">
        <v>1</v>
      </c>
      <c r="N1629">
        <v>0.95677900000000005</v>
      </c>
    </row>
    <row r="1630" spans="1:14" x14ac:dyDescent="0.35">
      <c r="A1630" s="156" t="s">
        <v>542</v>
      </c>
      <c r="B1630" s="52">
        <v>44998</v>
      </c>
      <c r="C1630" s="156" t="s">
        <v>531</v>
      </c>
      <c r="D1630" s="156" t="s">
        <v>531</v>
      </c>
      <c r="E1630">
        <v>3518392</v>
      </c>
      <c r="F1630">
        <v>188258.4847</v>
      </c>
      <c r="G1630">
        <v>53.4651</v>
      </c>
      <c r="H1630">
        <v>1.0168699999999999</v>
      </c>
      <c r="I1630">
        <v>1</v>
      </c>
      <c r="J1630" s="156">
        <v>1</v>
      </c>
      <c r="K1630">
        <v>1</v>
      </c>
      <c r="L1630">
        <v>1</v>
      </c>
      <c r="M1630">
        <v>1</v>
      </c>
      <c r="N1630">
        <v>1.0168699999999999</v>
      </c>
    </row>
    <row r="1631" spans="1:14" x14ac:dyDescent="0.35">
      <c r="A1631" s="156" t="s">
        <v>542</v>
      </c>
      <c r="B1631" s="52">
        <v>44999</v>
      </c>
      <c r="C1631" s="156" t="s">
        <v>531</v>
      </c>
      <c r="D1631" s="156" t="s">
        <v>531</v>
      </c>
      <c r="E1631">
        <v>3729435</v>
      </c>
      <c r="F1631">
        <v>209831.17240000001</v>
      </c>
      <c r="G1631">
        <v>56.3429</v>
      </c>
      <c r="H1631">
        <v>1.042028</v>
      </c>
      <c r="I1631">
        <v>1</v>
      </c>
      <c r="J1631" s="156">
        <v>1</v>
      </c>
      <c r="K1631">
        <v>1</v>
      </c>
      <c r="L1631">
        <v>1</v>
      </c>
      <c r="M1631">
        <v>1</v>
      </c>
      <c r="N1631">
        <v>1.042028</v>
      </c>
    </row>
    <row r="1632" spans="1:14" x14ac:dyDescent="0.35">
      <c r="A1632" s="156" t="s">
        <v>542</v>
      </c>
      <c r="B1632" s="52">
        <v>45000</v>
      </c>
      <c r="C1632" s="156" t="s">
        <v>531</v>
      </c>
      <c r="D1632" s="156" t="s">
        <v>531</v>
      </c>
      <c r="E1632">
        <v>3713219</v>
      </c>
      <c r="F1632">
        <v>203533.0355</v>
      </c>
      <c r="G1632">
        <v>55.286900000000003</v>
      </c>
      <c r="H1632">
        <v>0.97452700000000003</v>
      </c>
      <c r="I1632">
        <v>1</v>
      </c>
      <c r="J1632" s="156">
        <v>1</v>
      </c>
      <c r="K1632">
        <v>1</v>
      </c>
      <c r="L1632">
        <v>1</v>
      </c>
      <c r="M1632">
        <v>1</v>
      </c>
      <c r="N1632">
        <v>0.97452700000000003</v>
      </c>
    </row>
    <row r="1633" spans="1:14" x14ac:dyDescent="0.35">
      <c r="A1633" s="156" t="s">
        <v>542</v>
      </c>
      <c r="B1633" s="52">
        <v>45001</v>
      </c>
      <c r="C1633" s="156" t="s">
        <v>531</v>
      </c>
      <c r="D1633" s="156" t="s">
        <v>531</v>
      </c>
      <c r="E1633">
        <v>4161172</v>
      </c>
      <c r="F1633">
        <v>240722.72560000001</v>
      </c>
      <c r="G1633">
        <v>57.946800000000003</v>
      </c>
      <c r="H1633">
        <v>1.068797</v>
      </c>
      <c r="I1633">
        <v>1</v>
      </c>
      <c r="J1633" s="156">
        <v>1</v>
      </c>
      <c r="K1633">
        <v>1</v>
      </c>
      <c r="L1633">
        <v>1</v>
      </c>
      <c r="M1633">
        <v>1</v>
      </c>
      <c r="N1633">
        <v>1.068797</v>
      </c>
    </row>
    <row r="1634" spans="1:14" x14ac:dyDescent="0.35">
      <c r="A1634" s="156" t="s">
        <v>542</v>
      </c>
      <c r="B1634" s="52">
        <v>45002</v>
      </c>
      <c r="C1634" s="156" t="s">
        <v>531</v>
      </c>
      <c r="D1634" s="156" t="s">
        <v>531</v>
      </c>
      <c r="E1634">
        <v>4666086</v>
      </c>
      <c r="F1634">
        <v>270545.8186</v>
      </c>
      <c r="G1634">
        <v>58.222700000000003</v>
      </c>
      <c r="H1634">
        <v>0.99371600000000004</v>
      </c>
      <c r="I1634">
        <v>1</v>
      </c>
      <c r="J1634" s="156">
        <v>1</v>
      </c>
      <c r="K1634">
        <v>1</v>
      </c>
      <c r="L1634">
        <v>1</v>
      </c>
      <c r="M1634">
        <v>1</v>
      </c>
      <c r="N1634">
        <v>0.99371600000000004</v>
      </c>
    </row>
    <row r="1635" spans="1:14" x14ac:dyDescent="0.35">
      <c r="A1635" s="156" t="s">
        <v>542</v>
      </c>
      <c r="B1635" s="52">
        <v>45005</v>
      </c>
      <c r="C1635" s="156" t="s">
        <v>531</v>
      </c>
      <c r="D1635" s="156" t="s">
        <v>531</v>
      </c>
      <c r="E1635">
        <v>2970799</v>
      </c>
      <c r="F1635">
        <v>169686.3939</v>
      </c>
      <c r="G1635">
        <v>57.143300000000004</v>
      </c>
      <c r="H1635">
        <v>0.97145800000000004</v>
      </c>
      <c r="I1635">
        <v>1</v>
      </c>
      <c r="J1635" s="156">
        <v>1</v>
      </c>
      <c r="K1635">
        <v>1</v>
      </c>
      <c r="L1635">
        <v>1</v>
      </c>
      <c r="M1635">
        <v>1</v>
      </c>
      <c r="N1635">
        <v>0.97145800000000004</v>
      </c>
    </row>
    <row r="1636" spans="1:14" x14ac:dyDescent="0.35">
      <c r="A1636" s="156" t="s">
        <v>542</v>
      </c>
      <c r="B1636" s="52">
        <v>45006</v>
      </c>
      <c r="C1636" s="156" t="s">
        <v>531</v>
      </c>
      <c r="D1636" s="156" t="s">
        <v>531</v>
      </c>
      <c r="E1636">
        <v>2755475</v>
      </c>
      <c r="F1636">
        <v>156175.2634</v>
      </c>
      <c r="G1636">
        <v>58.926499999999997</v>
      </c>
      <c r="H1636">
        <v>1.042224</v>
      </c>
      <c r="I1636">
        <v>1</v>
      </c>
      <c r="J1636" s="156">
        <v>1</v>
      </c>
      <c r="K1636">
        <v>1</v>
      </c>
      <c r="L1636">
        <v>1</v>
      </c>
      <c r="M1636">
        <v>1</v>
      </c>
      <c r="N1636">
        <v>1.042224</v>
      </c>
    </row>
    <row r="1637" spans="1:14" x14ac:dyDescent="0.35">
      <c r="A1637" s="156" t="s">
        <v>542</v>
      </c>
      <c r="B1637" s="52">
        <v>45007</v>
      </c>
      <c r="C1637" s="156" t="s">
        <v>531</v>
      </c>
      <c r="D1637" s="156" t="s">
        <v>531</v>
      </c>
      <c r="E1637">
        <v>2384836</v>
      </c>
      <c r="F1637">
        <v>137915.81280000001</v>
      </c>
      <c r="G1637">
        <v>58.797899999999998</v>
      </c>
      <c r="H1637">
        <v>0.97721100000000005</v>
      </c>
      <c r="I1637">
        <v>1</v>
      </c>
      <c r="J1637" s="156">
        <v>1</v>
      </c>
      <c r="K1637">
        <v>1</v>
      </c>
      <c r="L1637">
        <v>1</v>
      </c>
      <c r="M1637">
        <v>1</v>
      </c>
      <c r="N1637">
        <v>0.97721100000000005</v>
      </c>
    </row>
    <row r="1638" spans="1:14" x14ac:dyDescent="0.35">
      <c r="A1638" s="156" t="s">
        <v>542</v>
      </c>
      <c r="B1638" s="52">
        <v>45008</v>
      </c>
      <c r="C1638" s="156" t="s">
        <v>531</v>
      </c>
      <c r="D1638" s="156" t="s">
        <v>531</v>
      </c>
      <c r="E1638">
        <v>4035349</v>
      </c>
      <c r="F1638">
        <v>239840.1361</v>
      </c>
      <c r="G1638">
        <v>60.620699999999999</v>
      </c>
      <c r="H1638">
        <v>1.039731</v>
      </c>
      <c r="I1638">
        <v>1</v>
      </c>
      <c r="J1638" s="156">
        <v>1</v>
      </c>
      <c r="K1638">
        <v>1</v>
      </c>
      <c r="L1638">
        <v>1</v>
      </c>
      <c r="M1638">
        <v>1</v>
      </c>
      <c r="N1638">
        <v>1.039731</v>
      </c>
    </row>
    <row r="1639" spans="1:14" x14ac:dyDescent="0.35">
      <c r="A1639" s="156" t="s">
        <v>542</v>
      </c>
      <c r="B1639" s="52">
        <v>45009</v>
      </c>
      <c r="C1639" s="156" t="s">
        <v>531</v>
      </c>
      <c r="D1639" s="156" t="s">
        <v>531</v>
      </c>
      <c r="E1639">
        <v>2808502</v>
      </c>
      <c r="F1639">
        <v>167968.63329999999</v>
      </c>
      <c r="G1639">
        <v>59.838200000000001</v>
      </c>
      <c r="H1639">
        <v>1.0043200000000001</v>
      </c>
      <c r="I1639">
        <v>1</v>
      </c>
      <c r="J1639" s="156">
        <v>1</v>
      </c>
      <c r="K1639">
        <v>1</v>
      </c>
      <c r="L1639">
        <v>1</v>
      </c>
      <c r="M1639">
        <v>1</v>
      </c>
      <c r="N1639">
        <v>1.0043200000000001</v>
      </c>
    </row>
    <row r="1640" spans="1:14" x14ac:dyDescent="0.35">
      <c r="A1640" s="156" t="s">
        <v>542</v>
      </c>
      <c r="B1640" s="52">
        <v>45012</v>
      </c>
      <c r="C1640" s="156" t="s">
        <v>531</v>
      </c>
      <c r="D1640" s="156" t="s">
        <v>531</v>
      </c>
      <c r="E1640">
        <v>4109681</v>
      </c>
      <c r="F1640">
        <v>228754.04730000001</v>
      </c>
      <c r="G1640">
        <v>60.320900000000002</v>
      </c>
      <c r="H1640">
        <v>0.99090199999999995</v>
      </c>
      <c r="I1640">
        <v>1</v>
      </c>
      <c r="J1640" s="156">
        <v>1</v>
      </c>
      <c r="K1640">
        <v>1</v>
      </c>
      <c r="L1640">
        <v>1</v>
      </c>
      <c r="M1640">
        <v>1</v>
      </c>
      <c r="N1640">
        <v>0.99090199999999995</v>
      </c>
    </row>
    <row r="1641" spans="1:14" x14ac:dyDescent="0.35">
      <c r="A1641" s="156" t="s">
        <v>542</v>
      </c>
      <c r="B1641" s="52">
        <v>45013</v>
      </c>
      <c r="C1641" s="156" t="s">
        <v>531</v>
      </c>
      <c r="D1641" s="156" t="s">
        <v>531</v>
      </c>
      <c r="E1641">
        <v>2829110</v>
      </c>
      <c r="F1641">
        <v>164975.06659999999</v>
      </c>
      <c r="G1641">
        <v>58.784799999999997</v>
      </c>
      <c r="H1641">
        <v>0.97228700000000001</v>
      </c>
      <c r="I1641">
        <v>1</v>
      </c>
      <c r="J1641" s="156">
        <v>1</v>
      </c>
      <c r="K1641">
        <v>1</v>
      </c>
      <c r="L1641">
        <v>1</v>
      </c>
      <c r="M1641">
        <v>1</v>
      </c>
      <c r="N1641">
        <v>0.97228700000000001</v>
      </c>
    </row>
    <row r="1642" spans="1:14" x14ac:dyDescent="0.35">
      <c r="A1642" s="156" t="s">
        <v>542</v>
      </c>
      <c r="B1642" s="52">
        <v>45014</v>
      </c>
      <c r="C1642" s="156" t="s">
        <v>531</v>
      </c>
      <c r="D1642" s="156" t="s">
        <v>531</v>
      </c>
      <c r="E1642">
        <v>2476001</v>
      </c>
      <c r="F1642">
        <v>146153.85089999999</v>
      </c>
      <c r="G1642">
        <v>59.377899999999997</v>
      </c>
      <c r="H1642">
        <v>1.0274730000000001</v>
      </c>
      <c r="I1642">
        <v>1</v>
      </c>
      <c r="J1642" s="156">
        <v>1</v>
      </c>
      <c r="K1642">
        <v>1</v>
      </c>
      <c r="L1642">
        <v>1</v>
      </c>
      <c r="M1642">
        <v>1</v>
      </c>
      <c r="N1642">
        <v>1.0274730000000001</v>
      </c>
    </row>
    <row r="1643" spans="1:14" x14ac:dyDescent="0.35">
      <c r="A1643" s="156" t="s">
        <v>542</v>
      </c>
      <c r="B1643" s="52">
        <v>45015</v>
      </c>
      <c r="C1643" s="156" t="s">
        <v>531</v>
      </c>
      <c r="D1643" s="156" t="s">
        <v>531</v>
      </c>
      <c r="E1643">
        <v>2505536</v>
      </c>
      <c r="F1643">
        <v>150216.76490000001</v>
      </c>
      <c r="G1643">
        <v>60.196599999999997</v>
      </c>
      <c r="H1643">
        <v>1.004178</v>
      </c>
      <c r="I1643">
        <v>1</v>
      </c>
      <c r="J1643" s="156">
        <v>1</v>
      </c>
      <c r="K1643">
        <v>1</v>
      </c>
      <c r="L1643">
        <v>1</v>
      </c>
      <c r="M1643">
        <v>1</v>
      </c>
      <c r="N1643">
        <v>1.004178</v>
      </c>
    </row>
    <row r="1644" spans="1:14" x14ac:dyDescent="0.35">
      <c r="A1644" s="156" t="s">
        <v>542</v>
      </c>
      <c r="B1644" s="52">
        <v>45016</v>
      </c>
      <c r="C1644" s="156" t="s">
        <v>531</v>
      </c>
      <c r="D1644" s="156" t="s">
        <v>531</v>
      </c>
      <c r="E1644">
        <v>3407196</v>
      </c>
      <c r="F1644">
        <v>205966.9651</v>
      </c>
      <c r="G1644">
        <v>60.722499999999997</v>
      </c>
      <c r="H1644">
        <v>1.013646</v>
      </c>
      <c r="I1644">
        <v>1</v>
      </c>
      <c r="J1644" s="156">
        <v>1</v>
      </c>
      <c r="K1644">
        <v>1</v>
      </c>
      <c r="L1644">
        <v>1</v>
      </c>
      <c r="M1644">
        <v>1</v>
      </c>
      <c r="N1644">
        <v>1.013646</v>
      </c>
    </row>
    <row r="1645" spans="1:14" x14ac:dyDescent="0.35">
      <c r="A1645" s="156" t="s">
        <v>542</v>
      </c>
      <c r="B1645" s="52">
        <v>45019</v>
      </c>
      <c r="C1645" s="156" t="s">
        <v>531</v>
      </c>
      <c r="D1645" s="156" t="s">
        <v>531</v>
      </c>
      <c r="E1645">
        <v>2104285</v>
      </c>
      <c r="F1645">
        <v>126147.3542</v>
      </c>
      <c r="G1645">
        <v>60.001199999999997</v>
      </c>
      <c r="H1645">
        <v>0.99261200000000005</v>
      </c>
      <c r="I1645">
        <v>1</v>
      </c>
      <c r="J1645" s="156">
        <v>1</v>
      </c>
      <c r="K1645">
        <v>1</v>
      </c>
      <c r="L1645">
        <v>1</v>
      </c>
      <c r="M1645">
        <v>1</v>
      </c>
      <c r="N1645">
        <v>0.99261200000000005</v>
      </c>
    </row>
    <row r="1646" spans="1:14" x14ac:dyDescent="0.35">
      <c r="A1646" s="156" t="s">
        <v>542</v>
      </c>
      <c r="B1646" s="52">
        <v>45020</v>
      </c>
      <c r="C1646" s="156" t="s">
        <v>531</v>
      </c>
      <c r="D1646" s="156" t="s">
        <v>531</v>
      </c>
      <c r="E1646">
        <v>2121180</v>
      </c>
      <c r="F1646">
        <v>128664.44500000001</v>
      </c>
      <c r="G1646">
        <v>60.7134</v>
      </c>
      <c r="H1646">
        <v>1.0019849999999999</v>
      </c>
      <c r="I1646">
        <v>1</v>
      </c>
      <c r="J1646" s="156">
        <v>1</v>
      </c>
      <c r="K1646">
        <v>1</v>
      </c>
      <c r="L1646">
        <v>1</v>
      </c>
      <c r="M1646">
        <v>1</v>
      </c>
      <c r="N1646">
        <v>1.0019849999999999</v>
      </c>
    </row>
    <row r="1647" spans="1:14" x14ac:dyDescent="0.35">
      <c r="A1647" s="156" t="s">
        <v>542</v>
      </c>
      <c r="B1647" s="52">
        <v>45021</v>
      </c>
      <c r="C1647" s="156" t="s">
        <v>531</v>
      </c>
      <c r="D1647" s="156" t="s">
        <v>531</v>
      </c>
      <c r="E1647">
        <v>2923094</v>
      </c>
      <c r="F1647">
        <v>170735.5931</v>
      </c>
      <c r="G1647">
        <v>58.466200000000001</v>
      </c>
      <c r="H1647">
        <v>0.96797599999999995</v>
      </c>
      <c r="I1647">
        <v>1</v>
      </c>
      <c r="J1647" s="156">
        <v>1</v>
      </c>
      <c r="K1647">
        <v>1</v>
      </c>
      <c r="L1647">
        <v>1</v>
      </c>
      <c r="M1647">
        <v>1</v>
      </c>
      <c r="N1647">
        <v>0.96797599999999995</v>
      </c>
    </row>
    <row r="1648" spans="1:14" x14ac:dyDescent="0.35">
      <c r="A1648" s="156" t="s">
        <v>542</v>
      </c>
      <c r="B1648" s="52">
        <v>45022</v>
      </c>
      <c r="C1648" s="156" t="s">
        <v>531</v>
      </c>
      <c r="D1648" s="156" t="s">
        <v>531</v>
      </c>
      <c r="E1648">
        <v>3240581</v>
      </c>
      <c r="F1648">
        <v>193997.23259999999</v>
      </c>
      <c r="G1648">
        <v>59.917000000000002</v>
      </c>
      <c r="H1648">
        <v>1.0376879999999999</v>
      </c>
      <c r="I1648">
        <v>1</v>
      </c>
      <c r="J1648" s="156">
        <v>1</v>
      </c>
      <c r="K1648">
        <v>1</v>
      </c>
      <c r="L1648">
        <v>1</v>
      </c>
      <c r="M1648">
        <v>1</v>
      </c>
      <c r="N1648">
        <v>1.0376879999999999</v>
      </c>
    </row>
    <row r="1649" spans="1:14" x14ac:dyDescent="0.35">
      <c r="A1649" s="156" t="s">
        <v>542</v>
      </c>
      <c r="B1649" s="52">
        <v>45026</v>
      </c>
      <c r="C1649" s="156" t="s">
        <v>531</v>
      </c>
      <c r="D1649" s="156" t="s">
        <v>531</v>
      </c>
      <c r="E1649">
        <v>3286352</v>
      </c>
      <c r="F1649">
        <v>200488.7886</v>
      </c>
      <c r="G1649">
        <v>61.126399999999997</v>
      </c>
      <c r="H1649">
        <v>1.0110110000000001</v>
      </c>
      <c r="I1649">
        <v>1</v>
      </c>
      <c r="J1649" s="156">
        <v>1</v>
      </c>
      <c r="K1649">
        <v>1</v>
      </c>
      <c r="L1649">
        <v>1</v>
      </c>
      <c r="M1649">
        <v>1</v>
      </c>
      <c r="N1649">
        <v>1.0110110000000001</v>
      </c>
    </row>
    <row r="1650" spans="1:14" x14ac:dyDescent="0.35">
      <c r="A1650" s="156" t="s">
        <v>542</v>
      </c>
      <c r="B1650" s="52">
        <v>45027</v>
      </c>
      <c r="C1650" s="156" t="s">
        <v>531</v>
      </c>
      <c r="D1650" s="156" t="s">
        <v>531</v>
      </c>
      <c r="E1650">
        <v>2544193</v>
      </c>
      <c r="F1650">
        <v>138142.6556</v>
      </c>
      <c r="G1650">
        <v>61.351599999999998</v>
      </c>
      <c r="H1650">
        <v>0.99983699999999998</v>
      </c>
      <c r="I1650">
        <v>1</v>
      </c>
      <c r="J1650" s="156">
        <v>1</v>
      </c>
      <c r="K1650">
        <v>1</v>
      </c>
      <c r="L1650">
        <v>1</v>
      </c>
      <c r="M1650">
        <v>1</v>
      </c>
      <c r="N1650">
        <v>0.99983699999999998</v>
      </c>
    </row>
    <row r="1651" spans="1:14" x14ac:dyDescent="0.35">
      <c r="A1651" s="156" t="s">
        <v>542</v>
      </c>
      <c r="B1651" s="52">
        <v>45028</v>
      </c>
      <c r="C1651" s="156" t="s">
        <v>531</v>
      </c>
      <c r="D1651" s="156" t="s">
        <v>531</v>
      </c>
      <c r="E1651">
        <v>2257085</v>
      </c>
      <c r="F1651">
        <v>136274.63740000001</v>
      </c>
      <c r="G1651">
        <v>60.955399999999997</v>
      </c>
      <c r="H1651">
        <v>0.97577599999999998</v>
      </c>
      <c r="I1651">
        <v>1</v>
      </c>
      <c r="J1651" s="156">
        <v>1</v>
      </c>
      <c r="K1651">
        <v>1</v>
      </c>
      <c r="L1651">
        <v>1</v>
      </c>
      <c r="M1651">
        <v>1</v>
      </c>
      <c r="N1651">
        <v>0.97577599999999998</v>
      </c>
    </row>
    <row r="1652" spans="1:14" x14ac:dyDescent="0.35">
      <c r="A1652" s="156" t="s">
        <v>542</v>
      </c>
      <c r="B1652" s="52">
        <v>45029</v>
      </c>
      <c r="C1652" s="156" t="s">
        <v>531</v>
      </c>
      <c r="D1652" s="156" t="s">
        <v>531</v>
      </c>
      <c r="E1652">
        <v>1949881</v>
      </c>
      <c r="F1652">
        <v>119598.2304</v>
      </c>
      <c r="G1652">
        <v>61.374099999999999</v>
      </c>
      <c r="H1652">
        <v>1.0218259999999999</v>
      </c>
      <c r="I1652">
        <v>1</v>
      </c>
      <c r="J1652" s="156">
        <v>1</v>
      </c>
      <c r="K1652">
        <v>1</v>
      </c>
      <c r="L1652">
        <v>1</v>
      </c>
      <c r="M1652">
        <v>1</v>
      </c>
      <c r="N1652">
        <v>1.0218259999999999</v>
      </c>
    </row>
    <row r="1653" spans="1:14" x14ac:dyDescent="0.35">
      <c r="A1653" s="156" t="s">
        <v>542</v>
      </c>
      <c r="B1653" s="52">
        <v>45030</v>
      </c>
      <c r="C1653" s="156" t="s">
        <v>531</v>
      </c>
      <c r="D1653" s="156" t="s">
        <v>531</v>
      </c>
      <c r="E1653">
        <v>1501438</v>
      </c>
      <c r="F1653">
        <v>91078.756299999994</v>
      </c>
      <c r="G1653">
        <v>60.712600000000002</v>
      </c>
      <c r="H1653">
        <v>0.98956500000000003</v>
      </c>
      <c r="I1653">
        <v>1</v>
      </c>
      <c r="J1653" s="156">
        <v>1</v>
      </c>
      <c r="K1653">
        <v>1</v>
      </c>
      <c r="L1653">
        <v>1</v>
      </c>
      <c r="M1653">
        <v>1</v>
      </c>
      <c r="N1653">
        <v>0.98956500000000003</v>
      </c>
    </row>
    <row r="1654" spans="1:14" x14ac:dyDescent="0.35">
      <c r="A1654" s="156" t="s">
        <v>542</v>
      </c>
      <c r="B1654" s="52">
        <v>45033</v>
      </c>
      <c r="C1654" s="156" t="s">
        <v>531</v>
      </c>
      <c r="D1654" s="156" t="s">
        <v>531</v>
      </c>
      <c r="E1654">
        <v>1525273</v>
      </c>
      <c r="F1654">
        <v>92937.974600000001</v>
      </c>
      <c r="G1654">
        <v>60.963799999999999</v>
      </c>
      <c r="H1654">
        <v>1.0084029999999999</v>
      </c>
      <c r="I1654">
        <v>1</v>
      </c>
      <c r="J1654" s="156">
        <v>1</v>
      </c>
      <c r="K1654">
        <v>1</v>
      </c>
      <c r="L1654">
        <v>1</v>
      </c>
      <c r="M1654">
        <v>1</v>
      </c>
      <c r="N1654">
        <v>1.0084029999999999</v>
      </c>
    </row>
    <row r="1655" spans="1:14" x14ac:dyDescent="0.35">
      <c r="A1655" s="156" t="s">
        <v>542</v>
      </c>
      <c r="B1655" s="52">
        <v>45034</v>
      </c>
      <c r="C1655" s="156" t="s">
        <v>531</v>
      </c>
      <c r="D1655" s="156" t="s">
        <v>531</v>
      </c>
      <c r="E1655">
        <v>3208951</v>
      </c>
      <c r="F1655">
        <v>199570.77189999999</v>
      </c>
      <c r="G1655">
        <v>62.346299999999999</v>
      </c>
      <c r="H1655">
        <v>1.0150330000000001</v>
      </c>
      <c r="I1655">
        <v>1</v>
      </c>
      <c r="J1655" s="156">
        <v>1</v>
      </c>
      <c r="K1655">
        <v>1</v>
      </c>
      <c r="L1655">
        <v>1</v>
      </c>
      <c r="M1655">
        <v>1</v>
      </c>
      <c r="N1655">
        <v>1.0150330000000001</v>
      </c>
    </row>
    <row r="1656" spans="1:14" x14ac:dyDescent="0.35">
      <c r="A1656" s="156" t="s">
        <v>542</v>
      </c>
      <c r="B1656" s="52">
        <v>45035</v>
      </c>
      <c r="C1656" s="156" t="s">
        <v>531</v>
      </c>
      <c r="D1656" s="156" t="s">
        <v>531</v>
      </c>
      <c r="E1656">
        <v>1510574</v>
      </c>
      <c r="F1656">
        <v>92936.530599999998</v>
      </c>
      <c r="G1656">
        <v>61.570500000000003</v>
      </c>
      <c r="H1656">
        <v>0.99178999999999995</v>
      </c>
      <c r="I1656">
        <v>1</v>
      </c>
      <c r="J1656" s="156">
        <v>1</v>
      </c>
      <c r="K1656">
        <v>1</v>
      </c>
      <c r="L1656">
        <v>1</v>
      </c>
      <c r="M1656">
        <v>1</v>
      </c>
      <c r="N1656">
        <v>0.99178999999999995</v>
      </c>
    </row>
    <row r="1657" spans="1:14" x14ac:dyDescent="0.35">
      <c r="A1657" s="156" t="s">
        <v>542</v>
      </c>
      <c r="B1657" s="52">
        <v>45036</v>
      </c>
      <c r="C1657" s="156" t="s">
        <v>531</v>
      </c>
      <c r="D1657" s="156" t="s">
        <v>531</v>
      </c>
      <c r="E1657">
        <v>3290620</v>
      </c>
      <c r="F1657">
        <v>204600.28570000001</v>
      </c>
      <c r="G1657">
        <v>62.195999999999998</v>
      </c>
      <c r="H1657">
        <v>1.0099009999999999</v>
      </c>
      <c r="I1657">
        <v>1</v>
      </c>
      <c r="J1657" s="156">
        <v>1</v>
      </c>
      <c r="K1657">
        <v>1</v>
      </c>
      <c r="L1657">
        <v>1</v>
      </c>
      <c r="M1657">
        <v>1</v>
      </c>
      <c r="N1657">
        <v>1.0099009999999999</v>
      </c>
    </row>
    <row r="1658" spans="1:14" x14ac:dyDescent="0.35">
      <c r="A1658" s="156" t="s">
        <v>542</v>
      </c>
      <c r="B1658" s="52">
        <v>45037</v>
      </c>
      <c r="C1658" s="156" t="s">
        <v>531</v>
      </c>
      <c r="D1658" s="156" t="s">
        <v>531</v>
      </c>
      <c r="E1658">
        <v>2106307</v>
      </c>
      <c r="F1658">
        <v>130985.2441</v>
      </c>
      <c r="G1658">
        <v>62.2682</v>
      </c>
      <c r="H1658">
        <v>0.99951800000000002</v>
      </c>
      <c r="I1658">
        <v>1</v>
      </c>
      <c r="J1658" s="156">
        <v>1</v>
      </c>
      <c r="K1658">
        <v>1</v>
      </c>
      <c r="L1658">
        <v>1</v>
      </c>
      <c r="M1658">
        <v>1</v>
      </c>
      <c r="N1658">
        <v>0.99951800000000002</v>
      </c>
    </row>
    <row r="1659" spans="1:14" x14ac:dyDescent="0.35">
      <c r="A1659" s="156" t="s">
        <v>542</v>
      </c>
      <c r="B1659" s="52">
        <v>45040</v>
      </c>
      <c r="C1659" s="156" t="s">
        <v>531</v>
      </c>
      <c r="D1659" s="156" t="s">
        <v>531</v>
      </c>
      <c r="E1659">
        <v>1990813</v>
      </c>
      <c r="F1659">
        <v>122311.16499999999</v>
      </c>
      <c r="G1659">
        <v>61.569400000000002</v>
      </c>
      <c r="H1659">
        <v>0.98826199999999997</v>
      </c>
      <c r="I1659">
        <v>1</v>
      </c>
      <c r="J1659" s="156">
        <v>1</v>
      </c>
      <c r="K1659">
        <v>1</v>
      </c>
      <c r="L1659">
        <v>1</v>
      </c>
      <c r="M1659">
        <v>1</v>
      </c>
      <c r="N1659">
        <v>0.98826199999999997</v>
      </c>
    </row>
    <row r="1660" spans="1:14" x14ac:dyDescent="0.35">
      <c r="A1660" s="156" t="s">
        <v>542</v>
      </c>
      <c r="B1660" s="52">
        <v>45041</v>
      </c>
      <c r="C1660" s="156" t="s">
        <v>531</v>
      </c>
      <c r="D1660" s="156" t="s">
        <v>531</v>
      </c>
      <c r="E1660">
        <v>3198419</v>
      </c>
      <c r="F1660">
        <v>191383.91219999999</v>
      </c>
      <c r="G1660">
        <v>60.065100000000001</v>
      </c>
      <c r="H1660">
        <v>0.96599400000000002</v>
      </c>
      <c r="I1660">
        <v>1</v>
      </c>
      <c r="J1660" s="156">
        <v>1</v>
      </c>
      <c r="K1660">
        <v>1</v>
      </c>
      <c r="L1660">
        <v>1</v>
      </c>
      <c r="M1660">
        <v>1</v>
      </c>
      <c r="N1660">
        <v>0.96599400000000002</v>
      </c>
    </row>
    <row r="1661" spans="1:14" x14ac:dyDescent="0.35">
      <c r="A1661" s="156" t="s">
        <v>542</v>
      </c>
      <c r="B1661" s="52">
        <v>45042</v>
      </c>
      <c r="C1661" s="156" t="s">
        <v>531</v>
      </c>
      <c r="D1661" s="156" t="s">
        <v>531</v>
      </c>
      <c r="E1661">
        <v>4191201</v>
      </c>
      <c r="F1661">
        <v>251838.37340000001</v>
      </c>
      <c r="G1661">
        <v>60.765900000000002</v>
      </c>
      <c r="H1661">
        <v>1.0106109999999999</v>
      </c>
      <c r="I1661">
        <v>1</v>
      </c>
      <c r="J1661" s="156">
        <v>1</v>
      </c>
      <c r="K1661">
        <v>1</v>
      </c>
      <c r="L1661">
        <v>1</v>
      </c>
      <c r="M1661">
        <v>1</v>
      </c>
      <c r="N1661">
        <v>1.0106109999999999</v>
      </c>
    </row>
    <row r="1662" spans="1:14" x14ac:dyDescent="0.35">
      <c r="A1662" s="156" t="s">
        <v>542</v>
      </c>
      <c r="B1662" s="52">
        <v>45043</v>
      </c>
      <c r="C1662" s="156" t="s">
        <v>531</v>
      </c>
      <c r="D1662" s="156" t="s">
        <v>531</v>
      </c>
      <c r="E1662">
        <v>5890044</v>
      </c>
      <c r="F1662">
        <v>374029.86670000001</v>
      </c>
      <c r="G1662">
        <v>63.910800000000002</v>
      </c>
      <c r="H1662">
        <v>1.070333</v>
      </c>
      <c r="I1662">
        <v>1</v>
      </c>
      <c r="J1662" s="156">
        <v>1</v>
      </c>
      <c r="K1662">
        <v>1</v>
      </c>
      <c r="L1662">
        <v>1</v>
      </c>
      <c r="M1662">
        <v>1</v>
      </c>
      <c r="N1662">
        <v>1.070333</v>
      </c>
    </row>
    <row r="1663" spans="1:14" x14ac:dyDescent="0.35">
      <c r="A1663" s="156" t="s">
        <v>542</v>
      </c>
      <c r="B1663" s="52">
        <v>45044</v>
      </c>
      <c r="C1663" s="156" t="s">
        <v>531</v>
      </c>
      <c r="D1663" s="156" t="s">
        <v>531</v>
      </c>
      <c r="E1663">
        <v>4235363</v>
      </c>
      <c r="F1663">
        <v>273441.69579999999</v>
      </c>
      <c r="G1663">
        <v>64.551599999999993</v>
      </c>
      <c r="H1663">
        <v>1.0018689999999999</v>
      </c>
      <c r="I1663">
        <v>1</v>
      </c>
      <c r="J1663" s="156">
        <v>1</v>
      </c>
      <c r="K1663">
        <v>1</v>
      </c>
      <c r="L1663">
        <v>1</v>
      </c>
      <c r="M1663">
        <v>1</v>
      </c>
      <c r="N1663">
        <v>1.0018689999999999</v>
      </c>
    </row>
    <row r="1664" spans="1:14" x14ac:dyDescent="0.35">
      <c r="A1664" s="156" t="s">
        <v>542</v>
      </c>
      <c r="B1664" s="52">
        <v>45047</v>
      </c>
      <c r="C1664" s="156" t="s">
        <v>531</v>
      </c>
      <c r="D1664" s="156" t="s">
        <v>531</v>
      </c>
      <c r="E1664">
        <v>5457659</v>
      </c>
      <c r="F1664">
        <v>334521.73739999998</v>
      </c>
      <c r="G1664">
        <v>63.402999999999999</v>
      </c>
      <c r="H1664">
        <v>0.97824100000000003</v>
      </c>
      <c r="I1664">
        <v>1</v>
      </c>
      <c r="J1664" s="156">
        <v>1</v>
      </c>
      <c r="K1664">
        <v>1</v>
      </c>
      <c r="L1664">
        <v>1</v>
      </c>
      <c r="M1664">
        <v>1</v>
      </c>
      <c r="N1664">
        <v>0.97824100000000003</v>
      </c>
    </row>
    <row r="1665" spans="1:14" x14ac:dyDescent="0.35">
      <c r="A1665" s="156" t="s">
        <v>542</v>
      </c>
      <c r="B1665" s="52">
        <v>45048</v>
      </c>
      <c r="C1665" s="156" t="s">
        <v>531</v>
      </c>
      <c r="D1665" s="156" t="s">
        <v>531</v>
      </c>
      <c r="E1665">
        <v>3797106</v>
      </c>
      <c r="F1665">
        <v>236352.11720000001</v>
      </c>
      <c r="G1665">
        <v>62.328699999999998</v>
      </c>
      <c r="H1665">
        <v>0.99428000000000005</v>
      </c>
      <c r="I1665">
        <v>1</v>
      </c>
      <c r="J1665" s="156">
        <v>1</v>
      </c>
      <c r="K1665">
        <v>1</v>
      </c>
      <c r="L1665">
        <v>1</v>
      </c>
      <c r="M1665">
        <v>1</v>
      </c>
      <c r="N1665">
        <v>0.99428000000000005</v>
      </c>
    </row>
    <row r="1666" spans="1:14" x14ac:dyDescent="0.35">
      <c r="A1666" s="156" t="s">
        <v>542</v>
      </c>
      <c r="B1666" s="52">
        <v>45049</v>
      </c>
      <c r="C1666" s="156" t="s">
        <v>531</v>
      </c>
      <c r="D1666" s="156" t="s">
        <v>531</v>
      </c>
      <c r="E1666">
        <v>5232007</v>
      </c>
      <c r="F1666">
        <v>330165.30670000002</v>
      </c>
      <c r="G1666">
        <v>63.143700000000003</v>
      </c>
      <c r="H1666">
        <v>0.99888100000000002</v>
      </c>
      <c r="I1666">
        <v>1</v>
      </c>
      <c r="J1666" s="156">
        <v>1</v>
      </c>
      <c r="K1666">
        <v>1</v>
      </c>
      <c r="L1666">
        <v>1</v>
      </c>
      <c r="M1666">
        <v>1</v>
      </c>
      <c r="N1666">
        <v>0.99888100000000002</v>
      </c>
    </row>
    <row r="1667" spans="1:14" x14ac:dyDescent="0.35">
      <c r="A1667" s="156" t="s">
        <v>542</v>
      </c>
      <c r="B1667" s="52">
        <v>45050</v>
      </c>
      <c r="C1667" s="156" t="s">
        <v>531</v>
      </c>
      <c r="D1667" s="156" t="s">
        <v>531</v>
      </c>
      <c r="E1667">
        <v>3345987</v>
      </c>
      <c r="F1667">
        <v>205879.2132</v>
      </c>
      <c r="G1667">
        <v>62.299300000000002</v>
      </c>
      <c r="H1667">
        <v>0.98288299999999995</v>
      </c>
      <c r="I1667">
        <v>1</v>
      </c>
      <c r="J1667" s="156">
        <v>1</v>
      </c>
      <c r="K1667">
        <v>1</v>
      </c>
      <c r="L1667">
        <v>1</v>
      </c>
      <c r="M1667">
        <v>1</v>
      </c>
      <c r="N1667">
        <v>0.98288299999999995</v>
      </c>
    </row>
    <row r="1668" spans="1:14" x14ac:dyDescent="0.35">
      <c r="A1668" s="156" t="s">
        <v>542</v>
      </c>
      <c r="B1668" s="52">
        <v>45051</v>
      </c>
      <c r="C1668" s="156" t="s">
        <v>531</v>
      </c>
      <c r="D1668" s="156" t="s">
        <v>531</v>
      </c>
      <c r="E1668">
        <v>2431778</v>
      </c>
      <c r="F1668">
        <v>151349.59520000001</v>
      </c>
      <c r="G1668">
        <v>62.333799999999997</v>
      </c>
      <c r="H1668">
        <v>1.020508</v>
      </c>
      <c r="I1668">
        <v>1</v>
      </c>
      <c r="J1668" s="156">
        <v>1</v>
      </c>
      <c r="K1668">
        <v>1</v>
      </c>
      <c r="L1668">
        <v>1</v>
      </c>
      <c r="M1668">
        <v>1</v>
      </c>
      <c r="N1668">
        <v>1.020508</v>
      </c>
    </row>
    <row r="1669" spans="1:14" x14ac:dyDescent="0.35">
      <c r="A1669" s="156" t="s">
        <v>542</v>
      </c>
      <c r="B1669" s="52">
        <v>45054</v>
      </c>
      <c r="C1669" s="156" t="s">
        <v>531</v>
      </c>
      <c r="D1669" s="156" t="s">
        <v>531</v>
      </c>
      <c r="E1669">
        <v>4371558</v>
      </c>
      <c r="F1669">
        <v>276605.54210000002</v>
      </c>
      <c r="G1669">
        <v>63.866900000000001</v>
      </c>
      <c r="H1669">
        <v>1.0314190000000001</v>
      </c>
      <c r="I1669">
        <v>1</v>
      </c>
      <c r="J1669" s="156">
        <v>1</v>
      </c>
      <c r="K1669">
        <v>1</v>
      </c>
      <c r="L1669">
        <v>1</v>
      </c>
      <c r="M1669">
        <v>1</v>
      </c>
      <c r="N1669">
        <v>1.0314190000000001</v>
      </c>
    </row>
    <row r="1670" spans="1:14" x14ac:dyDescent="0.35">
      <c r="A1670" s="156" t="s">
        <v>542</v>
      </c>
      <c r="B1670" s="52">
        <v>45055</v>
      </c>
      <c r="C1670" s="156" t="s">
        <v>531</v>
      </c>
      <c r="D1670" s="156" t="s">
        <v>531</v>
      </c>
      <c r="E1670">
        <v>3476560</v>
      </c>
      <c r="F1670">
        <v>222273.5564</v>
      </c>
      <c r="G1670">
        <v>64.116600000000005</v>
      </c>
      <c r="H1670">
        <v>0.99149500000000002</v>
      </c>
      <c r="I1670">
        <v>1</v>
      </c>
      <c r="J1670" s="156">
        <v>1</v>
      </c>
      <c r="K1670">
        <v>1</v>
      </c>
      <c r="L1670">
        <v>1</v>
      </c>
      <c r="M1670">
        <v>1</v>
      </c>
      <c r="N1670">
        <v>0.99149500000000002</v>
      </c>
    </row>
    <row r="1671" spans="1:14" x14ac:dyDescent="0.35">
      <c r="A1671" s="156" t="s">
        <v>542</v>
      </c>
      <c r="B1671" s="52">
        <v>45056</v>
      </c>
      <c r="C1671" s="156" t="s">
        <v>531</v>
      </c>
      <c r="D1671" s="156" t="s">
        <v>531</v>
      </c>
      <c r="E1671">
        <v>9553544</v>
      </c>
      <c r="F1671">
        <v>588518.32129999995</v>
      </c>
      <c r="G1671">
        <v>65.384799999999998</v>
      </c>
      <c r="H1671">
        <v>1.0132559999999999</v>
      </c>
      <c r="I1671">
        <v>1</v>
      </c>
      <c r="J1671" s="156">
        <v>1</v>
      </c>
      <c r="K1671">
        <v>1</v>
      </c>
      <c r="L1671">
        <v>1</v>
      </c>
      <c r="M1671">
        <v>1</v>
      </c>
      <c r="N1671">
        <v>1.0132559999999999</v>
      </c>
    </row>
    <row r="1672" spans="1:14" x14ac:dyDescent="0.35">
      <c r="A1672" s="156" t="s">
        <v>542</v>
      </c>
      <c r="B1672" s="52">
        <v>45057</v>
      </c>
      <c r="C1672" s="156" t="s">
        <v>531</v>
      </c>
      <c r="D1672" s="156" t="s">
        <v>531</v>
      </c>
      <c r="E1672">
        <v>17176535</v>
      </c>
      <c r="F1672">
        <v>1088562.8130999999</v>
      </c>
      <c r="G1672">
        <v>63.625700000000002</v>
      </c>
      <c r="H1672">
        <v>0.993228</v>
      </c>
      <c r="I1672">
        <v>1</v>
      </c>
      <c r="J1672" s="156">
        <v>1</v>
      </c>
      <c r="K1672">
        <v>1</v>
      </c>
      <c r="L1672">
        <v>1</v>
      </c>
      <c r="M1672">
        <v>1</v>
      </c>
      <c r="N1672">
        <v>0.993228</v>
      </c>
    </row>
    <row r="1673" spans="1:14" x14ac:dyDescent="0.35">
      <c r="A1673" s="156" t="s">
        <v>542</v>
      </c>
      <c r="B1673" s="52">
        <v>45058</v>
      </c>
      <c r="C1673" s="156" t="s">
        <v>531</v>
      </c>
      <c r="D1673" s="156" t="s">
        <v>531</v>
      </c>
      <c r="E1673">
        <v>6962378</v>
      </c>
      <c r="F1673">
        <v>437481.67589999997</v>
      </c>
      <c r="G1673">
        <v>62.861899999999999</v>
      </c>
      <c r="H1673">
        <v>0.96544200000000002</v>
      </c>
      <c r="I1673">
        <v>1</v>
      </c>
      <c r="J1673" s="156">
        <v>1</v>
      </c>
      <c r="K1673">
        <v>1</v>
      </c>
      <c r="L1673">
        <v>1</v>
      </c>
      <c r="M1673">
        <v>1</v>
      </c>
      <c r="N1673">
        <v>0.96544200000000002</v>
      </c>
    </row>
    <row r="1674" spans="1:14" x14ac:dyDescent="0.35">
      <c r="A1674" s="156" t="s">
        <v>542</v>
      </c>
      <c r="B1674" s="52">
        <v>45061</v>
      </c>
      <c r="C1674" s="156" t="s">
        <v>531</v>
      </c>
      <c r="D1674" s="156" t="s">
        <v>531</v>
      </c>
      <c r="E1674">
        <v>3714414</v>
      </c>
      <c r="F1674">
        <v>234676.71489999999</v>
      </c>
      <c r="G1674">
        <v>63.265799999999999</v>
      </c>
      <c r="H1674">
        <v>1.026966</v>
      </c>
      <c r="I1674">
        <v>1</v>
      </c>
      <c r="J1674" s="156">
        <v>1</v>
      </c>
      <c r="K1674">
        <v>1</v>
      </c>
      <c r="L1674">
        <v>1</v>
      </c>
      <c r="M1674">
        <v>1</v>
      </c>
      <c r="N1674">
        <v>1.026966</v>
      </c>
    </row>
    <row r="1675" spans="1:14" x14ac:dyDescent="0.35">
      <c r="A1675" s="156" t="s">
        <v>542</v>
      </c>
      <c r="B1675" s="52">
        <v>45062</v>
      </c>
      <c r="C1675" s="156" t="s">
        <v>531</v>
      </c>
      <c r="D1675" s="156" t="s">
        <v>531</v>
      </c>
      <c r="E1675">
        <v>3298294</v>
      </c>
      <c r="F1675">
        <v>210036.8063</v>
      </c>
      <c r="G1675">
        <v>64.207499999999996</v>
      </c>
      <c r="H1675">
        <v>1.0025010000000001</v>
      </c>
      <c r="I1675">
        <v>1</v>
      </c>
      <c r="J1675" s="156">
        <v>1</v>
      </c>
      <c r="K1675">
        <v>1</v>
      </c>
      <c r="L1675">
        <v>1</v>
      </c>
      <c r="M1675">
        <v>1</v>
      </c>
      <c r="N1675">
        <v>1.0025010000000001</v>
      </c>
    </row>
    <row r="1676" spans="1:14" x14ac:dyDescent="0.35">
      <c r="A1676" s="156" t="s">
        <v>542</v>
      </c>
      <c r="B1676" s="52">
        <v>45063</v>
      </c>
      <c r="C1676" s="156" t="s">
        <v>531</v>
      </c>
      <c r="D1676" s="156" t="s">
        <v>531</v>
      </c>
      <c r="E1676">
        <v>3801902</v>
      </c>
      <c r="F1676">
        <v>249063.66630000001</v>
      </c>
      <c r="G1676">
        <v>65.611199999999997</v>
      </c>
      <c r="H1676">
        <v>1.0314939999999999</v>
      </c>
      <c r="I1676">
        <v>1</v>
      </c>
      <c r="J1676" s="156">
        <v>1</v>
      </c>
      <c r="K1676">
        <v>1</v>
      </c>
      <c r="L1676">
        <v>1</v>
      </c>
      <c r="M1676">
        <v>1</v>
      </c>
      <c r="N1676">
        <v>1.0314939999999999</v>
      </c>
    </row>
    <row r="1677" spans="1:14" x14ac:dyDescent="0.35">
      <c r="A1677" s="156" t="s">
        <v>542</v>
      </c>
      <c r="B1677" s="52">
        <v>45064</v>
      </c>
      <c r="C1677" s="156" t="s">
        <v>531</v>
      </c>
      <c r="D1677" s="156" t="s">
        <v>531</v>
      </c>
      <c r="E1677">
        <v>3433847</v>
      </c>
      <c r="F1677">
        <v>231076.70439999999</v>
      </c>
      <c r="G1677">
        <v>67.375600000000006</v>
      </c>
      <c r="H1677">
        <v>1.020556</v>
      </c>
      <c r="I1677">
        <v>1</v>
      </c>
      <c r="J1677" s="156">
        <v>1</v>
      </c>
      <c r="K1677">
        <v>1</v>
      </c>
      <c r="L1677">
        <v>1</v>
      </c>
      <c r="M1677">
        <v>1</v>
      </c>
      <c r="N1677">
        <v>1.020556</v>
      </c>
    </row>
    <row r="1678" spans="1:14" x14ac:dyDescent="0.35">
      <c r="A1678" s="156" t="s">
        <v>542</v>
      </c>
      <c r="B1678" s="52">
        <v>45065</v>
      </c>
      <c r="C1678" s="156" t="s">
        <v>531</v>
      </c>
      <c r="D1678" s="156" t="s">
        <v>531</v>
      </c>
      <c r="E1678">
        <v>2235594</v>
      </c>
      <c r="F1678">
        <v>147548.87580000001</v>
      </c>
      <c r="G1678">
        <v>66.841700000000003</v>
      </c>
      <c r="H1678">
        <v>0.98963299999999998</v>
      </c>
      <c r="I1678">
        <v>1</v>
      </c>
      <c r="J1678" s="156">
        <v>1</v>
      </c>
      <c r="K1678">
        <v>1</v>
      </c>
      <c r="L1678">
        <v>1</v>
      </c>
      <c r="M1678">
        <v>1</v>
      </c>
      <c r="N1678">
        <v>0.98963299999999998</v>
      </c>
    </row>
    <row r="1679" spans="1:14" x14ac:dyDescent="0.35">
      <c r="A1679" s="156" t="s">
        <v>542</v>
      </c>
      <c r="B1679" s="52">
        <v>45068</v>
      </c>
      <c r="C1679" s="156" t="s">
        <v>531</v>
      </c>
      <c r="D1679" s="156" t="s">
        <v>531</v>
      </c>
      <c r="E1679">
        <v>3085912</v>
      </c>
      <c r="F1679">
        <v>200011.27309999999</v>
      </c>
      <c r="G1679">
        <v>68.594999999999999</v>
      </c>
      <c r="H1679">
        <v>1.025441</v>
      </c>
      <c r="I1679">
        <v>1</v>
      </c>
      <c r="J1679" s="156">
        <v>1</v>
      </c>
      <c r="K1679">
        <v>1</v>
      </c>
      <c r="L1679">
        <v>1</v>
      </c>
      <c r="M1679">
        <v>1</v>
      </c>
      <c r="N1679">
        <v>1.025441</v>
      </c>
    </row>
    <row r="1680" spans="1:14" x14ac:dyDescent="0.35">
      <c r="A1680" s="156" t="s">
        <v>542</v>
      </c>
      <c r="B1680" s="52">
        <v>45069</v>
      </c>
      <c r="C1680" s="156" t="s">
        <v>531</v>
      </c>
      <c r="D1680" s="156" t="s">
        <v>531</v>
      </c>
      <c r="E1680">
        <v>2655634</v>
      </c>
      <c r="F1680">
        <v>179506.1894</v>
      </c>
      <c r="G1680">
        <v>67.727800000000002</v>
      </c>
      <c r="H1680">
        <v>0.97519</v>
      </c>
      <c r="I1680">
        <v>1</v>
      </c>
      <c r="J1680" s="156">
        <v>1</v>
      </c>
      <c r="K1680">
        <v>1</v>
      </c>
      <c r="L1680">
        <v>1</v>
      </c>
      <c r="M1680">
        <v>1</v>
      </c>
      <c r="N1680">
        <v>0.97519</v>
      </c>
    </row>
    <row r="1681" spans="1:14" x14ac:dyDescent="0.35">
      <c r="A1681" s="156" t="s">
        <v>542</v>
      </c>
      <c r="B1681" s="52">
        <v>45070</v>
      </c>
      <c r="C1681" s="156" t="s">
        <v>531</v>
      </c>
      <c r="D1681" s="156" t="s">
        <v>531</v>
      </c>
      <c r="E1681">
        <v>3208610</v>
      </c>
      <c r="F1681">
        <v>210823.10029999999</v>
      </c>
      <c r="G1681">
        <v>66.174400000000006</v>
      </c>
      <c r="H1681">
        <v>0.99221800000000004</v>
      </c>
      <c r="I1681">
        <v>1</v>
      </c>
      <c r="J1681" s="156">
        <v>1</v>
      </c>
      <c r="K1681">
        <v>1</v>
      </c>
      <c r="L1681">
        <v>1</v>
      </c>
      <c r="M1681">
        <v>1</v>
      </c>
      <c r="N1681">
        <v>0.99221800000000004</v>
      </c>
    </row>
    <row r="1682" spans="1:14" x14ac:dyDescent="0.35">
      <c r="A1682" s="156" t="s">
        <v>542</v>
      </c>
      <c r="B1682" s="52">
        <v>45071</v>
      </c>
      <c r="C1682" s="156" t="s">
        <v>531</v>
      </c>
      <c r="D1682" s="156" t="s">
        <v>531</v>
      </c>
      <c r="E1682">
        <v>2006426</v>
      </c>
      <c r="F1682">
        <v>132706.1182</v>
      </c>
      <c r="G1682">
        <v>66.329899999999995</v>
      </c>
      <c r="H1682">
        <v>0.99939699999999998</v>
      </c>
      <c r="I1682">
        <v>1</v>
      </c>
      <c r="J1682" s="156">
        <v>1</v>
      </c>
      <c r="K1682">
        <v>1</v>
      </c>
      <c r="L1682">
        <v>1</v>
      </c>
      <c r="M1682">
        <v>1</v>
      </c>
      <c r="N1682">
        <v>0.99939699999999998</v>
      </c>
    </row>
    <row r="1683" spans="1:14" x14ac:dyDescent="0.35">
      <c r="A1683" s="156" t="s">
        <v>542</v>
      </c>
      <c r="B1683" s="52">
        <v>45072</v>
      </c>
      <c r="C1683" s="156" t="s">
        <v>531</v>
      </c>
      <c r="D1683" s="156" t="s">
        <v>531</v>
      </c>
      <c r="E1683">
        <v>2337722</v>
      </c>
      <c r="F1683">
        <v>157806.45600000001</v>
      </c>
      <c r="G1683">
        <v>67.5381</v>
      </c>
      <c r="H1683">
        <v>1.02128</v>
      </c>
      <c r="I1683">
        <v>1</v>
      </c>
      <c r="J1683" s="156">
        <v>1</v>
      </c>
      <c r="K1683">
        <v>1</v>
      </c>
      <c r="L1683">
        <v>1</v>
      </c>
      <c r="M1683">
        <v>1</v>
      </c>
      <c r="N1683">
        <v>1.02128</v>
      </c>
    </row>
    <row r="1684" spans="1:14" x14ac:dyDescent="0.35">
      <c r="A1684" s="156" t="s">
        <v>542</v>
      </c>
      <c r="B1684" s="52">
        <v>45076</v>
      </c>
      <c r="C1684" s="156" t="s">
        <v>531</v>
      </c>
      <c r="D1684" s="156" t="s">
        <v>531</v>
      </c>
      <c r="E1684">
        <v>3280004</v>
      </c>
      <c r="F1684">
        <v>228015.80590000001</v>
      </c>
      <c r="G1684">
        <v>69.593400000000003</v>
      </c>
      <c r="H1684">
        <v>1.0341359999999999</v>
      </c>
      <c r="I1684">
        <v>1</v>
      </c>
      <c r="J1684" s="156">
        <v>1</v>
      </c>
      <c r="K1684">
        <v>1</v>
      </c>
      <c r="L1684">
        <v>1</v>
      </c>
      <c r="M1684">
        <v>1</v>
      </c>
      <c r="N1684">
        <v>1.0341359999999999</v>
      </c>
    </row>
    <row r="1685" spans="1:14" x14ac:dyDescent="0.35">
      <c r="A1685" s="156" t="s">
        <v>542</v>
      </c>
      <c r="B1685" s="52">
        <v>45077</v>
      </c>
      <c r="C1685" s="156" t="s">
        <v>531</v>
      </c>
      <c r="D1685" s="156" t="s">
        <v>531</v>
      </c>
      <c r="E1685">
        <v>3585926</v>
      </c>
      <c r="F1685">
        <v>250149.8873</v>
      </c>
      <c r="G1685">
        <v>69.812100000000001</v>
      </c>
      <c r="H1685">
        <v>1.0014289999999999</v>
      </c>
      <c r="I1685">
        <v>1</v>
      </c>
      <c r="J1685" s="156">
        <v>1</v>
      </c>
      <c r="K1685">
        <v>1</v>
      </c>
      <c r="L1685">
        <v>1</v>
      </c>
      <c r="M1685">
        <v>1</v>
      </c>
      <c r="N1685">
        <v>1.0014289999999999</v>
      </c>
    </row>
    <row r="1686" spans="1:14" x14ac:dyDescent="0.35">
      <c r="A1686" s="156" t="s">
        <v>542</v>
      </c>
      <c r="B1686" s="52">
        <v>45078</v>
      </c>
      <c r="C1686" s="156" t="s">
        <v>531</v>
      </c>
      <c r="D1686" s="156" t="s">
        <v>531</v>
      </c>
      <c r="E1686">
        <v>4517456</v>
      </c>
      <c r="F1686">
        <v>326033.63760000002</v>
      </c>
      <c r="G1686">
        <v>72.835400000000007</v>
      </c>
      <c r="H1686">
        <v>1.045377</v>
      </c>
      <c r="I1686">
        <v>1</v>
      </c>
      <c r="J1686" s="156">
        <v>1</v>
      </c>
      <c r="K1686">
        <v>1</v>
      </c>
      <c r="L1686">
        <v>1</v>
      </c>
      <c r="M1686">
        <v>1</v>
      </c>
      <c r="N1686">
        <v>1.045377</v>
      </c>
    </row>
    <row r="1687" spans="1:14" x14ac:dyDescent="0.35">
      <c r="A1687" s="156" t="s">
        <v>542</v>
      </c>
      <c r="B1687" s="52">
        <v>45079</v>
      </c>
      <c r="C1687" s="156" t="s">
        <v>531</v>
      </c>
      <c r="D1687" s="156" t="s">
        <v>531</v>
      </c>
      <c r="E1687">
        <v>7146191</v>
      </c>
      <c r="F1687">
        <v>540501.53099999996</v>
      </c>
      <c r="G1687">
        <v>76.083200000000005</v>
      </c>
      <c r="H1687">
        <v>1.013377</v>
      </c>
      <c r="I1687">
        <v>1</v>
      </c>
      <c r="J1687" s="156">
        <v>1</v>
      </c>
      <c r="K1687">
        <v>1</v>
      </c>
      <c r="L1687">
        <v>1</v>
      </c>
      <c r="M1687">
        <v>1</v>
      </c>
      <c r="N1687">
        <v>1.013377</v>
      </c>
    </row>
    <row r="1688" spans="1:14" x14ac:dyDescent="0.35">
      <c r="A1688" s="156" t="s">
        <v>542</v>
      </c>
      <c r="B1688" s="52">
        <v>45082</v>
      </c>
      <c r="C1688" s="156" t="s">
        <v>531</v>
      </c>
      <c r="D1688" s="156" t="s">
        <v>531</v>
      </c>
      <c r="E1688">
        <v>4527045</v>
      </c>
      <c r="F1688">
        <v>334600.71779999998</v>
      </c>
      <c r="G1688">
        <v>74.702799999999996</v>
      </c>
      <c r="H1688">
        <v>1.0152209999999999</v>
      </c>
      <c r="I1688">
        <v>1</v>
      </c>
      <c r="J1688" s="156">
        <v>1</v>
      </c>
      <c r="K1688">
        <v>1</v>
      </c>
      <c r="L1688">
        <v>1</v>
      </c>
      <c r="M1688">
        <v>1</v>
      </c>
      <c r="N1688">
        <v>1.0152209999999999</v>
      </c>
    </row>
    <row r="1689" spans="1:14" x14ac:dyDescent="0.35">
      <c r="A1689" s="156" t="s">
        <v>542</v>
      </c>
      <c r="B1689" s="52">
        <v>45083</v>
      </c>
      <c r="C1689" s="156" t="s">
        <v>531</v>
      </c>
      <c r="D1689" s="156" t="s">
        <v>531</v>
      </c>
      <c r="E1689">
        <v>4312010</v>
      </c>
      <c r="F1689">
        <v>324497.53399999999</v>
      </c>
      <c r="G1689">
        <v>75.291799999999995</v>
      </c>
      <c r="H1689">
        <v>0.99349900000000002</v>
      </c>
      <c r="I1689">
        <v>1</v>
      </c>
      <c r="J1689" s="156">
        <v>1</v>
      </c>
      <c r="K1689">
        <v>1</v>
      </c>
      <c r="L1689">
        <v>1</v>
      </c>
      <c r="M1689">
        <v>1</v>
      </c>
      <c r="N1689">
        <v>0.99349900000000002</v>
      </c>
    </row>
    <row r="1690" spans="1:14" x14ac:dyDescent="0.35">
      <c r="A1690" s="156" t="s">
        <v>542</v>
      </c>
      <c r="B1690" s="52">
        <v>45084</v>
      </c>
      <c r="C1690" s="156" t="s">
        <v>531</v>
      </c>
      <c r="D1690" s="156" t="s">
        <v>531</v>
      </c>
      <c r="E1690">
        <v>4507199</v>
      </c>
      <c r="F1690">
        <v>336911.84340000001</v>
      </c>
      <c r="G1690">
        <v>74.924400000000006</v>
      </c>
      <c r="H1690">
        <v>0.983707</v>
      </c>
      <c r="I1690">
        <v>1</v>
      </c>
      <c r="J1690" s="156">
        <v>1</v>
      </c>
      <c r="K1690">
        <v>1</v>
      </c>
      <c r="L1690">
        <v>1</v>
      </c>
      <c r="M1690">
        <v>1</v>
      </c>
      <c r="N1690">
        <v>0.983707</v>
      </c>
    </row>
    <row r="1691" spans="1:14" x14ac:dyDescent="0.35">
      <c r="A1691" s="156" t="s">
        <v>542</v>
      </c>
      <c r="B1691" s="52">
        <v>45085</v>
      </c>
      <c r="C1691" s="156" t="s">
        <v>531</v>
      </c>
      <c r="D1691" s="156" t="s">
        <v>531</v>
      </c>
      <c r="E1691">
        <v>3111426</v>
      </c>
      <c r="F1691">
        <v>230855.1251</v>
      </c>
      <c r="G1691">
        <v>74.299599999999998</v>
      </c>
      <c r="H1691">
        <v>1.0119469999999999</v>
      </c>
      <c r="I1691">
        <v>1</v>
      </c>
      <c r="J1691" s="156">
        <v>1</v>
      </c>
      <c r="K1691">
        <v>1</v>
      </c>
      <c r="L1691">
        <v>1</v>
      </c>
      <c r="M1691">
        <v>1</v>
      </c>
      <c r="N1691">
        <v>1.0119469999999999</v>
      </c>
    </row>
    <row r="1692" spans="1:14" x14ac:dyDescent="0.35">
      <c r="A1692" s="156" t="s">
        <v>542</v>
      </c>
      <c r="B1692" s="52">
        <v>45086</v>
      </c>
      <c r="C1692" s="156" t="s">
        <v>531</v>
      </c>
      <c r="D1692" s="156" t="s">
        <v>531</v>
      </c>
      <c r="E1692">
        <v>2412840</v>
      </c>
      <c r="F1692">
        <v>180274.46030000001</v>
      </c>
      <c r="G1692">
        <v>74.709900000000005</v>
      </c>
      <c r="H1692">
        <v>1.000537</v>
      </c>
      <c r="I1692">
        <v>1</v>
      </c>
      <c r="J1692" s="156">
        <v>1</v>
      </c>
      <c r="K1692">
        <v>1</v>
      </c>
      <c r="L1692">
        <v>1</v>
      </c>
      <c r="M1692">
        <v>1</v>
      </c>
      <c r="N1692">
        <v>1.000537</v>
      </c>
    </row>
    <row r="1693" spans="1:14" x14ac:dyDescent="0.35">
      <c r="A1693" s="156" t="s">
        <v>542</v>
      </c>
      <c r="B1693" s="52">
        <v>45089</v>
      </c>
      <c r="C1693" s="156" t="s">
        <v>531</v>
      </c>
      <c r="D1693" s="156" t="s">
        <v>531</v>
      </c>
      <c r="E1693">
        <v>2908931</v>
      </c>
      <c r="F1693">
        <v>218329.0246</v>
      </c>
      <c r="G1693">
        <v>75.069400000000002</v>
      </c>
      <c r="H1693">
        <v>1.012068</v>
      </c>
      <c r="I1693">
        <v>1</v>
      </c>
      <c r="J1693" s="156">
        <v>1</v>
      </c>
      <c r="K1693">
        <v>1</v>
      </c>
      <c r="L1693">
        <v>1</v>
      </c>
      <c r="M1693">
        <v>1</v>
      </c>
      <c r="N1693">
        <v>1.012068</v>
      </c>
    </row>
    <row r="1694" spans="1:14" x14ac:dyDescent="0.35">
      <c r="A1694" s="156" t="s">
        <v>542</v>
      </c>
      <c r="B1694" s="52">
        <v>45090</v>
      </c>
      <c r="C1694" s="156" t="s">
        <v>531</v>
      </c>
      <c r="D1694" s="156" t="s">
        <v>531</v>
      </c>
      <c r="E1694">
        <v>3063242</v>
      </c>
      <c r="F1694">
        <v>236039.38709999999</v>
      </c>
      <c r="G1694">
        <v>77.032600000000002</v>
      </c>
      <c r="H1694">
        <v>1.0270269999999999</v>
      </c>
      <c r="I1694">
        <v>1</v>
      </c>
      <c r="J1694" s="156">
        <v>1</v>
      </c>
      <c r="K1694">
        <v>1</v>
      </c>
      <c r="L1694">
        <v>1</v>
      </c>
      <c r="M1694">
        <v>1</v>
      </c>
      <c r="N1694">
        <v>1.0270269999999999</v>
      </c>
    </row>
    <row r="1695" spans="1:14" x14ac:dyDescent="0.35">
      <c r="A1695" s="156" t="s">
        <v>542</v>
      </c>
      <c r="B1695" s="52">
        <v>45091</v>
      </c>
      <c r="C1695" s="156" t="s">
        <v>531</v>
      </c>
      <c r="D1695" s="156" t="s">
        <v>531</v>
      </c>
      <c r="E1695">
        <v>2958609</v>
      </c>
      <c r="F1695">
        <v>226752.32680000001</v>
      </c>
      <c r="G1695">
        <v>76.653899999999993</v>
      </c>
      <c r="H1695">
        <v>0.99084099999999997</v>
      </c>
      <c r="I1695">
        <v>1</v>
      </c>
      <c r="J1695" s="156">
        <v>1</v>
      </c>
      <c r="K1695">
        <v>1</v>
      </c>
      <c r="L1695">
        <v>1</v>
      </c>
      <c r="M1695">
        <v>1</v>
      </c>
      <c r="N1695">
        <v>0.99084099999999997</v>
      </c>
    </row>
    <row r="1696" spans="1:14" x14ac:dyDescent="0.35">
      <c r="A1696" s="156" t="s">
        <v>542</v>
      </c>
      <c r="B1696" s="52">
        <v>45092</v>
      </c>
      <c r="C1696" s="156" t="s">
        <v>531</v>
      </c>
      <c r="D1696" s="156" t="s">
        <v>531</v>
      </c>
      <c r="E1696">
        <v>2508180</v>
      </c>
      <c r="F1696">
        <v>192754.06400000001</v>
      </c>
      <c r="G1696">
        <v>76.851699999999994</v>
      </c>
      <c r="H1696">
        <v>1.005989</v>
      </c>
      <c r="I1696">
        <v>1</v>
      </c>
      <c r="J1696" s="156">
        <v>1</v>
      </c>
      <c r="K1696">
        <v>1</v>
      </c>
      <c r="L1696">
        <v>1</v>
      </c>
      <c r="M1696">
        <v>1</v>
      </c>
      <c r="N1696">
        <v>1.005989</v>
      </c>
    </row>
    <row r="1697" spans="1:14" x14ac:dyDescent="0.35">
      <c r="A1697" s="156" t="s">
        <v>542</v>
      </c>
      <c r="B1697" s="52">
        <v>45093</v>
      </c>
      <c r="C1697" s="156" t="s">
        <v>531</v>
      </c>
      <c r="D1697" s="156" t="s">
        <v>531</v>
      </c>
      <c r="E1697">
        <v>2921905</v>
      </c>
      <c r="F1697">
        <v>223716.24299999999</v>
      </c>
      <c r="G1697">
        <v>76.565200000000004</v>
      </c>
      <c r="H1697">
        <v>0.98912900000000004</v>
      </c>
      <c r="I1697">
        <v>1</v>
      </c>
      <c r="J1697" s="156">
        <v>1</v>
      </c>
      <c r="K1697">
        <v>1</v>
      </c>
      <c r="L1697">
        <v>1</v>
      </c>
      <c r="M1697">
        <v>1</v>
      </c>
      <c r="N1697">
        <v>0.98912900000000004</v>
      </c>
    </row>
    <row r="1698" spans="1:14" x14ac:dyDescent="0.35">
      <c r="A1698" s="156" t="s">
        <v>542</v>
      </c>
      <c r="B1698" s="52">
        <v>45097</v>
      </c>
      <c r="C1698" s="156" t="s">
        <v>531</v>
      </c>
      <c r="D1698" s="156" t="s">
        <v>531</v>
      </c>
      <c r="E1698">
        <v>2929995</v>
      </c>
      <c r="F1698">
        <v>220533.9809</v>
      </c>
      <c r="G1698">
        <v>75.272300000000001</v>
      </c>
      <c r="H1698">
        <v>0.99018700000000004</v>
      </c>
      <c r="I1698">
        <v>1</v>
      </c>
      <c r="J1698" s="156">
        <v>1</v>
      </c>
      <c r="K1698">
        <v>1</v>
      </c>
      <c r="L1698">
        <v>1</v>
      </c>
      <c r="M1698">
        <v>1</v>
      </c>
      <c r="N1698">
        <v>0.99018700000000004</v>
      </c>
    </row>
    <row r="1699" spans="1:14" x14ac:dyDescent="0.35">
      <c r="A1699" s="156" t="s">
        <v>542</v>
      </c>
      <c r="B1699" s="52">
        <v>45098</v>
      </c>
      <c r="C1699" s="156" t="s">
        <v>531</v>
      </c>
      <c r="D1699" s="156" t="s">
        <v>531</v>
      </c>
      <c r="E1699">
        <v>3166574</v>
      </c>
      <c r="F1699">
        <v>241597.2648</v>
      </c>
      <c r="G1699">
        <v>76.297499999999999</v>
      </c>
      <c r="H1699">
        <v>1.0103070000000001</v>
      </c>
      <c r="I1699">
        <v>1</v>
      </c>
      <c r="J1699" s="156">
        <v>1</v>
      </c>
      <c r="K1699">
        <v>1</v>
      </c>
      <c r="L1699">
        <v>1</v>
      </c>
      <c r="M1699">
        <v>1</v>
      </c>
      <c r="N1699">
        <v>1.0103070000000001</v>
      </c>
    </row>
    <row r="1700" spans="1:14" x14ac:dyDescent="0.35">
      <c r="A1700" s="156" t="s">
        <v>542</v>
      </c>
      <c r="B1700" s="52">
        <v>45099</v>
      </c>
      <c r="C1700" s="156" t="s">
        <v>531</v>
      </c>
      <c r="D1700" s="156" t="s">
        <v>531</v>
      </c>
      <c r="E1700">
        <v>2409372</v>
      </c>
      <c r="F1700">
        <v>185039.17689999999</v>
      </c>
      <c r="G1700">
        <v>76.801299999999998</v>
      </c>
      <c r="H1700">
        <v>1.0044470000000001</v>
      </c>
      <c r="I1700">
        <v>1</v>
      </c>
      <c r="J1700" s="156">
        <v>1</v>
      </c>
      <c r="K1700">
        <v>1</v>
      </c>
      <c r="L1700">
        <v>1</v>
      </c>
      <c r="M1700">
        <v>1</v>
      </c>
      <c r="N1700">
        <v>1.0044470000000001</v>
      </c>
    </row>
    <row r="1701" spans="1:14" x14ac:dyDescent="0.35">
      <c r="A1701" s="156" t="s">
        <v>542</v>
      </c>
      <c r="B1701" s="52">
        <v>45100</v>
      </c>
      <c r="C1701" s="156" t="s">
        <v>531</v>
      </c>
      <c r="D1701" s="156" t="s">
        <v>531</v>
      </c>
      <c r="E1701">
        <v>3799706</v>
      </c>
      <c r="F1701">
        <v>289088.4437</v>
      </c>
      <c r="G1701">
        <v>76.102500000000006</v>
      </c>
      <c r="H1701">
        <v>0.99270800000000003</v>
      </c>
      <c r="I1701">
        <v>1</v>
      </c>
      <c r="J1701" s="156">
        <v>1</v>
      </c>
      <c r="K1701">
        <v>1</v>
      </c>
      <c r="L1701">
        <v>1</v>
      </c>
      <c r="M1701">
        <v>1</v>
      </c>
      <c r="N1701">
        <v>0.99270800000000003</v>
      </c>
    </row>
    <row r="1702" spans="1:14" x14ac:dyDescent="0.35">
      <c r="A1702" s="156" t="s">
        <v>542</v>
      </c>
      <c r="B1702" s="52">
        <v>45103</v>
      </c>
      <c r="C1702" s="156" t="s">
        <v>531</v>
      </c>
      <c r="D1702" s="156" t="s">
        <v>531</v>
      </c>
      <c r="E1702">
        <v>1950624</v>
      </c>
      <c r="F1702">
        <v>148253.43</v>
      </c>
      <c r="G1702">
        <v>76.002099999999999</v>
      </c>
      <c r="H1702">
        <v>0.98675199999999996</v>
      </c>
      <c r="I1702">
        <v>1</v>
      </c>
      <c r="J1702" s="156">
        <v>1</v>
      </c>
      <c r="K1702">
        <v>1</v>
      </c>
      <c r="L1702">
        <v>1</v>
      </c>
      <c r="M1702">
        <v>1</v>
      </c>
      <c r="N1702">
        <v>0.98675199999999996</v>
      </c>
    </row>
    <row r="1703" spans="1:14" x14ac:dyDescent="0.35">
      <c r="A1703" s="156" t="s">
        <v>542</v>
      </c>
      <c r="B1703" s="52">
        <v>45104</v>
      </c>
      <c r="C1703" s="156" t="s">
        <v>531</v>
      </c>
      <c r="D1703" s="156" t="s">
        <v>531</v>
      </c>
      <c r="E1703">
        <v>2048293</v>
      </c>
      <c r="F1703">
        <v>157082.34229999999</v>
      </c>
      <c r="G1703">
        <v>76.685599999999994</v>
      </c>
      <c r="H1703">
        <v>1.0204709999999999</v>
      </c>
      <c r="I1703">
        <v>1</v>
      </c>
      <c r="J1703" s="156">
        <v>1</v>
      </c>
      <c r="K1703">
        <v>1</v>
      </c>
      <c r="L1703">
        <v>1</v>
      </c>
      <c r="M1703">
        <v>1</v>
      </c>
      <c r="N1703">
        <v>1.0204709999999999</v>
      </c>
    </row>
    <row r="1704" spans="1:14" x14ac:dyDescent="0.35">
      <c r="A1704" s="156" t="s">
        <v>542</v>
      </c>
      <c r="B1704" s="52">
        <v>45105</v>
      </c>
      <c r="C1704" s="156" t="s">
        <v>531</v>
      </c>
      <c r="D1704" s="156" t="s">
        <v>531</v>
      </c>
      <c r="E1704">
        <v>3425068</v>
      </c>
      <c r="F1704">
        <v>268336.6311</v>
      </c>
      <c r="G1704">
        <v>78.327600000000004</v>
      </c>
      <c r="H1704">
        <v>1.0192779999999999</v>
      </c>
      <c r="I1704">
        <v>1</v>
      </c>
      <c r="J1704" s="156">
        <v>1</v>
      </c>
      <c r="K1704">
        <v>1</v>
      </c>
      <c r="L1704">
        <v>1</v>
      </c>
      <c r="M1704">
        <v>1</v>
      </c>
      <c r="N1704">
        <v>1.0192779999999999</v>
      </c>
    </row>
    <row r="1705" spans="1:14" x14ac:dyDescent="0.35">
      <c r="A1705" s="156" t="s">
        <v>542</v>
      </c>
      <c r="B1705" s="52">
        <v>45106</v>
      </c>
      <c r="C1705" s="156" t="s">
        <v>531</v>
      </c>
      <c r="D1705" s="156" t="s">
        <v>531</v>
      </c>
      <c r="E1705">
        <v>3809436</v>
      </c>
      <c r="F1705">
        <v>295891.55560000002</v>
      </c>
      <c r="G1705">
        <v>77.616500000000002</v>
      </c>
      <c r="H1705">
        <v>0.98875400000000002</v>
      </c>
      <c r="I1705">
        <v>1</v>
      </c>
      <c r="J1705" s="156">
        <v>1</v>
      </c>
      <c r="K1705">
        <v>1</v>
      </c>
      <c r="L1705">
        <v>1</v>
      </c>
      <c r="M1705">
        <v>1</v>
      </c>
      <c r="N1705">
        <v>0.98875400000000002</v>
      </c>
    </row>
    <row r="1706" spans="1:14" x14ac:dyDescent="0.35">
      <c r="A1706" s="156" t="s">
        <v>542</v>
      </c>
      <c r="B1706" s="52">
        <v>45107</v>
      </c>
      <c r="C1706" s="156" t="s">
        <v>531</v>
      </c>
      <c r="D1706" s="156" t="s">
        <v>531</v>
      </c>
      <c r="E1706">
        <v>2746833</v>
      </c>
      <c r="F1706">
        <v>213326.1715</v>
      </c>
      <c r="G1706">
        <v>77.639799999999994</v>
      </c>
      <c r="H1706">
        <v>0.99806099999999998</v>
      </c>
      <c r="I1706">
        <v>1</v>
      </c>
      <c r="J1706" s="156">
        <v>1</v>
      </c>
      <c r="K1706">
        <v>1</v>
      </c>
      <c r="L1706">
        <v>1</v>
      </c>
      <c r="M1706">
        <v>1</v>
      </c>
      <c r="N1706">
        <v>0.99806099999999998</v>
      </c>
    </row>
    <row r="1707" spans="1:14" x14ac:dyDescent="0.35">
      <c r="A1707" s="156" t="s">
        <v>542</v>
      </c>
      <c r="B1707" s="52">
        <v>45110</v>
      </c>
      <c r="C1707" s="156" t="s">
        <v>531</v>
      </c>
      <c r="D1707" s="156" t="s">
        <v>531</v>
      </c>
      <c r="E1707">
        <v>1409961</v>
      </c>
      <c r="F1707">
        <v>108808.2285</v>
      </c>
      <c r="G1707">
        <v>77.176900000000003</v>
      </c>
      <c r="H1707">
        <v>1.0029790000000001</v>
      </c>
      <c r="I1707">
        <v>1</v>
      </c>
      <c r="J1707" s="156">
        <v>1</v>
      </c>
      <c r="K1707">
        <v>1</v>
      </c>
      <c r="L1707">
        <v>1</v>
      </c>
      <c r="M1707">
        <v>1</v>
      </c>
      <c r="N1707">
        <v>1.0029790000000001</v>
      </c>
    </row>
    <row r="1708" spans="1:14" x14ac:dyDescent="0.35">
      <c r="A1708" s="156" t="s">
        <v>542</v>
      </c>
      <c r="B1708" s="52">
        <v>45112</v>
      </c>
      <c r="C1708" s="156" t="s">
        <v>531</v>
      </c>
      <c r="D1708" s="156" t="s">
        <v>531</v>
      </c>
      <c r="E1708">
        <v>1780784</v>
      </c>
      <c r="F1708">
        <v>137145.5595</v>
      </c>
      <c r="G1708">
        <v>77.0154</v>
      </c>
      <c r="H1708">
        <v>0.99638499999999997</v>
      </c>
      <c r="I1708">
        <v>1</v>
      </c>
      <c r="J1708" s="156">
        <v>1</v>
      </c>
      <c r="K1708">
        <v>1</v>
      </c>
      <c r="L1708">
        <v>1</v>
      </c>
      <c r="M1708">
        <v>1</v>
      </c>
      <c r="N1708">
        <v>0.99638499999999997</v>
      </c>
    </row>
    <row r="1709" spans="1:14" x14ac:dyDescent="0.35">
      <c r="A1709" s="156" t="s">
        <v>542</v>
      </c>
      <c r="B1709" s="52">
        <v>45113</v>
      </c>
      <c r="C1709" s="156" t="s">
        <v>531</v>
      </c>
      <c r="D1709" s="156" t="s">
        <v>531</v>
      </c>
      <c r="E1709">
        <v>4004937</v>
      </c>
      <c r="F1709">
        <v>299996.94559999998</v>
      </c>
      <c r="G1709">
        <v>74.945899999999995</v>
      </c>
      <c r="H1709">
        <v>0.97641599999999995</v>
      </c>
      <c r="I1709">
        <v>1</v>
      </c>
      <c r="J1709" s="156">
        <v>1</v>
      </c>
      <c r="K1709">
        <v>1</v>
      </c>
      <c r="L1709">
        <v>1</v>
      </c>
      <c r="M1709">
        <v>1</v>
      </c>
      <c r="N1709">
        <v>0.97641599999999995</v>
      </c>
    </row>
    <row r="1710" spans="1:14" x14ac:dyDescent="0.35">
      <c r="A1710" s="156" t="s">
        <v>542</v>
      </c>
      <c r="B1710" s="52">
        <v>45114</v>
      </c>
      <c r="C1710" s="156" t="s">
        <v>531</v>
      </c>
      <c r="D1710" s="156" t="s">
        <v>531</v>
      </c>
      <c r="E1710">
        <v>2312301</v>
      </c>
      <c r="F1710">
        <v>175565.65299999999</v>
      </c>
      <c r="G1710">
        <v>75.924099999999996</v>
      </c>
      <c r="H1710">
        <v>1.0059720000000001</v>
      </c>
      <c r="I1710">
        <v>1</v>
      </c>
      <c r="J1710" s="156">
        <v>1</v>
      </c>
      <c r="K1710">
        <v>1</v>
      </c>
      <c r="L1710">
        <v>1</v>
      </c>
      <c r="M1710">
        <v>1</v>
      </c>
      <c r="N1710">
        <v>1.0059720000000001</v>
      </c>
    </row>
    <row r="1711" spans="1:14" x14ac:dyDescent="0.35">
      <c r="A1711" s="156" t="s">
        <v>542</v>
      </c>
      <c r="B1711" s="52">
        <v>45117</v>
      </c>
      <c r="C1711" s="156" t="s">
        <v>531</v>
      </c>
      <c r="D1711" s="156" t="s">
        <v>531</v>
      </c>
      <c r="E1711">
        <v>2543974</v>
      </c>
      <c r="F1711">
        <v>192590.01509999999</v>
      </c>
      <c r="G1711">
        <v>75.729600000000005</v>
      </c>
      <c r="H1711">
        <v>1.0014510000000001</v>
      </c>
      <c r="I1711">
        <v>1</v>
      </c>
      <c r="J1711" s="156">
        <v>1</v>
      </c>
      <c r="K1711">
        <v>1</v>
      </c>
      <c r="L1711">
        <v>1</v>
      </c>
      <c r="M1711">
        <v>1</v>
      </c>
      <c r="N1711">
        <v>1.0014510000000001</v>
      </c>
    </row>
    <row r="1712" spans="1:14" x14ac:dyDescent="0.35">
      <c r="A1712" s="156" t="s">
        <v>542</v>
      </c>
      <c r="B1712" s="52">
        <v>45118</v>
      </c>
      <c r="C1712" s="156" t="s">
        <v>531</v>
      </c>
      <c r="D1712" s="156" t="s">
        <v>531</v>
      </c>
      <c r="E1712">
        <v>6828904</v>
      </c>
      <c r="F1712">
        <v>554947.5307</v>
      </c>
      <c r="G1712">
        <v>81.286100000000005</v>
      </c>
      <c r="H1712">
        <v>1.089316</v>
      </c>
      <c r="I1712">
        <v>1</v>
      </c>
      <c r="J1712" s="156">
        <v>1</v>
      </c>
      <c r="K1712">
        <v>1</v>
      </c>
      <c r="L1712">
        <v>1</v>
      </c>
      <c r="M1712">
        <v>1</v>
      </c>
      <c r="N1712">
        <v>1.089316</v>
      </c>
    </row>
    <row r="1713" spans="1:14" x14ac:dyDescent="0.35">
      <c r="A1713" s="156" t="s">
        <v>542</v>
      </c>
      <c r="B1713" s="52">
        <v>45119</v>
      </c>
      <c r="C1713" s="156" t="s">
        <v>531</v>
      </c>
      <c r="D1713" s="156" t="s">
        <v>531</v>
      </c>
      <c r="E1713">
        <v>4477211</v>
      </c>
      <c r="F1713">
        <v>376646.51169999997</v>
      </c>
      <c r="G1713">
        <v>84.116600000000005</v>
      </c>
      <c r="H1713">
        <v>1.0220100000000001</v>
      </c>
      <c r="I1713">
        <v>1</v>
      </c>
      <c r="J1713" s="156">
        <v>1</v>
      </c>
      <c r="K1713">
        <v>1</v>
      </c>
      <c r="L1713">
        <v>1</v>
      </c>
      <c r="M1713">
        <v>1</v>
      </c>
      <c r="N1713">
        <v>1.0220100000000001</v>
      </c>
    </row>
    <row r="1714" spans="1:14" x14ac:dyDescent="0.35">
      <c r="A1714" s="156" t="s">
        <v>542</v>
      </c>
      <c r="B1714" s="52">
        <v>45120</v>
      </c>
      <c r="C1714" s="156" t="s">
        <v>531</v>
      </c>
      <c r="D1714" s="156" t="s">
        <v>531</v>
      </c>
      <c r="E1714">
        <v>10621030</v>
      </c>
      <c r="F1714">
        <v>939358.09649999999</v>
      </c>
      <c r="G1714">
        <v>88.409800000000004</v>
      </c>
      <c r="H1714">
        <v>1.029582</v>
      </c>
      <c r="I1714">
        <v>1</v>
      </c>
      <c r="J1714" s="156">
        <v>1</v>
      </c>
      <c r="K1714">
        <v>1</v>
      </c>
      <c r="L1714">
        <v>1</v>
      </c>
      <c r="M1714">
        <v>1</v>
      </c>
      <c r="N1714">
        <v>1.029582</v>
      </c>
    </row>
    <row r="1715" spans="1:14" x14ac:dyDescent="0.35">
      <c r="A1715" s="156" t="s">
        <v>542</v>
      </c>
      <c r="B1715" s="52">
        <v>45121</v>
      </c>
      <c r="C1715" s="156" t="s">
        <v>531</v>
      </c>
      <c r="D1715" s="156" t="s">
        <v>531</v>
      </c>
      <c r="E1715">
        <v>31357362</v>
      </c>
      <c r="F1715">
        <v>2773871.4367</v>
      </c>
      <c r="G1715">
        <v>88.368499999999997</v>
      </c>
      <c r="H1715">
        <v>1.0113780000000001</v>
      </c>
      <c r="I1715">
        <v>1</v>
      </c>
      <c r="J1715" s="156">
        <v>1</v>
      </c>
      <c r="K1715">
        <v>1</v>
      </c>
      <c r="L1715">
        <v>1</v>
      </c>
      <c r="M1715">
        <v>1</v>
      </c>
      <c r="N1715">
        <v>1.0113780000000001</v>
      </c>
    </row>
    <row r="1716" spans="1:14" x14ac:dyDescent="0.35">
      <c r="A1716" s="156" t="s">
        <v>542</v>
      </c>
      <c r="B1716" s="52">
        <v>45124</v>
      </c>
      <c r="C1716" s="156" t="s">
        <v>531</v>
      </c>
      <c r="D1716" s="156" t="s">
        <v>531</v>
      </c>
      <c r="E1716">
        <v>7272417</v>
      </c>
      <c r="F1716">
        <v>653438.02370000002</v>
      </c>
      <c r="G1716">
        <v>89.938599999999994</v>
      </c>
      <c r="H1716">
        <v>1.0305679999999999</v>
      </c>
      <c r="I1716">
        <v>1</v>
      </c>
      <c r="J1716" s="156">
        <v>1</v>
      </c>
      <c r="K1716">
        <v>1</v>
      </c>
      <c r="L1716">
        <v>1</v>
      </c>
      <c r="M1716">
        <v>1</v>
      </c>
      <c r="N1716">
        <v>1.0305679999999999</v>
      </c>
    </row>
    <row r="1717" spans="1:14" x14ac:dyDescent="0.35">
      <c r="A1717" s="156" t="s">
        <v>542</v>
      </c>
      <c r="B1717" s="52">
        <v>45125</v>
      </c>
      <c r="C1717" s="156" t="s">
        <v>531</v>
      </c>
      <c r="D1717" s="156" t="s">
        <v>531</v>
      </c>
      <c r="E1717">
        <v>6818239</v>
      </c>
      <c r="F1717">
        <v>599992.87620000006</v>
      </c>
      <c r="G1717">
        <v>88.025000000000006</v>
      </c>
      <c r="H1717">
        <v>0.97618300000000002</v>
      </c>
      <c r="I1717">
        <v>1</v>
      </c>
      <c r="J1717" s="156">
        <v>1</v>
      </c>
      <c r="K1717">
        <v>1</v>
      </c>
      <c r="L1717">
        <v>1</v>
      </c>
      <c r="M1717">
        <v>1</v>
      </c>
      <c r="N1717">
        <v>0.97618300000000002</v>
      </c>
    </row>
    <row r="1718" spans="1:14" x14ac:dyDescent="0.35">
      <c r="A1718" s="156" t="s">
        <v>542</v>
      </c>
      <c r="B1718" s="52">
        <v>45126</v>
      </c>
      <c r="C1718" s="156" t="s">
        <v>531</v>
      </c>
      <c r="D1718" s="156" t="s">
        <v>531</v>
      </c>
      <c r="E1718">
        <v>6503500</v>
      </c>
      <c r="F1718">
        <v>572682.60109999997</v>
      </c>
      <c r="G1718">
        <v>88.080500000000001</v>
      </c>
      <c r="H1718">
        <v>0.99751500000000004</v>
      </c>
      <c r="I1718">
        <v>1</v>
      </c>
      <c r="J1718" s="156">
        <v>1</v>
      </c>
      <c r="K1718">
        <v>1</v>
      </c>
      <c r="L1718">
        <v>1</v>
      </c>
      <c r="M1718">
        <v>1</v>
      </c>
      <c r="N1718">
        <v>0.99751500000000004</v>
      </c>
    </row>
    <row r="1719" spans="1:14" x14ac:dyDescent="0.35">
      <c r="A1719" s="156" t="s">
        <v>542</v>
      </c>
      <c r="B1719" s="52">
        <v>45127</v>
      </c>
      <c r="C1719" s="156" t="s">
        <v>531</v>
      </c>
      <c r="D1719" s="156" t="s">
        <v>531</v>
      </c>
      <c r="E1719">
        <v>5253616</v>
      </c>
      <c r="F1719">
        <v>446225.97970000003</v>
      </c>
      <c r="G1719">
        <v>84.893000000000001</v>
      </c>
      <c r="H1719">
        <v>0.95572400000000002</v>
      </c>
      <c r="I1719">
        <v>1</v>
      </c>
      <c r="J1719" s="156">
        <v>1</v>
      </c>
      <c r="K1719">
        <v>1</v>
      </c>
      <c r="L1719">
        <v>1</v>
      </c>
      <c r="M1719">
        <v>1</v>
      </c>
      <c r="N1719">
        <v>0.95572400000000002</v>
      </c>
    </row>
    <row r="1720" spans="1:14" x14ac:dyDescent="0.35">
      <c r="A1720" s="156" t="s">
        <v>542</v>
      </c>
      <c r="B1720" s="52">
        <v>45128</v>
      </c>
      <c r="C1720" s="156" t="s">
        <v>531</v>
      </c>
      <c r="D1720" s="156" t="s">
        <v>531</v>
      </c>
      <c r="E1720">
        <v>8187631</v>
      </c>
      <c r="F1720">
        <v>690147.31480000005</v>
      </c>
      <c r="G1720">
        <v>84.2624</v>
      </c>
      <c r="H1720">
        <v>0.99715600000000004</v>
      </c>
      <c r="I1720">
        <v>1</v>
      </c>
      <c r="J1720" s="156">
        <v>1</v>
      </c>
      <c r="K1720">
        <v>1</v>
      </c>
      <c r="L1720">
        <v>1</v>
      </c>
      <c r="M1720">
        <v>1</v>
      </c>
      <c r="N1720">
        <v>0.99715600000000004</v>
      </c>
    </row>
    <row r="1721" spans="1:14" x14ac:dyDescent="0.35">
      <c r="A1721" s="156" t="s">
        <v>542</v>
      </c>
      <c r="B1721" s="52">
        <v>45131</v>
      </c>
      <c r="C1721" s="156" t="s">
        <v>531</v>
      </c>
      <c r="D1721" s="156" t="s">
        <v>531</v>
      </c>
      <c r="E1721">
        <v>4073341</v>
      </c>
      <c r="F1721">
        <v>336227.35619999998</v>
      </c>
      <c r="G1721">
        <v>82.531199999999998</v>
      </c>
      <c r="H1721">
        <v>0.97516599999999998</v>
      </c>
      <c r="I1721">
        <v>1</v>
      </c>
      <c r="J1721" s="156">
        <v>1</v>
      </c>
      <c r="K1721">
        <v>1</v>
      </c>
      <c r="L1721">
        <v>1</v>
      </c>
      <c r="M1721">
        <v>1</v>
      </c>
      <c r="N1721">
        <v>0.97516599999999998</v>
      </c>
    </row>
    <row r="1722" spans="1:14" x14ac:dyDescent="0.35">
      <c r="A1722" s="156" t="s">
        <v>542</v>
      </c>
      <c r="B1722" s="52">
        <v>45132</v>
      </c>
      <c r="C1722" s="156" t="s">
        <v>531</v>
      </c>
      <c r="D1722" s="156" t="s">
        <v>531</v>
      </c>
      <c r="E1722">
        <v>2884073</v>
      </c>
      <c r="F1722">
        <v>240903.15950000001</v>
      </c>
      <c r="G1722">
        <v>83.517200000000003</v>
      </c>
      <c r="H1722">
        <v>1.0141340000000001</v>
      </c>
      <c r="I1722">
        <v>1</v>
      </c>
      <c r="J1722" s="156">
        <v>1</v>
      </c>
      <c r="K1722">
        <v>1</v>
      </c>
      <c r="L1722">
        <v>1</v>
      </c>
      <c r="M1722">
        <v>1</v>
      </c>
      <c r="N1722">
        <v>1.0141340000000001</v>
      </c>
    </row>
    <row r="1723" spans="1:14" x14ac:dyDescent="0.35">
      <c r="A1723" s="156" t="s">
        <v>542</v>
      </c>
      <c r="B1723" s="52">
        <v>45133</v>
      </c>
      <c r="C1723" s="156" t="s">
        <v>531</v>
      </c>
      <c r="D1723" s="156" t="s">
        <v>531</v>
      </c>
      <c r="E1723">
        <v>3176298</v>
      </c>
      <c r="F1723">
        <v>266141.66100000002</v>
      </c>
      <c r="G1723">
        <v>83.790099999999995</v>
      </c>
      <c r="H1723">
        <v>1.01634</v>
      </c>
      <c r="I1723">
        <v>1</v>
      </c>
      <c r="J1723" s="156">
        <v>1</v>
      </c>
      <c r="K1723">
        <v>1</v>
      </c>
      <c r="L1723">
        <v>1</v>
      </c>
      <c r="M1723">
        <v>1</v>
      </c>
      <c r="N1723">
        <v>1.01634</v>
      </c>
    </row>
    <row r="1724" spans="1:14" x14ac:dyDescent="0.35">
      <c r="A1724" s="156" t="s">
        <v>542</v>
      </c>
      <c r="B1724" s="52">
        <v>45134</v>
      </c>
      <c r="C1724" s="156" t="s">
        <v>531</v>
      </c>
      <c r="D1724" s="156" t="s">
        <v>531</v>
      </c>
      <c r="E1724">
        <v>5763741</v>
      </c>
      <c r="F1724">
        <v>500633.45850000001</v>
      </c>
      <c r="G1724">
        <v>86.9803</v>
      </c>
      <c r="H1724">
        <v>1.009339</v>
      </c>
      <c r="I1724">
        <v>1</v>
      </c>
      <c r="J1724" s="156">
        <v>1</v>
      </c>
      <c r="K1724">
        <v>1</v>
      </c>
      <c r="L1724">
        <v>1</v>
      </c>
      <c r="M1724">
        <v>1</v>
      </c>
      <c r="N1724">
        <v>1.009339</v>
      </c>
    </row>
    <row r="1725" spans="1:14" x14ac:dyDescent="0.35">
      <c r="A1725" s="156" t="s">
        <v>542</v>
      </c>
      <c r="B1725" s="52">
        <v>45135</v>
      </c>
      <c r="C1725" s="156" t="s">
        <v>531</v>
      </c>
      <c r="D1725" s="156" t="s">
        <v>531</v>
      </c>
      <c r="E1725">
        <v>5271235</v>
      </c>
      <c r="F1725">
        <v>474119.60369999998</v>
      </c>
      <c r="G1725">
        <v>90.031899999999993</v>
      </c>
      <c r="H1725">
        <v>1.059382</v>
      </c>
      <c r="I1725">
        <v>1</v>
      </c>
      <c r="J1725" s="156">
        <v>1</v>
      </c>
      <c r="K1725">
        <v>1</v>
      </c>
      <c r="L1725">
        <v>1</v>
      </c>
      <c r="M1725">
        <v>1</v>
      </c>
      <c r="N1725">
        <v>1.059382</v>
      </c>
    </row>
    <row r="1726" spans="1:14" x14ac:dyDescent="0.35">
      <c r="A1726" s="156" t="s">
        <v>542</v>
      </c>
      <c r="B1726" s="52">
        <v>45138</v>
      </c>
      <c r="C1726" s="156" t="s">
        <v>531</v>
      </c>
      <c r="D1726" s="156" t="s">
        <v>531</v>
      </c>
      <c r="E1726">
        <v>3855519</v>
      </c>
      <c r="F1726">
        <v>349587.58689999999</v>
      </c>
      <c r="G1726">
        <v>90.688299999999998</v>
      </c>
      <c r="H1726">
        <v>1.008955</v>
      </c>
      <c r="I1726">
        <v>1</v>
      </c>
      <c r="J1726" s="156">
        <v>1</v>
      </c>
      <c r="K1726">
        <v>1</v>
      </c>
      <c r="L1726">
        <v>1</v>
      </c>
      <c r="M1726">
        <v>1</v>
      </c>
      <c r="N1726">
        <v>1.008955</v>
      </c>
    </row>
    <row r="1727" spans="1:14" x14ac:dyDescent="0.35">
      <c r="A1727" s="156" t="s">
        <v>542</v>
      </c>
      <c r="B1727" s="52">
        <v>45139</v>
      </c>
      <c r="C1727" s="156" t="s">
        <v>531</v>
      </c>
      <c r="D1727" s="156" t="s">
        <v>531</v>
      </c>
      <c r="E1727">
        <v>2357519</v>
      </c>
      <c r="F1727">
        <v>212378.0539</v>
      </c>
      <c r="G1727">
        <v>90.078699999999998</v>
      </c>
      <c r="H1727">
        <v>0.98674099999999998</v>
      </c>
      <c r="I1727">
        <v>1</v>
      </c>
      <c r="J1727" s="156">
        <v>1</v>
      </c>
      <c r="K1727">
        <v>1</v>
      </c>
      <c r="L1727">
        <v>1</v>
      </c>
      <c r="M1727">
        <v>1</v>
      </c>
      <c r="N1727">
        <v>0.98674099999999998</v>
      </c>
    </row>
    <row r="1728" spans="1:14" x14ac:dyDescent="0.35">
      <c r="A1728" s="156" t="s">
        <v>542</v>
      </c>
      <c r="B1728" s="52">
        <v>45140</v>
      </c>
      <c r="C1728" s="156" t="s">
        <v>531</v>
      </c>
      <c r="D1728" s="156" t="s">
        <v>531</v>
      </c>
      <c r="E1728">
        <v>3589206</v>
      </c>
      <c r="F1728">
        <v>310859.26929999999</v>
      </c>
      <c r="G1728">
        <v>86.616100000000003</v>
      </c>
      <c r="H1728">
        <v>0.96213199999999999</v>
      </c>
      <c r="I1728">
        <v>1</v>
      </c>
      <c r="J1728" s="156">
        <v>1</v>
      </c>
      <c r="K1728">
        <v>1</v>
      </c>
      <c r="L1728">
        <v>1</v>
      </c>
      <c r="M1728">
        <v>1</v>
      </c>
      <c r="N1728">
        <v>0.96213199999999999</v>
      </c>
    </row>
    <row r="1729" spans="1:14" x14ac:dyDescent="0.35">
      <c r="A1729" s="156" t="s">
        <v>542</v>
      </c>
      <c r="B1729" s="52">
        <v>45141</v>
      </c>
      <c r="C1729" s="156" t="s">
        <v>531</v>
      </c>
      <c r="D1729" s="156" t="s">
        <v>531</v>
      </c>
      <c r="E1729">
        <v>2716738</v>
      </c>
      <c r="F1729">
        <v>231572.62030000001</v>
      </c>
      <c r="G1729">
        <v>85.214500000000001</v>
      </c>
      <c r="H1729">
        <v>0.97830099999999998</v>
      </c>
      <c r="I1729">
        <v>1</v>
      </c>
      <c r="J1729" s="156">
        <v>1</v>
      </c>
      <c r="K1729">
        <v>1</v>
      </c>
      <c r="L1729">
        <v>1</v>
      </c>
      <c r="M1729">
        <v>1</v>
      </c>
      <c r="N1729">
        <v>0.97830099999999998</v>
      </c>
    </row>
    <row r="1730" spans="1:14" x14ac:dyDescent="0.35">
      <c r="A1730" s="156" t="s">
        <v>542</v>
      </c>
      <c r="B1730" s="52">
        <v>45142</v>
      </c>
      <c r="C1730" s="156" t="s">
        <v>531</v>
      </c>
      <c r="D1730" s="156" t="s">
        <v>531</v>
      </c>
      <c r="E1730">
        <v>2271118</v>
      </c>
      <c r="F1730">
        <v>193517.87959999999</v>
      </c>
      <c r="G1730">
        <v>85.167599999999993</v>
      </c>
      <c r="H1730">
        <v>1.0009440000000001</v>
      </c>
      <c r="I1730">
        <v>1</v>
      </c>
      <c r="J1730" s="156">
        <v>1</v>
      </c>
      <c r="K1730">
        <v>1</v>
      </c>
      <c r="L1730">
        <v>1</v>
      </c>
      <c r="M1730">
        <v>1</v>
      </c>
      <c r="N1730">
        <v>1.0009440000000001</v>
      </c>
    </row>
    <row r="1731" spans="1:14" x14ac:dyDescent="0.35">
      <c r="A1731" s="156" t="s">
        <v>542</v>
      </c>
      <c r="B1731" s="52">
        <v>45145</v>
      </c>
      <c r="C1731" s="156" t="s">
        <v>531</v>
      </c>
      <c r="D1731" s="156" t="s">
        <v>531</v>
      </c>
      <c r="E1731">
        <v>2717424</v>
      </c>
      <c r="F1731">
        <v>231865.12940000001</v>
      </c>
      <c r="G1731">
        <v>85.338499999999996</v>
      </c>
      <c r="H1731">
        <v>1.011315</v>
      </c>
      <c r="I1731">
        <v>1</v>
      </c>
      <c r="J1731" s="156">
        <v>1</v>
      </c>
      <c r="K1731">
        <v>1</v>
      </c>
      <c r="L1731">
        <v>1</v>
      </c>
      <c r="M1731">
        <v>1</v>
      </c>
      <c r="N1731">
        <v>1.011315</v>
      </c>
    </row>
    <row r="1732" spans="1:14" x14ac:dyDescent="0.35">
      <c r="A1732" s="156" t="s">
        <v>542</v>
      </c>
      <c r="B1732" s="52">
        <v>45146</v>
      </c>
      <c r="C1732" s="156" t="s">
        <v>531</v>
      </c>
      <c r="D1732" s="156" t="s">
        <v>531</v>
      </c>
      <c r="E1732">
        <v>3969543</v>
      </c>
      <c r="F1732">
        <v>336635.1263</v>
      </c>
      <c r="G1732">
        <v>84.801500000000004</v>
      </c>
      <c r="H1732">
        <v>0.99417200000000006</v>
      </c>
      <c r="I1732">
        <v>1</v>
      </c>
      <c r="J1732" s="156">
        <v>1</v>
      </c>
      <c r="K1732">
        <v>1</v>
      </c>
      <c r="L1732">
        <v>1</v>
      </c>
      <c r="M1732">
        <v>1</v>
      </c>
      <c r="N1732">
        <v>0.99417200000000006</v>
      </c>
    </row>
    <row r="1733" spans="1:14" x14ac:dyDescent="0.35">
      <c r="A1733" s="156" t="s">
        <v>542</v>
      </c>
      <c r="B1733" s="52">
        <v>45147</v>
      </c>
      <c r="C1733" s="156" t="s">
        <v>531</v>
      </c>
      <c r="D1733" s="156" t="s">
        <v>531</v>
      </c>
      <c r="E1733">
        <v>8054008</v>
      </c>
      <c r="F1733">
        <v>654328.78859999997</v>
      </c>
      <c r="G1733">
        <v>81.123500000000007</v>
      </c>
      <c r="H1733">
        <v>0.94876899999999997</v>
      </c>
      <c r="I1733">
        <v>1</v>
      </c>
      <c r="J1733" s="156">
        <v>1</v>
      </c>
      <c r="K1733">
        <v>1</v>
      </c>
      <c r="L1733">
        <v>1</v>
      </c>
      <c r="M1733">
        <v>1</v>
      </c>
      <c r="N1733">
        <v>0.94876899999999997</v>
      </c>
    </row>
    <row r="1734" spans="1:14" x14ac:dyDescent="0.35">
      <c r="A1734" s="156" t="s">
        <v>542</v>
      </c>
      <c r="B1734" s="52">
        <v>45148</v>
      </c>
      <c r="C1734" s="156" t="s">
        <v>531</v>
      </c>
      <c r="D1734" s="156" t="s">
        <v>531</v>
      </c>
      <c r="E1734">
        <v>8956421</v>
      </c>
      <c r="F1734">
        <v>700202.65240000002</v>
      </c>
      <c r="G1734">
        <v>78.206500000000005</v>
      </c>
      <c r="H1734">
        <v>0.95255199999999995</v>
      </c>
      <c r="I1734">
        <v>1</v>
      </c>
      <c r="J1734" s="156">
        <v>1</v>
      </c>
      <c r="K1734">
        <v>1</v>
      </c>
      <c r="L1734">
        <v>1</v>
      </c>
      <c r="M1734">
        <v>1</v>
      </c>
      <c r="N1734">
        <v>0.95255199999999995</v>
      </c>
    </row>
    <row r="1735" spans="1:14" x14ac:dyDescent="0.35">
      <c r="A1735" s="156" t="s">
        <v>542</v>
      </c>
      <c r="B1735" s="52">
        <v>45149</v>
      </c>
      <c r="C1735" s="156" t="s">
        <v>531</v>
      </c>
      <c r="D1735" s="156" t="s">
        <v>531</v>
      </c>
      <c r="E1735">
        <v>5820076</v>
      </c>
      <c r="F1735">
        <v>435976.28519999998</v>
      </c>
      <c r="G1735">
        <v>74.914500000000004</v>
      </c>
      <c r="H1735">
        <v>0.96796000000000004</v>
      </c>
      <c r="I1735">
        <v>1</v>
      </c>
      <c r="J1735" s="156">
        <v>1</v>
      </c>
      <c r="K1735">
        <v>1</v>
      </c>
      <c r="L1735">
        <v>1</v>
      </c>
      <c r="M1735">
        <v>1</v>
      </c>
      <c r="N1735">
        <v>0.96796000000000004</v>
      </c>
    </row>
    <row r="1736" spans="1:14" x14ac:dyDescent="0.35">
      <c r="A1736" s="156" t="s">
        <v>542</v>
      </c>
      <c r="B1736" s="52">
        <v>45152</v>
      </c>
      <c r="C1736" s="156" t="s">
        <v>531</v>
      </c>
      <c r="D1736" s="156" t="s">
        <v>531</v>
      </c>
      <c r="E1736">
        <v>3748041</v>
      </c>
      <c r="F1736">
        <v>280613.13750000001</v>
      </c>
      <c r="G1736">
        <v>74.900599999999997</v>
      </c>
      <c r="H1736">
        <v>1.0085770000000001</v>
      </c>
      <c r="I1736">
        <v>1</v>
      </c>
      <c r="J1736" s="156">
        <v>1</v>
      </c>
      <c r="K1736">
        <v>1</v>
      </c>
      <c r="L1736">
        <v>1</v>
      </c>
      <c r="M1736">
        <v>1</v>
      </c>
      <c r="N1736">
        <v>1.0085770000000001</v>
      </c>
    </row>
    <row r="1737" spans="1:14" x14ac:dyDescent="0.35">
      <c r="A1737" s="156" t="s">
        <v>542</v>
      </c>
      <c r="B1737" s="52">
        <v>45153</v>
      </c>
      <c r="C1737" s="156" t="s">
        <v>531</v>
      </c>
      <c r="D1737" s="156" t="s">
        <v>531</v>
      </c>
      <c r="E1737">
        <v>2511290</v>
      </c>
      <c r="F1737">
        <v>185672.4731</v>
      </c>
      <c r="G1737">
        <v>73.928299999999993</v>
      </c>
      <c r="H1737">
        <v>0.97913899999999998</v>
      </c>
      <c r="I1737">
        <v>1</v>
      </c>
      <c r="J1737" s="156">
        <v>1</v>
      </c>
      <c r="K1737">
        <v>1</v>
      </c>
      <c r="L1737">
        <v>1</v>
      </c>
      <c r="M1737">
        <v>1</v>
      </c>
      <c r="N1737">
        <v>0.97913899999999998</v>
      </c>
    </row>
    <row r="1738" spans="1:14" x14ac:dyDescent="0.35">
      <c r="A1738" s="156" t="s">
        <v>542</v>
      </c>
      <c r="B1738" s="52">
        <v>45154</v>
      </c>
      <c r="C1738" s="156" t="s">
        <v>531</v>
      </c>
      <c r="D1738" s="156" t="s">
        <v>531</v>
      </c>
      <c r="E1738">
        <v>2965515</v>
      </c>
      <c r="F1738">
        <v>216704.9276</v>
      </c>
      <c r="G1738">
        <v>73.060900000000004</v>
      </c>
      <c r="H1738">
        <v>0.98710799999999999</v>
      </c>
      <c r="I1738">
        <v>1</v>
      </c>
      <c r="J1738" s="156">
        <v>1</v>
      </c>
      <c r="K1738">
        <v>1</v>
      </c>
      <c r="L1738">
        <v>1</v>
      </c>
      <c r="M1738">
        <v>1</v>
      </c>
      <c r="N1738">
        <v>0.98710799999999999</v>
      </c>
    </row>
    <row r="1739" spans="1:14" x14ac:dyDescent="0.35">
      <c r="A1739" s="156" t="s">
        <v>542</v>
      </c>
      <c r="B1739" s="52">
        <v>45155</v>
      </c>
      <c r="C1739" s="156" t="s">
        <v>531</v>
      </c>
      <c r="D1739" s="156" t="s">
        <v>531</v>
      </c>
      <c r="E1739">
        <v>4117860</v>
      </c>
      <c r="F1739">
        <v>293669.39669999998</v>
      </c>
      <c r="G1739">
        <v>71.323700000000002</v>
      </c>
      <c r="H1739">
        <v>0.97869099999999998</v>
      </c>
      <c r="I1739">
        <v>1</v>
      </c>
      <c r="J1739" s="156">
        <v>1</v>
      </c>
      <c r="K1739">
        <v>1</v>
      </c>
      <c r="L1739">
        <v>1</v>
      </c>
      <c r="M1739">
        <v>1</v>
      </c>
      <c r="N1739">
        <v>0.97869099999999998</v>
      </c>
    </row>
    <row r="1740" spans="1:14" x14ac:dyDescent="0.35">
      <c r="A1740" s="156" t="s">
        <v>542</v>
      </c>
      <c r="B1740" s="52">
        <v>45156</v>
      </c>
      <c r="C1740" s="156" t="s">
        <v>531</v>
      </c>
      <c r="D1740" s="156" t="s">
        <v>531</v>
      </c>
      <c r="E1740">
        <v>3602973</v>
      </c>
      <c r="F1740">
        <v>259043.75080000001</v>
      </c>
      <c r="G1740">
        <v>71.880600000000001</v>
      </c>
      <c r="H1740">
        <v>1.013906</v>
      </c>
      <c r="I1740">
        <v>1</v>
      </c>
      <c r="J1740" s="156">
        <v>1</v>
      </c>
      <c r="K1740">
        <v>1</v>
      </c>
      <c r="L1740">
        <v>1</v>
      </c>
      <c r="M1740">
        <v>1</v>
      </c>
      <c r="N1740">
        <v>1.013906</v>
      </c>
    </row>
    <row r="1741" spans="1:14" x14ac:dyDescent="0.35">
      <c r="A1741" s="156" t="s">
        <v>542</v>
      </c>
      <c r="B1741" s="52">
        <v>45159</v>
      </c>
      <c r="C1741" s="156" t="s">
        <v>531</v>
      </c>
      <c r="D1741" s="156" t="s">
        <v>531</v>
      </c>
      <c r="E1741">
        <v>3219534</v>
      </c>
      <c r="F1741">
        <v>235512.08850000001</v>
      </c>
      <c r="G1741">
        <v>73.1524</v>
      </c>
      <c r="H1741">
        <v>1.0160709999999999</v>
      </c>
      <c r="I1741">
        <v>1</v>
      </c>
      <c r="J1741" s="156">
        <v>1</v>
      </c>
      <c r="K1741">
        <v>1</v>
      </c>
      <c r="L1741">
        <v>1</v>
      </c>
      <c r="M1741">
        <v>1</v>
      </c>
      <c r="N1741">
        <v>1.0160709999999999</v>
      </c>
    </row>
    <row r="1742" spans="1:14" x14ac:dyDescent="0.35">
      <c r="A1742" s="156" t="s">
        <v>542</v>
      </c>
      <c r="B1742" s="52">
        <v>45160</v>
      </c>
      <c r="C1742" s="156" t="s">
        <v>531</v>
      </c>
      <c r="D1742" s="156" t="s">
        <v>531</v>
      </c>
      <c r="E1742">
        <v>2820206</v>
      </c>
      <c r="F1742">
        <v>209828.0123</v>
      </c>
      <c r="G1742">
        <v>74.387500000000003</v>
      </c>
      <c r="H1742">
        <v>1.0170440000000001</v>
      </c>
      <c r="I1742">
        <v>1</v>
      </c>
      <c r="J1742" s="156">
        <v>1</v>
      </c>
      <c r="K1742">
        <v>1</v>
      </c>
      <c r="L1742">
        <v>1</v>
      </c>
      <c r="M1742">
        <v>1</v>
      </c>
      <c r="N1742">
        <v>1.0170440000000001</v>
      </c>
    </row>
    <row r="1743" spans="1:14" x14ac:dyDescent="0.35">
      <c r="A1743" s="156" t="s">
        <v>542</v>
      </c>
      <c r="B1743" s="52">
        <v>45161</v>
      </c>
      <c r="C1743" s="156" t="s">
        <v>531</v>
      </c>
      <c r="D1743" s="156" t="s">
        <v>531</v>
      </c>
      <c r="E1743">
        <v>3839918</v>
      </c>
      <c r="F1743">
        <v>296965.63459999999</v>
      </c>
      <c r="G1743">
        <v>77.317899999999995</v>
      </c>
      <c r="H1743">
        <v>1.0412920000000001</v>
      </c>
      <c r="I1743">
        <v>1</v>
      </c>
      <c r="J1743" s="156">
        <v>1</v>
      </c>
      <c r="K1743">
        <v>1</v>
      </c>
      <c r="L1743">
        <v>1</v>
      </c>
      <c r="M1743">
        <v>1</v>
      </c>
      <c r="N1743">
        <v>1.0412920000000001</v>
      </c>
    </row>
    <row r="1744" spans="1:14" x14ac:dyDescent="0.35">
      <c r="A1744" s="156" t="s">
        <v>542</v>
      </c>
      <c r="B1744" s="52">
        <v>45162</v>
      </c>
      <c r="C1744" s="156" t="s">
        <v>531</v>
      </c>
      <c r="D1744" s="156" t="s">
        <v>531</v>
      </c>
      <c r="E1744">
        <v>2605055</v>
      </c>
      <c r="F1744">
        <v>196674.95550000001</v>
      </c>
      <c r="G1744">
        <v>75.433800000000005</v>
      </c>
      <c r="H1744">
        <v>0.95931500000000003</v>
      </c>
      <c r="I1744">
        <v>1</v>
      </c>
      <c r="J1744" s="156">
        <v>1</v>
      </c>
      <c r="K1744">
        <v>1</v>
      </c>
      <c r="L1744">
        <v>1</v>
      </c>
      <c r="M1744">
        <v>1</v>
      </c>
      <c r="N1744">
        <v>0.95931500000000003</v>
      </c>
    </row>
    <row r="1745" spans="1:14" x14ac:dyDescent="0.35">
      <c r="A1745" s="156" t="s">
        <v>542</v>
      </c>
      <c r="B1745" s="52">
        <v>45163</v>
      </c>
      <c r="C1745" s="156" t="s">
        <v>531</v>
      </c>
      <c r="D1745" s="156" t="s">
        <v>531</v>
      </c>
      <c r="E1745">
        <v>2439623</v>
      </c>
      <c r="F1745">
        <v>183686.14689999999</v>
      </c>
      <c r="G1745">
        <v>75.331299999999999</v>
      </c>
      <c r="H1745">
        <v>1.0187889999999999</v>
      </c>
      <c r="I1745">
        <v>1</v>
      </c>
      <c r="J1745" s="156">
        <v>1</v>
      </c>
      <c r="K1745">
        <v>1</v>
      </c>
      <c r="L1745">
        <v>1</v>
      </c>
      <c r="M1745">
        <v>1</v>
      </c>
      <c r="N1745">
        <v>1.0187889999999999</v>
      </c>
    </row>
    <row r="1746" spans="1:14" x14ac:dyDescent="0.35">
      <c r="A1746" s="156" t="s">
        <v>542</v>
      </c>
      <c r="B1746" s="52">
        <v>45166</v>
      </c>
      <c r="C1746" s="156" t="s">
        <v>531</v>
      </c>
      <c r="D1746" s="156" t="s">
        <v>531</v>
      </c>
      <c r="E1746">
        <v>1898833</v>
      </c>
      <c r="F1746">
        <v>144776.9106</v>
      </c>
      <c r="G1746">
        <v>76.253799999999998</v>
      </c>
      <c r="H1746">
        <v>1.003952</v>
      </c>
      <c r="I1746">
        <v>1</v>
      </c>
      <c r="J1746" s="156">
        <v>1</v>
      </c>
      <c r="K1746">
        <v>1</v>
      </c>
      <c r="L1746">
        <v>1</v>
      </c>
      <c r="M1746">
        <v>1</v>
      </c>
      <c r="N1746">
        <v>1.003952</v>
      </c>
    </row>
    <row r="1747" spans="1:14" x14ac:dyDescent="0.35">
      <c r="A1747" s="156" t="s">
        <v>542</v>
      </c>
      <c r="B1747" s="52">
        <v>45167</v>
      </c>
      <c r="C1747" s="156" t="s">
        <v>531</v>
      </c>
      <c r="D1747" s="156" t="s">
        <v>531</v>
      </c>
      <c r="E1747">
        <v>2436129</v>
      </c>
      <c r="F1747">
        <v>191040.2377</v>
      </c>
      <c r="G1747">
        <v>78.423900000000003</v>
      </c>
      <c r="H1747">
        <v>1.0339849999999999</v>
      </c>
      <c r="I1747">
        <v>1</v>
      </c>
      <c r="J1747" s="156">
        <v>1</v>
      </c>
      <c r="K1747">
        <v>1</v>
      </c>
      <c r="L1747">
        <v>1</v>
      </c>
      <c r="M1747">
        <v>1</v>
      </c>
      <c r="N1747">
        <v>1.0339849999999999</v>
      </c>
    </row>
    <row r="1748" spans="1:14" x14ac:dyDescent="0.35">
      <c r="A1748" s="156" t="s">
        <v>542</v>
      </c>
      <c r="B1748" s="52">
        <v>45168</v>
      </c>
      <c r="C1748" s="156" t="s">
        <v>531</v>
      </c>
      <c r="D1748" s="156" t="s">
        <v>531</v>
      </c>
      <c r="E1748">
        <v>2358666</v>
      </c>
      <c r="F1748">
        <v>188313.94649999999</v>
      </c>
      <c r="G1748">
        <v>79.834299999999999</v>
      </c>
      <c r="H1748">
        <v>1.0187820000000001</v>
      </c>
      <c r="I1748">
        <v>1</v>
      </c>
      <c r="J1748" s="156">
        <v>1</v>
      </c>
      <c r="K1748">
        <v>1</v>
      </c>
      <c r="L1748">
        <v>1</v>
      </c>
      <c r="M1748">
        <v>1</v>
      </c>
      <c r="N1748">
        <v>1.0187820000000001</v>
      </c>
    </row>
    <row r="1749" spans="1:14" x14ac:dyDescent="0.35">
      <c r="A1749" s="156" t="s">
        <v>542</v>
      </c>
      <c r="B1749" s="52">
        <v>45169</v>
      </c>
      <c r="C1749" s="156" t="s">
        <v>531</v>
      </c>
      <c r="D1749" s="156" t="s">
        <v>531</v>
      </c>
      <c r="E1749">
        <v>3362140</v>
      </c>
      <c r="F1749">
        <v>269008.71539999999</v>
      </c>
      <c r="G1749">
        <v>80.005899999999997</v>
      </c>
      <c r="H1749">
        <v>0.99688600000000005</v>
      </c>
      <c r="I1749">
        <v>1</v>
      </c>
      <c r="J1749" s="156">
        <v>1</v>
      </c>
      <c r="K1749">
        <v>1</v>
      </c>
      <c r="L1749">
        <v>1</v>
      </c>
      <c r="M1749">
        <v>1</v>
      </c>
      <c r="N1749">
        <v>0.99688600000000005</v>
      </c>
    </row>
    <row r="1750" spans="1:14" x14ac:dyDescent="0.35">
      <c r="A1750" s="156" t="s">
        <v>542</v>
      </c>
      <c r="B1750" s="52">
        <v>45170</v>
      </c>
      <c r="C1750" s="156" t="s">
        <v>531</v>
      </c>
      <c r="D1750" s="156" t="s">
        <v>531</v>
      </c>
      <c r="E1750">
        <v>3050846</v>
      </c>
      <c r="F1750">
        <v>244473.59049999999</v>
      </c>
      <c r="G1750">
        <v>80.140100000000004</v>
      </c>
      <c r="H1750">
        <v>0.99875000000000003</v>
      </c>
      <c r="I1750">
        <v>1</v>
      </c>
      <c r="J1750" s="156">
        <v>1</v>
      </c>
      <c r="K1750">
        <v>1</v>
      </c>
      <c r="L1750">
        <v>1</v>
      </c>
      <c r="M1750">
        <v>1</v>
      </c>
      <c r="N1750">
        <v>0.99875000000000003</v>
      </c>
    </row>
    <row r="1751" spans="1:14" x14ac:dyDescent="0.35">
      <c r="A1751" s="156" t="s">
        <v>542</v>
      </c>
      <c r="B1751" s="52">
        <v>45174</v>
      </c>
      <c r="C1751" s="156" t="s">
        <v>531</v>
      </c>
      <c r="D1751" s="156" t="s">
        <v>531</v>
      </c>
      <c r="E1751">
        <v>3212084</v>
      </c>
      <c r="F1751">
        <v>259711.92110000001</v>
      </c>
      <c r="G1751">
        <v>80.813199999999995</v>
      </c>
      <c r="H1751">
        <v>1.0186409999999999</v>
      </c>
      <c r="I1751">
        <v>1</v>
      </c>
      <c r="J1751" s="156">
        <v>1</v>
      </c>
      <c r="K1751">
        <v>1</v>
      </c>
      <c r="L1751">
        <v>1</v>
      </c>
      <c r="M1751">
        <v>1</v>
      </c>
      <c r="N1751">
        <v>1.0186409999999999</v>
      </c>
    </row>
    <row r="1752" spans="1:14" x14ac:dyDescent="0.35">
      <c r="A1752" s="156" t="s">
        <v>542</v>
      </c>
      <c r="B1752" s="52">
        <v>45175</v>
      </c>
      <c r="C1752" s="156" t="s">
        <v>531</v>
      </c>
      <c r="D1752" s="156" t="s">
        <v>531</v>
      </c>
      <c r="E1752">
        <v>3885802</v>
      </c>
      <c r="F1752">
        <v>321357.13559999998</v>
      </c>
      <c r="G1752">
        <v>82.706000000000003</v>
      </c>
      <c r="H1752">
        <v>1.0251779999999999</v>
      </c>
      <c r="I1752">
        <v>1</v>
      </c>
      <c r="J1752" s="156">
        <v>1</v>
      </c>
      <c r="K1752">
        <v>1</v>
      </c>
      <c r="L1752">
        <v>1</v>
      </c>
      <c r="M1752">
        <v>1</v>
      </c>
      <c r="N1752">
        <v>1.0251779999999999</v>
      </c>
    </row>
    <row r="1753" spans="1:14" x14ac:dyDescent="0.35">
      <c r="A1753" s="156" t="s">
        <v>542</v>
      </c>
      <c r="B1753" s="52">
        <v>45176</v>
      </c>
      <c r="C1753" s="156" t="s">
        <v>531</v>
      </c>
      <c r="D1753" s="156" t="s">
        <v>531</v>
      </c>
      <c r="E1753">
        <v>3038672</v>
      </c>
      <c r="F1753">
        <v>254152.95929999999</v>
      </c>
      <c r="G1753">
        <v>83.650800000000004</v>
      </c>
      <c r="H1753">
        <v>1.0100629999999999</v>
      </c>
      <c r="I1753">
        <v>1</v>
      </c>
      <c r="J1753" s="156">
        <v>1</v>
      </c>
      <c r="K1753">
        <v>1</v>
      </c>
      <c r="L1753">
        <v>1</v>
      </c>
      <c r="M1753">
        <v>1</v>
      </c>
      <c r="N1753">
        <v>1.0100629999999999</v>
      </c>
    </row>
    <row r="1754" spans="1:14" x14ac:dyDescent="0.35">
      <c r="A1754" s="156" t="s">
        <v>542</v>
      </c>
      <c r="B1754" s="52">
        <v>45177</v>
      </c>
      <c r="C1754" s="156" t="s">
        <v>531</v>
      </c>
      <c r="D1754" s="156" t="s">
        <v>531</v>
      </c>
      <c r="E1754">
        <v>2936934</v>
      </c>
      <c r="F1754">
        <v>248496.26130000001</v>
      </c>
      <c r="G1754">
        <v>84.622100000000003</v>
      </c>
      <c r="H1754">
        <v>0.99501799999999996</v>
      </c>
      <c r="I1754">
        <v>1</v>
      </c>
      <c r="J1754" s="156">
        <v>1</v>
      </c>
      <c r="K1754">
        <v>1</v>
      </c>
      <c r="L1754">
        <v>1</v>
      </c>
      <c r="M1754">
        <v>1</v>
      </c>
      <c r="N1754">
        <v>0.99501799999999996</v>
      </c>
    </row>
    <row r="1755" spans="1:14" x14ac:dyDescent="0.35">
      <c r="A1755" s="156" t="s">
        <v>542</v>
      </c>
      <c r="B1755" s="52">
        <v>45180</v>
      </c>
      <c r="C1755" s="156" t="s">
        <v>531</v>
      </c>
      <c r="D1755" s="156" t="s">
        <v>531</v>
      </c>
      <c r="E1755">
        <v>2991018</v>
      </c>
      <c r="F1755">
        <v>257848.6961</v>
      </c>
      <c r="G1755">
        <v>86.202200000000005</v>
      </c>
      <c r="H1755">
        <v>1.0314700000000001</v>
      </c>
      <c r="I1755">
        <v>1</v>
      </c>
      <c r="J1755" s="156">
        <v>1</v>
      </c>
      <c r="K1755">
        <v>1</v>
      </c>
      <c r="L1755">
        <v>1</v>
      </c>
      <c r="M1755">
        <v>1</v>
      </c>
      <c r="N1755">
        <v>1.0314700000000001</v>
      </c>
    </row>
    <row r="1756" spans="1:14" x14ac:dyDescent="0.35">
      <c r="A1756" s="156" t="s">
        <v>542</v>
      </c>
      <c r="B1756" s="52">
        <v>45181</v>
      </c>
      <c r="C1756" s="156" t="s">
        <v>531</v>
      </c>
      <c r="D1756" s="156" t="s">
        <v>531</v>
      </c>
      <c r="E1756">
        <v>2822068</v>
      </c>
      <c r="F1756">
        <v>243591.7506</v>
      </c>
      <c r="G1756">
        <v>86.310299999999998</v>
      </c>
      <c r="H1756">
        <v>0.991564</v>
      </c>
      <c r="I1756">
        <v>1</v>
      </c>
      <c r="J1756" s="156">
        <v>1</v>
      </c>
      <c r="K1756">
        <v>1</v>
      </c>
      <c r="L1756">
        <v>1</v>
      </c>
      <c r="M1756">
        <v>1</v>
      </c>
      <c r="N1756">
        <v>0.991564</v>
      </c>
    </row>
    <row r="1757" spans="1:14" x14ac:dyDescent="0.35">
      <c r="A1757" s="156" t="s">
        <v>542</v>
      </c>
      <c r="B1757" s="52">
        <v>45182</v>
      </c>
      <c r="C1757" s="156" t="s">
        <v>531</v>
      </c>
      <c r="D1757" s="156" t="s">
        <v>531</v>
      </c>
      <c r="E1757">
        <v>2531575</v>
      </c>
      <c r="F1757">
        <v>216516.867</v>
      </c>
      <c r="G1757">
        <v>85.5214</v>
      </c>
      <c r="H1757">
        <v>0.99452200000000002</v>
      </c>
      <c r="I1757">
        <v>1</v>
      </c>
      <c r="J1757" s="156">
        <v>1</v>
      </c>
      <c r="K1757">
        <v>1</v>
      </c>
      <c r="L1757">
        <v>1</v>
      </c>
      <c r="M1757">
        <v>1</v>
      </c>
      <c r="N1757">
        <v>0.99452200000000002</v>
      </c>
    </row>
    <row r="1758" spans="1:14" x14ac:dyDescent="0.35">
      <c r="A1758" s="156" t="s">
        <v>542</v>
      </c>
      <c r="B1758" s="52">
        <v>45183</v>
      </c>
      <c r="C1758" s="156" t="s">
        <v>531</v>
      </c>
      <c r="D1758" s="156" t="s">
        <v>531</v>
      </c>
      <c r="E1758">
        <v>3139043</v>
      </c>
      <c r="F1758">
        <v>267023.40700000001</v>
      </c>
      <c r="G1758">
        <v>85.083299999999994</v>
      </c>
      <c r="H1758">
        <v>1.0004690000000001</v>
      </c>
      <c r="I1758">
        <v>1</v>
      </c>
      <c r="J1758" s="156">
        <v>1</v>
      </c>
      <c r="K1758">
        <v>1</v>
      </c>
      <c r="L1758">
        <v>1</v>
      </c>
      <c r="M1758">
        <v>1</v>
      </c>
      <c r="N1758">
        <v>1.0004690000000001</v>
      </c>
    </row>
    <row r="1759" spans="1:14" x14ac:dyDescent="0.35">
      <c r="A1759" s="156" t="s">
        <v>542</v>
      </c>
      <c r="B1759" s="52">
        <v>45184</v>
      </c>
      <c r="C1759" s="156" t="s">
        <v>531</v>
      </c>
      <c r="D1759" s="156" t="s">
        <v>531</v>
      </c>
      <c r="E1759">
        <v>4216557</v>
      </c>
      <c r="F1759">
        <v>352050.41629999998</v>
      </c>
      <c r="G1759">
        <v>83.557199999999995</v>
      </c>
      <c r="H1759">
        <v>0.97668999999999995</v>
      </c>
      <c r="I1759">
        <v>1</v>
      </c>
      <c r="J1759" s="156">
        <v>1</v>
      </c>
      <c r="K1759">
        <v>1</v>
      </c>
      <c r="L1759">
        <v>1</v>
      </c>
      <c r="M1759">
        <v>1</v>
      </c>
      <c r="N1759">
        <v>0.97668999999999995</v>
      </c>
    </row>
    <row r="1760" spans="1:14" x14ac:dyDescent="0.35">
      <c r="A1760" s="156" t="s">
        <v>542</v>
      </c>
      <c r="B1760" s="52">
        <v>45187</v>
      </c>
      <c r="C1760" s="156" t="s">
        <v>531</v>
      </c>
      <c r="D1760" s="156" t="s">
        <v>531</v>
      </c>
      <c r="E1760">
        <v>3255498</v>
      </c>
      <c r="F1760">
        <v>264460.5661</v>
      </c>
      <c r="G1760">
        <v>81.205299999999994</v>
      </c>
      <c r="H1760">
        <v>0.96797800000000001</v>
      </c>
      <c r="I1760">
        <v>1</v>
      </c>
      <c r="J1760" s="156">
        <v>1</v>
      </c>
      <c r="K1760">
        <v>1</v>
      </c>
      <c r="L1760">
        <v>1</v>
      </c>
      <c r="M1760">
        <v>1</v>
      </c>
      <c r="N1760">
        <v>0.96797800000000001</v>
      </c>
    </row>
    <row r="1761" spans="1:14" x14ac:dyDescent="0.35">
      <c r="A1761" s="156" t="s">
        <v>542</v>
      </c>
      <c r="B1761" s="52">
        <v>45188</v>
      </c>
      <c r="C1761" s="156" t="s">
        <v>531</v>
      </c>
      <c r="D1761" s="156" t="s">
        <v>531</v>
      </c>
      <c r="E1761">
        <v>4050000</v>
      </c>
      <c r="F1761">
        <v>321299.79269999999</v>
      </c>
      <c r="G1761">
        <v>79.3245</v>
      </c>
      <c r="H1761">
        <v>0.97955599999999998</v>
      </c>
      <c r="I1761">
        <v>1</v>
      </c>
      <c r="J1761" s="156">
        <v>1</v>
      </c>
      <c r="K1761">
        <v>1</v>
      </c>
      <c r="L1761">
        <v>1</v>
      </c>
      <c r="M1761">
        <v>1</v>
      </c>
      <c r="N1761">
        <v>0.97955599999999998</v>
      </c>
    </row>
    <row r="1762" spans="1:14" x14ac:dyDescent="0.35">
      <c r="A1762" s="156" t="s">
        <v>542</v>
      </c>
      <c r="B1762" s="52">
        <v>45189</v>
      </c>
      <c r="C1762" s="156" t="s">
        <v>531</v>
      </c>
      <c r="D1762" s="156" t="s">
        <v>531</v>
      </c>
      <c r="E1762">
        <v>3019891</v>
      </c>
      <c r="F1762">
        <v>238026.29</v>
      </c>
      <c r="G1762">
        <v>78.813400000000001</v>
      </c>
      <c r="H1762">
        <v>0.99026099999999995</v>
      </c>
      <c r="I1762">
        <v>1</v>
      </c>
      <c r="J1762" s="156">
        <v>1</v>
      </c>
      <c r="K1762">
        <v>1</v>
      </c>
      <c r="L1762">
        <v>1</v>
      </c>
      <c r="M1762">
        <v>1</v>
      </c>
      <c r="N1762">
        <v>0.99026099999999995</v>
      </c>
    </row>
    <row r="1763" spans="1:14" x14ac:dyDescent="0.35">
      <c r="A1763" s="156" t="s">
        <v>542</v>
      </c>
      <c r="B1763" s="52">
        <v>45190</v>
      </c>
      <c r="C1763" s="156" t="s">
        <v>531</v>
      </c>
      <c r="D1763" s="156" t="s">
        <v>531</v>
      </c>
      <c r="E1763">
        <v>3145222</v>
      </c>
      <c r="F1763">
        <v>239564.1715</v>
      </c>
      <c r="G1763">
        <v>76.141000000000005</v>
      </c>
      <c r="H1763">
        <v>0.96717299999999995</v>
      </c>
      <c r="I1763">
        <v>1</v>
      </c>
      <c r="J1763" s="156">
        <v>1</v>
      </c>
      <c r="K1763">
        <v>1</v>
      </c>
      <c r="L1763">
        <v>1</v>
      </c>
      <c r="M1763">
        <v>1</v>
      </c>
      <c r="N1763">
        <v>0.96717299999999995</v>
      </c>
    </row>
    <row r="1764" spans="1:14" x14ac:dyDescent="0.35">
      <c r="A1764" s="156" t="s">
        <v>542</v>
      </c>
      <c r="B1764" s="52">
        <v>45191</v>
      </c>
      <c r="C1764" s="156" t="s">
        <v>531</v>
      </c>
      <c r="D1764" s="156" t="s">
        <v>531</v>
      </c>
      <c r="E1764">
        <v>2930021</v>
      </c>
      <c r="F1764">
        <v>224666.35879999999</v>
      </c>
      <c r="G1764">
        <v>76.653199999999998</v>
      </c>
      <c r="H1764">
        <v>1.0083200000000001</v>
      </c>
      <c r="I1764">
        <v>1</v>
      </c>
      <c r="J1764" s="156">
        <v>1</v>
      </c>
      <c r="K1764">
        <v>1</v>
      </c>
      <c r="L1764">
        <v>1</v>
      </c>
      <c r="M1764">
        <v>1</v>
      </c>
      <c r="N1764">
        <v>1.0083200000000001</v>
      </c>
    </row>
    <row r="1765" spans="1:14" x14ac:dyDescent="0.35">
      <c r="A1765" s="156" t="s">
        <v>542</v>
      </c>
      <c r="B1765" s="52">
        <v>45194</v>
      </c>
      <c r="C1765" s="156" t="s">
        <v>531</v>
      </c>
      <c r="D1765" s="156" t="s">
        <v>531</v>
      </c>
      <c r="E1765">
        <v>2703983</v>
      </c>
      <c r="F1765">
        <v>202881.4835</v>
      </c>
      <c r="G1765">
        <v>75.034199999999998</v>
      </c>
      <c r="H1765">
        <v>0.98362799999999995</v>
      </c>
      <c r="I1765">
        <v>1</v>
      </c>
      <c r="J1765" s="156">
        <v>1</v>
      </c>
      <c r="K1765">
        <v>1</v>
      </c>
      <c r="L1765">
        <v>1</v>
      </c>
      <c r="M1765">
        <v>1</v>
      </c>
      <c r="N1765">
        <v>0.98362799999999995</v>
      </c>
    </row>
    <row r="1766" spans="1:14" x14ac:dyDescent="0.35">
      <c r="A1766" s="156" t="s">
        <v>542</v>
      </c>
      <c r="B1766" s="52">
        <v>45195</v>
      </c>
      <c r="C1766" s="156" t="s">
        <v>531</v>
      </c>
      <c r="D1766" s="156" t="s">
        <v>531</v>
      </c>
      <c r="E1766">
        <v>2588863</v>
      </c>
      <c r="F1766">
        <v>192492.2211</v>
      </c>
      <c r="G1766">
        <v>74.343000000000004</v>
      </c>
      <c r="H1766">
        <v>0.99028000000000005</v>
      </c>
      <c r="I1766">
        <v>1</v>
      </c>
      <c r="J1766" s="156">
        <v>1</v>
      </c>
      <c r="K1766">
        <v>1</v>
      </c>
      <c r="L1766">
        <v>1</v>
      </c>
      <c r="M1766">
        <v>1</v>
      </c>
      <c r="N1766">
        <v>0.99028000000000005</v>
      </c>
    </row>
    <row r="1767" spans="1:14" x14ac:dyDescent="0.35">
      <c r="A1767" s="156" t="s">
        <v>542</v>
      </c>
      <c r="B1767" s="52">
        <v>45196</v>
      </c>
      <c r="C1767" s="156" t="s">
        <v>531</v>
      </c>
      <c r="D1767" s="156" t="s">
        <v>531</v>
      </c>
      <c r="E1767">
        <v>3804920</v>
      </c>
      <c r="F1767">
        <v>287383.92709999997</v>
      </c>
      <c r="G1767">
        <v>75.513999999999996</v>
      </c>
      <c r="H1767">
        <v>1.0142530000000001</v>
      </c>
      <c r="I1767">
        <v>1</v>
      </c>
      <c r="J1767" s="156">
        <v>1</v>
      </c>
      <c r="K1767">
        <v>1</v>
      </c>
      <c r="L1767">
        <v>1</v>
      </c>
      <c r="M1767">
        <v>1</v>
      </c>
      <c r="N1767">
        <v>1.0142530000000001</v>
      </c>
    </row>
    <row r="1768" spans="1:14" x14ac:dyDescent="0.35">
      <c r="A1768" s="156" t="s">
        <v>542</v>
      </c>
      <c r="B1768" s="52">
        <v>45197</v>
      </c>
      <c r="C1768" s="156" t="s">
        <v>531</v>
      </c>
      <c r="D1768" s="156" t="s">
        <v>531</v>
      </c>
      <c r="E1768">
        <v>3064933</v>
      </c>
      <c r="F1768">
        <v>237488.36600000001</v>
      </c>
      <c r="G1768">
        <v>77.488799999999998</v>
      </c>
      <c r="H1768">
        <v>1.029962</v>
      </c>
      <c r="I1768">
        <v>1</v>
      </c>
      <c r="J1768" s="156">
        <v>1</v>
      </c>
      <c r="K1768">
        <v>1</v>
      </c>
      <c r="L1768">
        <v>1</v>
      </c>
      <c r="M1768">
        <v>1</v>
      </c>
      <c r="N1768">
        <v>1.029962</v>
      </c>
    </row>
    <row r="1769" spans="1:14" x14ac:dyDescent="0.35">
      <c r="A1769" s="156" t="s">
        <v>542</v>
      </c>
      <c r="B1769" s="52">
        <v>45198</v>
      </c>
      <c r="C1769" s="156" t="s">
        <v>531</v>
      </c>
      <c r="D1769" s="156" t="s">
        <v>531</v>
      </c>
      <c r="E1769">
        <v>2643665</v>
      </c>
      <c r="F1769">
        <v>207230.81299999999</v>
      </c>
      <c r="G1769">
        <v>78.376000000000005</v>
      </c>
      <c r="H1769">
        <v>1.0059210000000001</v>
      </c>
      <c r="I1769">
        <v>1</v>
      </c>
      <c r="J1769" s="156">
        <v>1</v>
      </c>
      <c r="K1769">
        <v>1</v>
      </c>
      <c r="L1769">
        <v>1</v>
      </c>
      <c r="M1769">
        <v>1</v>
      </c>
      <c r="N1769">
        <v>1.0059210000000001</v>
      </c>
    </row>
    <row r="1770" spans="1:14" x14ac:dyDescent="0.35">
      <c r="A1770" s="156" t="s">
        <v>542</v>
      </c>
      <c r="B1770" s="52">
        <v>45201</v>
      </c>
      <c r="C1770" s="156" t="s">
        <v>531</v>
      </c>
      <c r="D1770" s="156" t="s">
        <v>531</v>
      </c>
      <c r="E1770">
        <v>2525400</v>
      </c>
      <c r="F1770">
        <v>197647.46580000001</v>
      </c>
      <c r="G1770">
        <v>78.275300000000001</v>
      </c>
      <c r="H1770">
        <v>1.0020469999999999</v>
      </c>
      <c r="I1770">
        <v>1</v>
      </c>
      <c r="J1770" s="156">
        <v>1</v>
      </c>
      <c r="K1770">
        <v>1</v>
      </c>
      <c r="L1770">
        <v>1</v>
      </c>
      <c r="M1770">
        <v>1</v>
      </c>
      <c r="N1770">
        <v>1.0020469999999999</v>
      </c>
    </row>
    <row r="1771" spans="1:14" x14ac:dyDescent="0.35">
      <c r="A1771" s="156" t="s">
        <v>542</v>
      </c>
      <c r="B1771" s="52">
        <v>45202</v>
      </c>
      <c r="C1771" s="156" t="s">
        <v>531</v>
      </c>
      <c r="D1771" s="156" t="s">
        <v>531</v>
      </c>
      <c r="E1771">
        <v>2549478</v>
      </c>
      <c r="F1771">
        <v>195764.71960000001</v>
      </c>
      <c r="G1771">
        <v>76.767300000000006</v>
      </c>
      <c r="H1771">
        <v>0.97560999999999998</v>
      </c>
      <c r="I1771">
        <v>1</v>
      </c>
      <c r="J1771" s="156">
        <v>1</v>
      </c>
      <c r="K1771">
        <v>1</v>
      </c>
      <c r="L1771">
        <v>1</v>
      </c>
      <c r="M1771">
        <v>1</v>
      </c>
      <c r="N1771">
        <v>0.97560999999999998</v>
      </c>
    </row>
    <row r="1772" spans="1:14" x14ac:dyDescent="0.35">
      <c r="A1772" s="156" t="s">
        <v>542</v>
      </c>
      <c r="B1772" s="52">
        <v>45203</v>
      </c>
      <c r="C1772" s="156" t="s">
        <v>531</v>
      </c>
      <c r="D1772" s="156" t="s">
        <v>531</v>
      </c>
      <c r="E1772">
        <v>3209120</v>
      </c>
      <c r="F1772">
        <v>253564.50020000001</v>
      </c>
      <c r="G1772">
        <v>79.016099999999994</v>
      </c>
      <c r="H1772">
        <v>1.0388740000000001</v>
      </c>
      <c r="I1772">
        <v>1</v>
      </c>
      <c r="J1772" s="156">
        <v>1</v>
      </c>
      <c r="K1772">
        <v>1</v>
      </c>
      <c r="L1772">
        <v>1</v>
      </c>
      <c r="M1772">
        <v>1</v>
      </c>
      <c r="N1772">
        <v>1.0388740000000001</v>
      </c>
    </row>
    <row r="1773" spans="1:14" x14ac:dyDescent="0.35">
      <c r="A1773" s="156" t="s">
        <v>542</v>
      </c>
      <c r="B1773" s="52">
        <v>45204</v>
      </c>
      <c r="C1773" s="156" t="s">
        <v>531</v>
      </c>
      <c r="D1773" s="156" t="s">
        <v>531</v>
      </c>
      <c r="E1773">
        <v>2565299</v>
      </c>
      <c r="F1773">
        <v>199866.82019999999</v>
      </c>
      <c r="G1773">
        <v>77.920900000000003</v>
      </c>
      <c r="H1773">
        <v>0.98475500000000005</v>
      </c>
      <c r="I1773">
        <v>1</v>
      </c>
      <c r="J1773" s="156">
        <v>1</v>
      </c>
      <c r="K1773">
        <v>1</v>
      </c>
      <c r="L1773">
        <v>1</v>
      </c>
      <c r="M1773">
        <v>1</v>
      </c>
      <c r="N1773">
        <v>0.98475500000000005</v>
      </c>
    </row>
    <row r="1774" spans="1:14" x14ac:dyDescent="0.35">
      <c r="A1774" s="156" t="s">
        <v>542</v>
      </c>
      <c r="B1774" s="52">
        <v>45205</v>
      </c>
      <c r="C1774" s="156" t="s">
        <v>531</v>
      </c>
      <c r="D1774" s="156" t="s">
        <v>531</v>
      </c>
      <c r="E1774">
        <v>4823589</v>
      </c>
      <c r="F1774">
        <v>395144.5577</v>
      </c>
      <c r="G1774">
        <v>81.876599999999996</v>
      </c>
      <c r="H1774">
        <v>1.0510489999999999</v>
      </c>
      <c r="I1774">
        <v>1</v>
      </c>
      <c r="J1774" s="156">
        <v>1</v>
      </c>
      <c r="K1774">
        <v>1</v>
      </c>
      <c r="L1774">
        <v>1</v>
      </c>
      <c r="M1774">
        <v>1</v>
      </c>
      <c r="N1774">
        <v>1.0510489999999999</v>
      </c>
    </row>
    <row r="1775" spans="1:14" x14ac:dyDescent="0.35">
      <c r="A1775" s="156" t="s">
        <v>542</v>
      </c>
      <c r="B1775" s="52">
        <v>45208</v>
      </c>
      <c r="C1775" s="156" t="s">
        <v>531</v>
      </c>
      <c r="D1775" s="156" t="s">
        <v>531</v>
      </c>
      <c r="E1775">
        <v>3615223</v>
      </c>
      <c r="F1775">
        <v>302075.19870000001</v>
      </c>
      <c r="G1775">
        <v>83.529799999999994</v>
      </c>
      <c r="H1775">
        <v>1.022033</v>
      </c>
      <c r="I1775">
        <v>1</v>
      </c>
      <c r="J1775" s="156">
        <v>1</v>
      </c>
      <c r="K1775">
        <v>1</v>
      </c>
      <c r="L1775">
        <v>1</v>
      </c>
      <c r="M1775">
        <v>1</v>
      </c>
      <c r="N1775">
        <v>1.022033</v>
      </c>
    </row>
    <row r="1776" spans="1:14" x14ac:dyDescent="0.35">
      <c r="A1776" s="156" t="s">
        <v>542</v>
      </c>
      <c r="B1776" s="52">
        <v>45209</v>
      </c>
      <c r="C1776" s="156" t="s">
        <v>531</v>
      </c>
      <c r="D1776" s="156" t="s">
        <v>531</v>
      </c>
      <c r="E1776">
        <v>2961014</v>
      </c>
      <c r="F1776">
        <v>252522.84890000001</v>
      </c>
      <c r="G1776">
        <v>85.268199999999993</v>
      </c>
      <c r="H1776">
        <v>1.0142929999999999</v>
      </c>
      <c r="I1776">
        <v>1</v>
      </c>
      <c r="J1776" s="156">
        <v>1</v>
      </c>
      <c r="K1776">
        <v>1</v>
      </c>
      <c r="L1776">
        <v>1</v>
      </c>
      <c r="M1776">
        <v>1</v>
      </c>
      <c r="N1776">
        <v>1.0142929999999999</v>
      </c>
    </row>
    <row r="1777" spans="1:14" x14ac:dyDescent="0.35">
      <c r="A1777" s="156" t="s">
        <v>542</v>
      </c>
      <c r="B1777" s="52">
        <v>45210</v>
      </c>
      <c r="C1777" s="156" t="s">
        <v>531</v>
      </c>
      <c r="D1777" s="156" t="s">
        <v>531</v>
      </c>
      <c r="E1777">
        <v>3104850</v>
      </c>
      <c r="F1777">
        <v>264040.11609999998</v>
      </c>
      <c r="G1777">
        <v>85.040599999999998</v>
      </c>
      <c r="H1777">
        <v>0.99541999999999997</v>
      </c>
      <c r="I1777">
        <v>1</v>
      </c>
      <c r="J1777" s="156">
        <v>1</v>
      </c>
      <c r="K1777">
        <v>1</v>
      </c>
      <c r="L1777">
        <v>1</v>
      </c>
      <c r="M1777">
        <v>1</v>
      </c>
      <c r="N1777">
        <v>0.99541999999999997</v>
      </c>
    </row>
    <row r="1778" spans="1:14" x14ac:dyDescent="0.35">
      <c r="A1778" s="156" t="s">
        <v>542</v>
      </c>
      <c r="B1778" s="52">
        <v>45211</v>
      </c>
      <c r="C1778" s="156" t="s">
        <v>531</v>
      </c>
      <c r="D1778" s="156" t="s">
        <v>531</v>
      </c>
      <c r="E1778">
        <v>3141929</v>
      </c>
      <c r="F1778">
        <v>266105.6348</v>
      </c>
      <c r="G1778">
        <v>84.662700000000001</v>
      </c>
      <c r="H1778">
        <v>0.99669700000000006</v>
      </c>
      <c r="I1778">
        <v>1</v>
      </c>
      <c r="J1778" s="156">
        <v>1</v>
      </c>
      <c r="K1778">
        <v>1</v>
      </c>
      <c r="L1778">
        <v>1</v>
      </c>
      <c r="M1778">
        <v>1</v>
      </c>
      <c r="N1778">
        <v>0.99669700000000006</v>
      </c>
    </row>
    <row r="1779" spans="1:14" x14ac:dyDescent="0.35">
      <c r="A1779" s="156" t="s">
        <v>542</v>
      </c>
      <c r="B1779" s="52">
        <v>45212</v>
      </c>
      <c r="C1779" s="156" t="s">
        <v>531</v>
      </c>
      <c r="D1779" s="156" t="s">
        <v>531</v>
      </c>
      <c r="E1779">
        <v>5066491</v>
      </c>
      <c r="F1779">
        <v>412007.49160000001</v>
      </c>
      <c r="G1779">
        <v>81.301900000000003</v>
      </c>
      <c r="H1779">
        <v>0.94969800000000004</v>
      </c>
      <c r="I1779">
        <v>1</v>
      </c>
      <c r="J1779" s="156">
        <v>1</v>
      </c>
      <c r="K1779">
        <v>1</v>
      </c>
      <c r="L1779">
        <v>1</v>
      </c>
      <c r="M1779">
        <v>1</v>
      </c>
      <c r="N1779">
        <v>0.94969800000000004</v>
      </c>
    </row>
    <row r="1780" spans="1:14" x14ac:dyDescent="0.35">
      <c r="A1780" s="156" t="s">
        <v>542</v>
      </c>
      <c r="B1780" s="52">
        <v>45215</v>
      </c>
      <c r="C1780" s="156" t="s">
        <v>531</v>
      </c>
      <c r="D1780" s="156" t="s">
        <v>531</v>
      </c>
      <c r="E1780">
        <v>4892266</v>
      </c>
      <c r="F1780">
        <v>390880.3322</v>
      </c>
      <c r="G1780">
        <v>79.948099999999997</v>
      </c>
      <c r="H1780">
        <v>1.0078510000000001</v>
      </c>
      <c r="I1780">
        <v>1</v>
      </c>
      <c r="J1780" s="156">
        <v>1</v>
      </c>
      <c r="K1780">
        <v>1</v>
      </c>
      <c r="L1780">
        <v>1</v>
      </c>
      <c r="M1780">
        <v>1</v>
      </c>
      <c r="N1780">
        <v>1.0078510000000001</v>
      </c>
    </row>
    <row r="1781" spans="1:14" x14ac:dyDescent="0.35">
      <c r="A1781" s="156" t="s">
        <v>542</v>
      </c>
      <c r="B1781" s="52">
        <v>45216</v>
      </c>
      <c r="C1781" s="156" t="s">
        <v>531</v>
      </c>
      <c r="D1781" s="156" t="s">
        <v>531</v>
      </c>
      <c r="E1781">
        <v>4247351</v>
      </c>
      <c r="F1781">
        <v>339722.45850000001</v>
      </c>
      <c r="G1781">
        <v>79.9375</v>
      </c>
      <c r="H1781">
        <v>0.98417200000000005</v>
      </c>
      <c r="I1781">
        <v>1</v>
      </c>
      <c r="J1781" s="156">
        <v>1</v>
      </c>
      <c r="K1781">
        <v>1</v>
      </c>
      <c r="L1781">
        <v>1</v>
      </c>
      <c r="M1781">
        <v>1</v>
      </c>
      <c r="N1781">
        <v>0.98417200000000005</v>
      </c>
    </row>
    <row r="1782" spans="1:14" x14ac:dyDescent="0.35">
      <c r="A1782" s="156" t="s">
        <v>542</v>
      </c>
      <c r="B1782" s="52">
        <v>45217</v>
      </c>
      <c r="C1782" s="156" t="s">
        <v>531</v>
      </c>
      <c r="D1782" s="156" t="s">
        <v>531</v>
      </c>
      <c r="E1782">
        <v>3511190</v>
      </c>
      <c r="F1782">
        <v>270989.32419999997</v>
      </c>
      <c r="G1782">
        <v>77.168300000000002</v>
      </c>
      <c r="H1782">
        <v>0.96456799999999998</v>
      </c>
      <c r="I1782">
        <v>1</v>
      </c>
      <c r="J1782" s="156">
        <v>1</v>
      </c>
      <c r="K1782">
        <v>1</v>
      </c>
      <c r="L1782">
        <v>1</v>
      </c>
      <c r="M1782">
        <v>1</v>
      </c>
      <c r="N1782">
        <v>0.96456799999999998</v>
      </c>
    </row>
    <row r="1783" spans="1:14" x14ac:dyDescent="0.35">
      <c r="A1783" s="156" t="s">
        <v>542</v>
      </c>
      <c r="B1783" s="52">
        <v>45218</v>
      </c>
      <c r="C1783" s="156" t="s">
        <v>531</v>
      </c>
      <c r="D1783" s="156" t="s">
        <v>531</v>
      </c>
      <c r="E1783">
        <v>3439067</v>
      </c>
      <c r="F1783">
        <v>263174.32689999999</v>
      </c>
      <c r="G1783">
        <v>76.503</v>
      </c>
      <c r="H1783">
        <v>0.98827699999999996</v>
      </c>
      <c r="I1783">
        <v>1</v>
      </c>
      <c r="J1783" s="156">
        <v>1</v>
      </c>
      <c r="K1783">
        <v>1</v>
      </c>
      <c r="L1783">
        <v>1</v>
      </c>
      <c r="M1783">
        <v>1</v>
      </c>
      <c r="N1783">
        <v>0.98827699999999996</v>
      </c>
    </row>
    <row r="1784" spans="1:14" x14ac:dyDescent="0.35">
      <c r="A1784" s="156" t="s">
        <v>542</v>
      </c>
      <c r="B1784" s="52">
        <v>45219</v>
      </c>
      <c r="C1784" s="156" t="s">
        <v>531</v>
      </c>
      <c r="D1784" s="156" t="s">
        <v>531</v>
      </c>
      <c r="E1784">
        <v>3778789</v>
      </c>
      <c r="F1784">
        <v>280661.19150000002</v>
      </c>
      <c r="G1784">
        <v>74.273700000000005</v>
      </c>
      <c r="H1784">
        <v>0.97614299999999998</v>
      </c>
      <c r="I1784">
        <v>1</v>
      </c>
      <c r="J1784" s="156">
        <v>1</v>
      </c>
      <c r="K1784">
        <v>1</v>
      </c>
      <c r="L1784">
        <v>1</v>
      </c>
      <c r="M1784">
        <v>1</v>
      </c>
      <c r="N1784">
        <v>0.97614299999999998</v>
      </c>
    </row>
    <row r="1785" spans="1:14" x14ac:dyDescent="0.35">
      <c r="A1785" s="156" t="s">
        <v>542</v>
      </c>
      <c r="B1785" s="52">
        <v>45222</v>
      </c>
      <c r="C1785" s="156" t="s">
        <v>531</v>
      </c>
      <c r="D1785" s="156" t="s">
        <v>531</v>
      </c>
      <c r="E1785">
        <v>4548164</v>
      </c>
      <c r="F1785">
        <v>334927.7781</v>
      </c>
      <c r="G1785">
        <v>73.636700000000005</v>
      </c>
      <c r="H1785">
        <v>0.99432900000000002</v>
      </c>
      <c r="I1785">
        <v>1</v>
      </c>
      <c r="J1785" s="156">
        <v>1</v>
      </c>
      <c r="K1785">
        <v>1</v>
      </c>
      <c r="L1785">
        <v>1</v>
      </c>
      <c r="M1785">
        <v>1</v>
      </c>
      <c r="N1785">
        <v>0.99432900000000002</v>
      </c>
    </row>
    <row r="1786" spans="1:14" x14ac:dyDescent="0.35">
      <c r="A1786" s="156" t="s">
        <v>542</v>
      </c>
      <c r="B1786" s="52">
        <v>45223</v>
      </c>
      <c r="C1786" s="156" t="s">
        <v>531</v>
      </c>
      <c r="D1786" s="156" t="s">
        <v>531</v>
      </c>
      <c r="E1786">
        <v>3195966</v>
      </c>
      <c r="F1786">
        <v>242302.32089999999</v>
      </c>
      <c r="G1786">
        <v>75.830299999999994</v>
      </c>
      <c r="H1786">
        <v>1.0391090000000001</v>
      </c>
      <c r="I1786">
        <v>1</v>
      </c>
      <c r="J1786" s="156">
        <v>1</v>
      </c>
      <c r="K1786">
        <v>1</v>
      </c>
      <c r="L1786">
        <v>1</v>
      </c>
      <c r="M1786">
        <v>1</v>
      </c>
      <c r="N1786">
        <v>1.0391090000000001</v>
      </c>
    </row>
    <row r="1787" spans="1:14" x14ac:dyDescent="0.35">
      <c r="A1787" s="156" t="s">
        <v>542</v>
      </c>
      <c r="B1787" s="52">
        <v>45224</v>
      </c>
      <c r="C1787" s="156" t="s">
        <v>531</v>
      </c>
      <c r="D1787" s="156" t="s">
        <v>531</v>
      </c>
      <c r="E1787">
        <v>3587920</v>
      </c>
      <c r="F1787">
        <v>260128.94260000001</v>
      </c>
      <c r="G1787">
        <v>72.478999999999999</v>
      </c>
      <c r="H1787">
        <v>0.93661799999999995</v>
      </c>
      <c r="I1787">
        <v>1</v>
      </c>
      <c r="J1787" s="156">
        <v>1</v>
      </c>
      <c r="K1787">
        <v>1</v>
      </c>
      <c r="L1787">
        <v>1</v>
      </c>
      <c r="M1787">
        <v>1</v>
      </c>
      <c r="N1787">
        <v>0.93661799999999995</v>
      </c>
    </row>
    <row r="1788" spans="1:14" x14ac:dyDescent="0.35">
      <c r="A1788" s="156" t="s">
        <v>542</v>
      </c>
      <c r="B1788" s="52">
        <v>45225</v>
      </c>
      <c r="C1788" s="156" t="s">
        <v>531</v>
      </c>
      <c r="D1788" s="156" t="s">
        <v>531</v>
      </c>
      <c r="E1788">
        <v>9263698</v>
      </c>
      <c r="F1788">
        <v>617684.58369999996</v>
      </c>
      <c r="G1788">
        <v>66.685900000000004</v>
      </c>
      <c r="H1788">
        <v>0.92395700000000003</v>
      </c>
      <c r="I1788">
        <v>1</v>
      </c>
      <c r="J1788" s="156">
        <v>1</v>
      </c>
      <c r="K1788">
        <v>1</v>
      </c>
      <c r="L1788">
        <v>1</v>
      </c>
      <c r="M1788">
        <v>1</v>
      </c>
      <c r="N1788">
        <v>0.92395700000000003</v>
      </c>
    </row>
    <row r="1789" spans="1:14" x14ac:dyDescent="0.35">
      <c r="A1789" s="156" t="s">
        <v>542</v>
      </c>
      <c r="B1789" s="52">
        <v>45226</v>
      </c>
      <c r="C1789" s="156" t="s">
        <v>531</v>
      </c>
      <c r="D1789" s="156" t="s">
        <v>531</v>
      </c>
      <c r="E1789">
        <v>3958862</v>
      </c>
      <c r="F1789">
        <v>266033.16269999999</v>
      </c>
      <c r="G1789">
        <v>67.197999999999993</v>
      </c>
      <c r="H1789">
        <v>1.009665</v>
      </c>
      <c r="I1789">
        <v>1</v>
      </c>
      <c r="J1789" s="156">
        <v>1</v>
      </c>
      <c r="K1789">
        <v>1</v>
      </c>
      <c r="L1789">
        <v>1</v>
      </c>
      <c r="M1789">
        <v>1</v>
      </c>
      <c r="N1789">
        <v>1.009665</v>
      </c>
    </row>
    <row r="1790" spans="1:14" x14ac:dyDescent="0.35">
      <c r="A1790" s="156" t="s">
        <v>542</v>
      </c>
      <c r="B1790" s="52">
        <v>45229</v>
      </c>
      <c r="C1790" s="156" t="s">
        <v>531</v>
      </c>
      <c r="D1790" s="156" t="s">
        <v>531</v>
      </c>
      <c r="E1790">
        <v>3029041</v>
      </c>
      <c r="F1790">
        <v>204573.44330000001</v>
      </c>
      <c r="G1790">
        <v>67.579099999999997</v>
      </c>
      <c r="H1790">
        <v>1.016303</v>
      </c>
      <c r="I1790">
        <v>1</v>
      </c>
      <c r="J1790" s="156">
        <v>1</v>
      </c>
      <c r="K1790">
        <v>1</v>
      </c>
      <c r="L1790">
        <v>1</v>
      </c>
      <c r="M1790">
        <v>1</v>
      </c>
      <c r="N1790">
        <v>1.016303</v>
      </c>
    </row>
    <row r="1791" spans="1:14" x14ac:dyDescent="0.35">
      <c r="A1791" s="156" t="s">
        <v>542</v>
      </c>
      <c r="B1791" s="52">
        <v>45230</v>
      </c>
      <c r="C1791" s="156" t="s">
        <v>531</v>
      </c>
      <c r="D1791" s="156" t="s">
        <v>531</v>
      </c>
      <c r="E1791">
        <v>4152876</v>
      </c>
      <c r="F1791">
        <v>292945.17129999999</v>
      </c>
      <c r="G1791">
        <v>70.519599999999997</v>
      </c>
      <c r="H1791">
        <v>1.044297</v>
      </c>
      <c r="I1791">
        <v>1</v>
      </c>
      <c r="J1791" s="156">
        <v>1</v>
      </c>
      <c r="K1791">
        <v>1</v>
      </c>
      <c r="L1791">
        <v>1</v>
      </c>
      <c r="M1791">
        <v>1</v>
      </c>
      <c r="N1791">
        <v>1.044297</v>
      </c>
    </row>
    <row r="1792" spans="1:14" x14ac:dyDescent="0.35">
      <c r="A1792" s="156" t="s">
        <v>542</v>
      </c>
      <c r="B1792" s="52">
        <v>45231</v>
      </c>
      <c r="C1792" s="156" t="s">
        <v>531</v>
      </c>
      <c r="D1792" s="156" t="s">
        <v>531</v>
      </c>
      <c r="E1792">
        <v>3077998</v>
      </c>
      <c r="F1792">
        <v>217209.20110000001</v>
      </c>
      <c r="G1792">
        <v>70.593299999999999</v>
      </c>
      <c r="H1792">
        <v>0.99718200000000001</v>
      </c>
      <c r="I1792">
        <v>1</v>
      </c>
      <c r="J1792" s="156">
        <v>1</v>
      </c>
      <c r="K1792">
        <v>1</v>
      </c>
      <c r="L1792">
        <v>1</v>
      </c>
      <c r="M1792">
        <v>1</v>
      </c>
      <c r="N1792">
        <v>0.99718200000000001</v>
      </c>
    </row>
    <row r="1793" spans="1:14" x14ac:dyDescent="0.35">
      <c r="A1793" s="156" t="s">
        <v>542</v>
      </c>
      <c r="B1793" s="52">
        <v>45232</v>
      </c>
      <c r="C1793" s="156" t="s">
        <v>531</v>
      </c>
      <c r="D1793" s="156" t="s">
        <v>531</v>
      </c>
      <c r="E1793">
        <v>4675253</v>
      </c>
      <c r="F1793">
        <v>352817.08730000001</v>
      </c>
      <c r="G1793">
        <v>75.460700000000003</v>
      </c>
      <c r="H1793">
        <v>1.069531</v>
      </c>
      <c r="I1793">
        <v>1</v>
      </c>
      <c r="J1793" s="156">
        <v>1</v>
      </c>
      <c r="K1793">
        <v>1</v>
      </c>
      <c r="L1793">
        <v>1</v>
      </c>
      <c r="M1793">
        <v>1</v>
      </c>
      <c r="N1793">
        <v>1.069531</v>
      </c>
    </row>
    <row r="1794" spans="1:14" x14ac:dyDescent="0.35">
      <c r="A1794" s="156" t="s">
        <v>542</v>
      </c>
      <c r="B1794" s="52">
        <v>45233</v>
      </c>
      <c r="C1794" s="156" t="s">
        <v>531</v>
      </c>
      <c r="D1794" s="156" t="s">
        <v>531</v>
      </c>
      <c r="E1794">
        <v>4709308</v>
      </c>
      <c r="F1794">
        <v>371861.2206</v>
      </c>
      <c r="G1794">
        <v>78.927999999999997</v>
      </c>
      <c r="H1794">
        <v>1.044926</v>
      </c>
      <c r="I1794">
        <v>1</v>
      </c>
      <c r="J1794" s="156">
        <v>1</v>
      </c>
      <c r="K1794">
        <v>1</v>
      </c>
      <c r="L1794">
        <v>1</v>
      </c>
      <c r="M1794">
        <v>1</v>
      </c>
      <c r="N1794">
        <v>1.044926</v>
      </c>
    </row>
    <row r="1795" spans="1:14" x14ac:dyDescent="0.35">
      <c r="A1795" s="156" t="s">
        <v>542</v>
      </c>
      <c r="B1795" s="52">
        <v>45236</v>
      </c>
      <c r="C1795" s="156" t="s">
        <v>531</v>
      </c>
      <c r="D1795" s="156" t="s">
        <v>531</v>
      </c>
      <c r="E1795">
        <v>3047760</v>
      </c>
      <c r="F1795">
        <v>236347.93210000001</v>
      </c>
      <c r="G1795">
        <v>77.560299999999998</v>
      </c>
      <c r="H1795">
        <v>0.97964099999999998</v>
      </c>
      <c r="I1795">
        <v>1</v>
      </c>
      <c r="J1795" s="156">
        <v>1</v>
      </c>
      <c r="K1795">
        <v>1</v>
      </c>
      <c r="L1795">
        <v>1</v>
      </c>
      <c r="M1795">
        <v>1</v>
      </c>
      <c r="N1795">
        <v>0.97964099999999998</v>
      </c>
    </row>
    <row r="1796" spans="1:14" x14ac:dyDescent="0.35">
      <c r="A1796" s="156" t="s">
        <v>542</v>
      </c>
      <c r="B1796" s="52">
        <v>45237</v>
      </c>
      <c r="C1796" s="156" t="s">
        <v>531</v>
      </c>
      <c r="D1796" s="156" t="s">
        <v>531</v>
      </c>
      <c r="E1796">
        <v>3074132</v>
      </c>
      <c r="F1796">
        <v>240954.8959</v>
      </c>
      <c r="G1796">
        <v>78.3523</v>
      </c>
      <c r="H1796">
        <v>1.002969</v>
      </c>
      <c r="I1796">
        <v>1</v>
      </c>
      <c r="J1796" s="156">
        <v>1</v>
      </c>
      <c r="K1796">
        <v>1</v>
      </c>
      <c r="L1796">
        <v>1</v>
      </c>
      <c r="M1796">
        <v>1</v>
      </c>
      <c r="N1796">
        <v>1.002969</v>
      </c>
    </row>
    <row r="1797" spans="1:14" x14ac:dyDescent="0.35">
      <c r="A1797" s="156" t="s">
        <v>542</v>
      </c>
      <c r="B1797" s="52">
        <v>45238</v>
      </c>
      <c r="C1797" s="156" t="s">
        <v>531</v>
      </c>
      <c r="D1797" s="156" t="s">
        <v>531</v>
      </c>
      <c r="E1797">
        <v>3857452</v>
      </c>
      <c r="F1797">
        <v>302289.35129999998</v>
      </c>
      <c r="G1797">
        <v>78.379400000000004</v>
      </c>
      <c r="H1797">
        <v>1.014672</v>
      </c>
      <c r="I1797">
        <v>1</v>
      </c>
      <c r="J1797" s="156">
        <v>1</v>
      </c>
      <c r="K1797">
        <v>1</v>
      </c>
      <c r="L1797">
        <v>1</v>
      </c>
      <c r="M1797">
        <v>1</v>
      </c>
      <c r="N1797">
        <v>1.014672</v>
      </c>
    </row>
    <row r="1798" spans="1:14" x14ac:dyDescent="0.35">
      <c r="A1798" s="156" t="s">
        <v>542</v>
      </c>
      <c r="B1798" s="52">
        <v>45239</v>
      </c>
      <c r="C1798" s="156" t="s">
        <v>531</v>
      </c>
      <c r="D1798" s="156" t="s">
        <v>531</v>
      </c>
      <c r="E1798">
        <v>12310145</v>
      </c>
      <c r="F1798">
        <v>820639.15989999997</v>
      </c>
      <c r="G1798">
        <v>66.373199999999997</v>
      </c>
      <c r="H1798">
        <v>0.97425200000000001</v>
      </c>
      <c r="I1798">
        <v>1</v>
      </c>
      <c r="J1798" s="156">
        <v>1</v>
      </c>
      <c r="K1798">
        <v>1</v>
      </c>
      <c r="L1798">
        <v>1</v>
      </c>
      <c r="M1798">
        <v>1</v>
      </c>
      <c r="N1798">
        <v>0.97425200000000001</v>
      </c>
    </row>
    <row r="1799" spans="1:14" x14ac:dyDescent="0.35">
      <c r="A1799" s="156" t="s">
        <v>542</v>
      </c>
      <c r="B1799" s="52">
        <v>45240</v>
      </c>
      <c r="C1799" s="156" t="s">
        <v>531</v>
      </c>
      <c r="D1799" s="156" t="s">
        <v>531</v>
      </c>
      <c r="E1799">
        <v>42647590</v>
      </c>
      <c r="F1799">
        <v>2682882.1480999999</v>
      </c>
      <c r="G1799">
        <v>62.920400000000001</v>
      </c>
      <c r="H1799">
        <v>0.83335499999999996</v>
      </c>
      <c r="I1799">
        <v>1</v>
      </c>
      <c r="J1799" s="156">
        <v>1</v>
      </c>
      <c r="K1799">
        <v>1</v>
      </c>
      <c r="L1799">
        <v>1</v>
      </c>
      <c r="M1799">
        <v>1</v>
      </c>
      <c r="N1799">
        <v>0.83335499999999996</v>
      </c>
    </row>
    <row r="1800" spans="1:14" x14ac:dyDescent="0.35">
      <c r="A1800" s="156" t="s">
        <v>542</v>
      </c>
      <c r="B1800" s="52">
        <v>45243</v>
      </c>
      <c r="C1800" s="156" t="s">
        <v>531</v>
      </c>
      <c r="D1800" s="156" t="s">
        <v>531</v>
      </c>
      <c r="E1800">
        <v>11521765</v>
      </c>
      <c r="F1800">
        <v>727646.28200000001</v>
      </c>
      <c r="G1800">
        <v>63.153300000000002</v>
      </c>
      <c r="H1800">
        <v>0.99140799999999996</v>
      </c>
      <c r="I1800">
        <v>1</v>
      </c>
      <c r="J1800" s="156">
        <v>1</v>
      </c>
      <c r="K1800">
        <v>1</v>
      </c>
      <c r="L1800">
        <v>1</v>
      </c>
      <c r="M1800">
        <v>1</v>
      </c>
      <c r="N1800">
        <v>0.99140799999999996</v>
      </c>
    </row>
    <row r="1801" spans="1:14" x14ac:dyDescent="0.35">
      <c r="A1801" s="156" t="s">
        <v>542</v>
      </c>
      <c r="B1801" s="52">
        <v>45244</v>
      </c>
      <c r="C1801" s="156" t="s">
        <v>531</v>
      </c>
      <c r="D1801" s="156" t="s">
        <v>531</v>
      </c>
      <c r="E1801">
        <v>10281705</v>
      </c>
      <c r="F1801">
        <v>693596.47479999997</v>
      </c>
      <c r="G1801">
        <v>67.441000000000003</v>
      </c>
      <c r="H1801">
        <v>1.0657110000000001</v>
      </c>
      <c r="I1801">
        <v>1</v>
      </c>
      <c r="J1801" s="156">
        <v>1</v>
      </c>
      <c r="K1801">
        <v>1</v>
      </c>
      <c r="L1801">
        <v>1</v>
      </c>
      <c r="M1801">
        <v>1</v>
      </c>
      <c r="N1801">
        <v>1.0657110000000001</v>
      </c>
    </row>
    <row r="1802" spans="1:14" x14ac:dyDescent="0.35">
      <c r="A1802" s="156" t="s">
        <v>542</v>
      </c>
      <c r="B1802" s="52">
        <v>45245</v>
      </c>
      <c r="C1802" s="156" t="s">
        <v>531</v>
      </c>
      <c r="D1802" s="156" t="s">
        <v>531</v>
      </c>
      <c r="E1802">
        <v>6301289</v>
      </c>
      <c r="F1802">
        <v>429786.67109999998</v>
      </c>
      <c r="G1802">
        <v>68.198400000000007</v>
      </c>
      <c r="H1802">
        <v>1.00621</v>
      </c>
      <c r="I1802">
        <v>1</v>
      </c>
      <c r="J1802" s="156">
        <v>1</v>
      </c>
      <c r="K1802">
        <v>1</v>
      </c>
      <c r="L1802">
        <v>1</v>
      </c>
      <c r="M1802">
        <v>1</v>
      </c>
      <c r="N1802">
        <v>1.00621</v>
      </c>
    </row>
    <row r="1803" spans="1:14" x14ac:dyDescent="0.35">
      <c r="A1803" s="156" t="s">
        <v>542</v>
      </c>
      <c r="B1803" s="52">
        <v>45246</v>
      </c>
      <c r="C1803" s="156" t="s">
        <v>531</v>
      </c>
      <c r="D1803" s="156" t="s">
        <v>531</v>
      </c>
      <c r="E1803">
        <v>4581262</v>
      </c>
      <c r="F1803">
        <v>304682.20370000001</v>
      </c>
      <c r="G1803">
        <v>66.505099999999999</v>
      </c>
      <c r="H1803">
        <v>0.97428400000000004</v>
      </c>
      <c r="I1803">
        <v>1</v>
      </c>
      <c r="J1803" s="156">
        <v>1</v>
      </c>
      <c r="K1803">
        <v>1</v>
      </c>
      <c r="L1803">
        <v>1</v>
      </c>
      <c r="M1803">
        <v>1</v>
      </c>
      <c r="N1803">
        <v>0.97428400000000004</v>
      </c>
    </row>
    <row r="1804" spans="1:14" x14ac:dyDescent="0.35">
      <c r="A1804" s="156" t="s">
        <v>542</v>
      </c>
      <c r="B1804" s="52">
        <v>45247</v>
      </c>
      <c r="C1804" s="156" t="s">
        <v>531</v>
      </c>
      <c r="D1804" s="156" t="s">
        <v>531</v>
      </c>
      <c r="E1804">
        <v>5551749</v>
      </c>
      <c r="F1804">
        <v>366946.49589999998</v>
      </c>
      <c r="G1804">
        <v>66.096299999999999</v>
      </c>
      <c r="H1804">
        <v>1.002564</v>
      </c>
      <c r="I1804">
        <v>1</v>
      </c>
      <c r="J1804" s="156">
        <v>1</v>
      </c>
      <c r="K1804">
        <v>1</v>
      </c>
      <c r="L1804">
        <v>1</v>
      </c>
      <c r="M1804">
        <v>1</v>
      </c>
      <c r="N1804">
        <v>1.002564</v>
      </c>
    </row>
    <row r="1805" spans="1:14" x14ac:dyDescent="0.35">
      <c r="A1805" s="156" t="s">
        <v>542</v>
      </c>
      <c r="B1805" s="52">
        <v>45250</v>
      </c>
      <c r="C1805" s="156" t="s">
        <v>531</v>
      </c>
      <c r="D1805" s="156" t="s">
        <v>531</v>
      </c>
      <c r="E1805">
        <v>4832953</v>
      </c>
      <c r="F1805">
        <v>325606.13909999997</v>
      </c>
      <c r="G1805">
        <v>67.369600000000005</v>
      </c>
      <c r="H1805">
        <v>1.0123359999999999</v>
      </c>
      <c r="I1805">
        <v>1</v>
      </c>
      <c r="J1805" s="156">
        <v>1</v>
      </c>
      <c r="K1805">
        <v>1</v>
      </c>
      <c r="L1805">
        <v>1</v>
      </c>
      <c r="M1805">
        <v>1</v>
      </c>
      <c r="N1805">
        <v>1.0123359999999999</v>
      </c>
    </row>
    <row r="1806" spans="1:14" x14ac:dyDescent="0.35">
      <c r="A1806" s="156" t="s">
        <v>542</v>
      </c>
      <c r="B1806" s="52">
        <v>45251</v>
      </c>
      <c r="C1806" s="156" t="s">
        <v>531</v>
      </c>
      <c r="D1806" s="156" t="s">
        <v>531</v>
      </c>
      <c r="E1806">
        <v>3681643</v>
      </c>
      <c r="F1806">
        <v>243094.38099999999</v>
      </c>
      <c r="G1806">
        <v>66.028000000000006</v>
      </c>
      <c r="H1806">
        <v>0.97860000000000003</v>
      </c>
      <c r="I1806">
        <v>1</v>
      </c>
      <c r="J1806" s="156">
        <v>1</v>
      </c>
      <c r="K1806">
        <v>1</v>
      </c>
      <c r="L1806">
        <v>1</v>
      </c>
      <c r="M1806">
        <v>1</v>
      </c>
      <c r="N1806">
        <v>0.97860000000000003</v>
      </c>
    </row>
    <row r="1807" spans="1:14" x14ac:dyDescent="0.35">
      <c r="A1807" s="156" t="s">
        <v>542</v>
      </c>
      <c r="B1807" s="52">
        <v>45252</v>
      </c>
      <c r="C1807" s="156" t="s">
        <v>531</v>
      </c>
      <c r="D1807" s="156" t="s">
        <v>531</v>
      </c>
      <c r="E1807">
        <v>4557383</v>
      </c>
      <c r="F1807">
        <v>305132.33409999998</v>
      </c>
      <c r="G1807">
        <v>66.944299999999998</v>
      </c>
      <c r="H1807">
        <v>1.0148820000000001</v>
      </c>
      <c r="I1807">
        <v>1</v>
      </c>
      <c r="J1807" s="156">
        <v>1</v>
      </c>
      <c r="K1807">
        <v>1</v>
      </c>
      <c r="L1807">
        <v>1</v>
      </c>
      <c r="M1807">
        <v>1</v>
      </c>
      <c r="N1807">
        <v>1.0148820000000001</v>
      </c>
    </row>
    <row r="1808" spans="1:14" x14ac:dyDescent="0.35">
      <c r="A1808" s="156" t="s">
        <v>542</v>
      </c>
      <c r="B1808" s="52">
        <v>45254</v>
      </c>
      <c r="C1808" s="156" t="s">
        <v>531</v>
      </c>
      <c r="D1808" s="156" t="s">
        <v>531</v>
      </c>
      <c r="E1808">
        <v>1933870</v>
      </c>
      <c r="F1808">
        <v>129803.9507</v>
      </c>
      <c r="G1808">
        <v>67.124399999999994</v>
      </c>
      <c r="H1808">
        <v>1.0065839999999999</v>
      </c>
      <c r="I1808">
        <v>1</v>
      </c>
      <c r="J1808" s="156">
        <v>1</v>
      </c>
      <c r="K1808">
        <v>1</v>
      </c>
      <c r="L1808">
        <v>1</v>
      </c>
      <c r="M1808">
        <v>1</v>
      </c>
      <c r="N1808">
        <v>1.0065839999999999</v>
      </c>
    </row>
    <row r="1809" spans="1:14" x14ac:dyDescent="0.35">
      <c r="A1809" s="156" t="s">
        <v>542</v>
      </c>
      <c r="B1809" s="52">
        <v>45257</v>
      </c>
      <c r="C1809" s="156" t="s">
        <v>531</v>
      </c>
      <c r="D1809" s="156" t="s">
        <v>531</v>
      </c>
      <c r="E1809">
        <v>5790055</v>
      </c>
      <c r="F1809">
        <v>400855.81800000003</v>
      </c>
      <c r="G1809">
        <v>69.217500000000001</v>
      </c>
      <c r="H1809">
        <v>1.0285420000000001</v>
      </c>
      <c r="I1809">
        <v>1</v>
      </c>
      <c r="J1809" s="156">
        <v>1</v>
      </c>
      <c r="K1809">
        <v>1</v>
      </c>
      <c r="L1809">
        <v>1</v>
      </c>
      <c r="M1809">
        <v>1</v>
      </c>
      <c r="N1809">
        <v>1.0285420000000001</v>
      </c>
    </row>
    <row r="1810" spans="1:14" x14ac:dyDescent="0.35">
      <c r="A1810" s="156" t="s">
        <v>542</v>
      </c>
      <c r="B1810" s="52">
        <v>45258</v>
      </c>
      <c r="C1810" s="156" t="s">
        <v>531</v>
      </c>
      <c r="D1810" s="156" t="s">
        <v>531</v>
      </c>
      <c r="E1810">
        <v>3845202</v>
      </c>
      <c r="F1810">
        <v>265308.0589</v>
      </c>
      <c r="G1810">
        <v>69.003299999999996</v>
      </c>
      <c r="H1810">
        <v>0.99768800000000002</v>
      </c>
      <c r="I1810">
        <v>1</v>
      </c>
      <c r="J1810" s="156">
        <v>1</v>
      </c>
      <c r="K1810">
        <v>1</v>
      </c>
      <c r="L1810">
        <v>1</v>
      </c>
      <c r="M1810">
        <v>1</v>
      </c>
      <c r="N1810">
        <v>0.99768800000000002</v>
      </c>
    </row>
    <row r="1811" spans="1:14" x14ac:dyDescent="0.35">
      <c r="A1811" s="156" t="s">
        <v>542</v>
      </c>
      <c r="B1811" s="52">
        <v>45259</v>
      </c>
      <c r="C1811" s="156" t="s">
        <v>531</v>
      </c>
      <c r="D1811" s="156" t="s">
        <v>531</v>
      </c>
      <c r="E1811">
        <v>4645821</v>
      </c>
      <c r="F1811">
        <v>328926.77</v>
      </c>
      <c r="G1811">
        <v>70.808800000000005</v>
      </c>
      <c r="H1811">
        <v>1.019412</v>
      </c>
      <c r="I1811">
        <v>1</v>
      </c>
      <c r="J1811" s="156">
        <v>1</v>
      </c>
      <c r="K1811">
        <v>1</v>
      </c>
      <c r="L1811">
        <v>1</v>
      </c>
      <c r="M1811">
        <v>1</v>
      </c>
      <c r="N1811">
        <v>1.019412</v>
      </c>
    </row>
    <row r="1812" spans="1:14" x14ac:dyDescent="0.35">
      <c r="A1812" s="156" t="s">
        <v>542</v>
      </c>
      <c r="B1812" s="52">
        <v>45260</v>
      </c>
      <c r="C1812" s="156" t="s">
        <v>531</v>
      </c>
      <c r="D1812" s="156" t="s">
        <v>531</v>
      </c>
      <c r="E1812">
        <v>5980922</v>
      </c>
      <c r="F1812">
        <v>421288.30579999997</v>
      </c>
      <c r="G1812">
        <v>70.447000000000003</v>
      </c>
      <c r="H1812">
        <v>1.001279</v>
      </c>
      <c r="I1812">
        <v>1</v>
      </c>
      <c r="J1812" s="156">
        <v>1</v>
      </c>
      <c r="K1812">
        <v>1</v>
      </c>
      <c r="L1812">
        <v>1</v>
      </c>
      <c r="M1812">
        <v>1</v>
      </c>
      <c r="N1812">
        <v>1.001279</v>
      </c>
    </row>
    <row r="1813" spans="1:14" x14ac:dyDescent="0.35">
      <c r="A1813" s="156" t="s">
        <v>542</v>
      </c>
      <c r="B1813" s="52">
        <v>45261</v>
      </c>
      <c r="C1813" s="156" t="s">
        <v>531</v>
      </c>
      <c r="D1813" s="156" t="s">
        <v>531</v>
      </c>
      <c r="E1813">
        <v>5422712</v>
      </c>
      <c r="F1813">
        <v>386932.00089999998</v>
      </c>
      <c r="G1813">
        <v>71.354200000000006</v>
      </c>
      <c r="H1813">
        <v>1.0161789999999999</v>
      </c>
      <c r="I1813">
        <v>1</v>
      </c>
      <c r="J1813" s="156">
        <v>1</v>
      </c>
      <c r="K1813">
        <v>1</v>
      </c>
      <c r="L1813">
        <v>1</v>
      </c>
      <c r="M1813">
        <v>1</v>
      </c>
      <c r="N1813">
        <v>1.0161789999999999</v>
      </c>
    </row>
    <row r="1814" spans="1:14" x14ac:dyDescent="0.35">
      <c r="A1814" s="156" t="s">
        <v>542</v>
      </c>
      <c r="B1814" s="52">
        <v>45264</v>
      </c>
      <c r="C1814" s="156" t="s">
        <v>531</v>
      </c>
      <c r="D1814" s="156" t="s">
        <v>531</v>
      </c>
      <c r="E1814">
        <v>6863276</v>
      </c>
      <c r="F1814">
        <v>472006.97389999998</v>
      </c>
      <c r="G1814">
        <v>68.775599999999997</v>
      </c>
      <c r="H1814">
        <v>0.96033500000000005</v>
      </c>
      <c r="I1814">
        <v>1</v>
      </c>
      <c r="J1814" s="156">
        <v>1</v>
      </c>
      <c r="K1814">
        <v>1</v>
      </c>
      <c r="L1814">
        <v>1</v>
      </c>
      <c r="M1814">
        <v>1</v>
      </c>
      <c r="N1814">
        <v>0.96033500000000005</v>
      </c>
    </row>
    <row r="1815" spans="1:14" x14ac:dyDescent="0.35">
      <c r="A1815" s="156" t="s">
        <v>542</v>
      </c>
      <c r="B1815" s="52">
        <v>45265</v>
      </c>
      <c r="C1815" s="156" t="s">
        <v>531</v>
      </c>
      <c r="D1815" s="156" t="s">
        <v>531</v>
      </c>
      <c r="E1815">
        <v>3343271</v>
      </c>
      <c r="F1815">
        <v>228763.26990000001</v>
      </c>
      <c r="G1815">
        <v>68.425799999999995</v>
      </c>
      <c r="H1815">
        <v>0.99374600000000002</v>
      </c>
      <c r="I1815">
        <v>1</v>
      </c>
      <c r="J1815" s="156">
        <v>1</v>
      </c>
      <c r="K1815">
        <v>1</v>
      </c>
      <c r="L1815">
        <v>1</v>
      </c>
      <c r="M1815">
        <v>1</v>
      </c>
      <c r="N1815">
        <v>0.99374600000000002</v>
      </c>
    </row>
    <row r="1816" spans="1:14" x14ac:dyDescent="0.35">
      <c r="A1816" s="156" t="s">
        <v>542</v>
      </c>
      <c r="B1816" s="52">
        <v>45266</v>
      </c>
      <c r="C1816" s="156" t="s">
        <v>531</v>
      </c>
      <c r="D1816" s="156" t="s">
        <v>531</v>
      </c>
      <c r="E1816">
        <v>3203023</v>
      </c>
      <c r="F1816">
        <v>220955.15100000001</v>
      </c>
      <c r="G1816">
        <v>68.961600000000004</v>
      </c>
      <c r="H1816">
        <v>0.99970700000000001</v>
      </c>
      <c r="I1816">
        <v>1</v>
      </c>
      <c r="J1816" s="156">
        <v>1</v>
      </c>
      <c r="K1816">
        <v>1</v>
      </c>
      <c r="L1816">
        <v>1</v>
      </c>
      <c r="M1816">
        <v>1</v>
      </c>
      <c r="N1816">
        <v>0.99970700000000001</v>
      </c>
    </row>
    <row r="1817" spans="1:14" x14ac:dyDescent="0.35">
      <c r="A1817" s="156" t="s">
        <v>542</v>
      </c>
      <c r="B1817" s="52">
        <v>45267</v>
      </c>
      <c r="C1817" s="156" t="s">
        <v>531</v>
      </c>
      <c r="D1817" s="156" t="s">
        <v>531</v>
      </c>
      <c r="E1817">
        <v>2740029</v>
      </c>
      <c r="F1817">
        <v>188353.10800000001</v>
      </c>
      <c r="G1817">
        <v>68.742400000000004</v>
      </c>
      <c r="H1817">
        <v>1.00688</v>
      </c>
      <c r="I1817">
        <v>1</v>
      </c>
      <c r="J1817" s="156">
        <v>1</v>
      </c>
      <c r="K1817">
        <v>1</v>
      </c>
      <c r="L1817">
        <v>1</v>
      </c>
      <c r="M1817">
        <v>1</v>
      </c>
      <c r="N1817">
        <v>1.00688</v>
      </c>
    </row>
    <row r="1818" spans="1:14" x14ac:dyDescent="0.35">
      <c r="A1818" s="156" t="s">
        <v>542</v>
      </c>
      <c r="B1818" s="52">
        <v>45268</v>
      </c>
      <c r="C1818" s="156" t="s">
        <v>531</v>
      </c>
      <c r="D1818" s="156" t="s">
        <v>531</v>
      </c>
      <c r="E1818">
        <v>4209334</v>
      </c>
      <c r="F1818">
        <v>295089.67229999998</v>
      </c>
      <c r="G1818">
        <v>70.134100000000004</v>
      </c>
      <c r="H1818">
        <v>1.0268969999999999</v>
      </c>
      <c r="I1818">
        <v>1</v>
      </c>
      <c r="J1818" s="156">
        <v>1</v>
      </c>
      <c r="K1818">
        <v>1</v>
      </c>
      <c r="L1818">
        <v>1</v>
      </c>
      <c r="M1818">
        <v>1</v>
      </c>
      <c r="N1818">
        <v>1.0268969999999999</v>
      </c>
    </row>
    <row r="1819" spans="1:14" x14ac:dyDescent="0.35">
      <c r="A1819" s="156" t="s">
        <v>542</v>
      </c>
      <c r="B1819" s="52">
        <v>45271</v>
      </c>
      <c r="C1819" s="156" t="s">
        <v>531</v>
      </c>
      <c r="D1819" s="156" t="s">
        <v>531</v>
      </c>
      <c r="E1819">
        <v>4116359</v>
      </c>
      <c r="F1819">
        <v>295902.7622</v>
      </c>
      <c r="G1819">
        <v>71.862899999999996</v>
      </c>
      <c r="H1819">
        <v>1.0141579999999999</v>
      </c>
      <c r="I1819">
        <v>1</v>
      </c>
      <c r="J1819" s="156">
        <v>1</v>
      </c>
      <c r="K1819">
        <v>1</v>
      </c>
      <c r="L1819">
        <v>1</v>
      </c>
      <c r="M1819">
        <v>1</v>
      </c>
      <c r="N1819">
        <v>1.0141579999999999</v>
      </c>
    </row>
    <row r="1820" spans="1:14" x14ac:dyDescent="0.35">
      <c r="A1820" s="156" t="s">
        <v>542</v>
      </c>
      <c r="B1820" s="52">
        <v>45272</v>
      </c>
      <c r="C1820" s="156" t="s">
        <v>531</v>
      </c>
      <c r="D1820" s="156" t="s">
        <v>531</v>
      </c>
      <c r="E1820">
        <v>3960722</v>
      </c>
      <c r="F1820">
        <v>281758.92739999999</v>
      </c>
      <c r="G1820">
        <v>71.129000000000005</v>
      </c>
      <c r="H1820">
        <v>0.99609099999999995</v>
      </c>
      <c r="I1820">
        <v>1</v>
      </c>
      <c r="J1820" s="156">
        <v>1</v>
      </c>
      <c r="K1820">
        <v>1</v>
      </c>
      <c r="L1820">
        <v>1</v>
      </c>
      <c r="M1820">
        <v>1</v>
      </c>
      <c r="N1820">
        <v>0.99609099999999995</v>
      </c>
    </row>
    <row r="1821" spans="1:14" x14ac:dyDescent="0.35">
      <c r="A1821" s="156" t="s">
        <v>542</v>
      </c>
      <c r="B1821" s="52">
        <v>45273</v>
      </c>
      <c r="C1821" s="156" t="s">
        <v>531</v>
      </c>
      <c r="D1821" s="156" t="s">
        <v>531</v>
      </c>
      <c r="E1821">
        <v>4131607</v>
      </c>
      <c r="F1821">
        <v>302341.16080000001</v>
      </c>
      <c r="G1821">
        <v>73.233000000000004</v>
      </c>
      <c r="H1821">
        <v>1.0372809999999999</v>
      </c>
      <c r="I1821">
        <v>1</v>
      </c>
      <c r="J1821" s="156">
        <v>1</v>
      </c>
      <c r="K1821">
        <v>1</v>
      </c>
      <c r="L1821">
        <v>1</v>
      </c>
      <c r="M1821">
        <v>1</v>
      </c>
      <c r="N1821">
        <v>1.0372809999999999</v>
      </c>
    </row>
    <row r="1822" spans="1:14" x14ac:dyDescent="0.35">
      <c r="A1822" s="156" t="s">
        <v>542</v>
      </c>
      <c r="B1822" s="52">
        <v>45274</v>
      </c>
      <c r="C1822" s="156" t="s">
        <v>531</v>
      </c>
      <c r="D1822" s="156" t="s">
        <v>531</v>
      </c>
      <c r="E1822">
        <v>5174193</v>
      </c>
      <c r="F1822">
        <v>394444.66409999999</v>
      </c>
      <c r="G1822">
        <v>76.244299999999996</v>
      </c>
      <c r="H1822">
        <v>1.0279689999999999</v>
      </c>
      <c r="I1822">
        <v>1</v>
      </c>
      <c r="J1822" s="156">
        <v>1</v>
      </c>
      <c r="K1822">
        <v>1</v>
      </c>
      <c r="L1822">
        <v>1</v>
      </c>
      <c r="M1822">
        <v>1</v>
      </c>
      <c r="N1822">
        <v>1.0279689999999999</v>
      </c>
    </row>
    <row r="1823" spans="1:14" x14ac:dyDescent="0.35">
      <c r="A1823" s="156" t="s">
        <v>542</v>
      </c>
      <c r="B1823" s="52">
        <v>45275</v>
      </c>
      <c r="C1823" s="156" t="s">
        <v>531</v>
      </c>
      <c r="D1823" s="156" t="s">
        <v>531</v>
      </c>
      <c r="E1823">
        <v>6464004</v>
      </c>
      <c r="F1823">
        <v>485745.99550000002</v>
      </c>
      <c r="G1823">
        <v>75.144900000000007</v>
      </c>
      <c r="H1823">
        <v>0.98435899999999998</v>
      </c>
      <c r="I1823">
        <v>1</v>
      </c>
      <c r="J1823" s="156">
        <v>1</v>
      </c>
      <c r="K1823">
        <v>1</v>
      </c>
      <c r="L1823">
        <v>1</v>
      </c>
      <c r="M1823">
        <v>1</v>
      </c>
      <c r="N1823">
        <v>0.98435899999999998</v>
      </c>
    </row>
    <row r="1824" spans="1:14" x14ac:dyDescent="0.35">
      <c r="A1824" s="156" t="s">
        <v>542</v>
      </c>
      <c r="B1824" s="52">
        <v>45278</v>
      </c>
      <c r="C1824" s="156" t="s">
        <v>531</v>
      </c>
      <c r="D1824" s="156" t="s">
        <v>531</v>
      </c>
      <c r="E1824">
        <v>3437023</v>
      </c>
      <c r="F1824">
        <v>259198.48920000001</v>
      </c>
      <c r="G1824">
        <v>75.415599999999998</v>
      </c>
      <c r="H1824">
        <v>1.009881</v>
      </c>
      <c r="I1824">
        <v>1</v>
      </c>
      <c r="J1824" s="156">
        <v>1</v>
      </c>
      <c r="K1824">
        <v>1</v>
      </c>
      <c r="L1824">
        <v>1</v>
      </c>
      <c r="M1824">
        <v>1</v>
      </c>
      <c r="N1824">
        <v>1.009881</v>
      </c>
    </row>
    <row r="1825" spans="1:14" x14ac:dyDescent="0.35">
      <c r="A1825" s="156" t="s">
        <v>542</v>
      </c>
      <c r="B1825" s="52">
        <v>45279</v>
      </c>
      <c r="C1825" s="156" t="s">
        <v>531</v>
      </c>
      <c r="D1825" s="156" t="s">
        <v>531</v>
      </c>
      <c r="E1825">
        <v>3330497</v>
      </c>
      <c r="F1825">
        <v>257630.58009999999</v>
      </c>
      <c r="G1825">
        <v>77.363900000000001</v>
      </c>
      <c r="H1825">
        <v>1.0267090000000001</v>
      </c>
      <c r="I1825">
        <v>1</v>
      </c>
      <c r="J1825" s="156">
        <v>1</v>
      </c>
      <c r="K1825">
        <v>1</v>
      </c>
      <c r="L1825">
        <v>1</v>
      </c>
      <c r="M1825">
        <v>1</v>
      </c>
      <c r="N1825">
        <v>1.0267090000000001</v>
      </c>
    </row>
    <row r="1826" spans="1:14" x14ac:dyDescent="0.35">
      <c r="A1826" s="156" t="s">
        <v>542</v>
      </c>
      <c r="B1826" s="52">
        <v>45280</v>
      </c>
      <c r="C1826" s="156" t="s">
        <v>531</v>
      </c>
      <c r="D1826" s="156" t="s">
        <v>531</v>
      </c>
      <c r="E1826">
        <v>4329906</v>
      </c>
      <c r="F1826">
        <v>332537.5674</v>
      </c>
      <c r="G1826">
        <v>76.742599999999996</v>
      </c>
      <c r="H1826">
        <v>0.97192500000000004</v>
      </c>
      <c r="I1826">
        <v>1</v>
      </c>
      <c r="J1826" s="156">
        <v>1</v>
      </c>
      <c r="K1826">
        <v>1</v>
      </c>
      <c r="L1826">
        <v>1</v>
      </c>
      <c r="M1826">
        <v>1</v>
      </c>
      <c r="N1826">
        <v>0.97192500000000004</v>
      </c>
    </row>
    <row r="1827" spans="1:14" x14ac:dyDescent="0.35">
      <c r="A1827" s="156" t="s">
        <v>542</v>
      </c>
      <c r="B1827" s="52">
        <v>45281</v>
      </c>
      <c r="C1827" s="156" t="s">
        <v>531</v>
      </c>
      <c r="D1827" s="156" t="s">
        <v>531</v>
      </c>
      <c r="E1827">
        <v>2266088</v>
      </c>
      <c r="F1827">
        <v>172594.22070000001</v>
      </c>
      <c r="G1827">
        <v>76.188500000000005</v>
      </c>
      <c r="H1827">
        <v>1.0120579999999999</v>
      </c>
      <c r="I1827">
        <v>1</v>
      </c>
      <c r="J1827" s="156">
        <v>1</v>
      </c>
      <c r="K1827">
        <v>1</v>
      </c>
      <c r="L1827">
        <v>1</v>
      </c>
      <c r="M1827">
        <v>1</v>
      </c>
      <c r="N1827">
        <v>1.0120579999999999</v>
      </c>
    </row>
    <row r="1828" spans="1:14" x14ac:dyDescent="0.35">
      <c r="A1828" s="156" t="s">
        <v>542</v>
      </c>
      <c r="B1828" s="52">
        <v>45282</v>
      </c>
      <c r="C1828" s="156" t="s">
        <v>531</v>
      </c>
      <c r="D1828" s="156" t="s">
        <v>531</v>
      </c>
      <c r="E1828">
        <v>7140741</v>
      </c>
      <c r="F1828">
        <v>525258.44839999999</v>
      </c>
      <c r="G1828">
        <v>73.550200000000004</v>
      </c>
      <c r="H1828">
        <v>0.96137700000000004</v>
      </c>
      <c r="I1828">
        <v>1</v>
      </c>
      <c r="J1828" s="156">
        <v>1</v>
      </c>
      <c r="K1828">
        <v>1</v>
      </c>
      <c r="L1828">
        <v>1</v>
      </c>
      <c r="M1828">
        <v>1</v>
      </c>
      <c r="N1828">
        <v>0.96137700000000004</v>
      </c>
    </row>
    <row r="1829" spans="1:14" x14ac:dyDescent="0.35">
      <c r="A1829" s="156" t="s">
        <v>542</v>
      </c>
      <c r="B1829" s="52">
        <v>45286</v>
      </c>
      <c r="C1829" s="156" t="s">
        <v>531</v>
      </c>
      <c r="D1829" s="156" t="s">
        <v>531</v>
      </c>
      <c r="E1829">
        <v>3697173</v>
      </c>
      <c r="F1829">
        <v>270377.29739999998</v>
      </c>
      <c r="G1829">
        <v>73.147300000000001</v>
      </c>
      <c r="H1829">
        <v>1.0021789999999999</v>
      </c>
      <c r="I1829">
        <v>1</v>
      </c>
      <c r="J1829" s="156">
        <v>1</v>
      </c>
      <c r="K1829">
        <v>1</v>
      </c>
      <c r="L1829">
        <v>1</v>
      </c>
      <c r="M1829">
        <v>1</v>
      </c>
      <c r="N1829">
        <v>1.0021789999999999</v>
      </c>
    </row>
    <row r="1830" spans="1:14" x14ac:dyDescent="0.35">
      <c r="A1830" s="156" t="s">
        <v>542</v>
      </c>
      <c r="B1830" s="52">
        <v>45287</v>
      </c>
      <c r="C1830" s="156" t="s">
        <v>531</v>
      </c>
      <c r="D1830" s="156" t="s">
        <v>531</v>
      </c>
      <c r="E1830">
        <v>2541145</v>
      </c>
      <c r="F1830">
        <v>187857.16450000001</v>
      </c>
      <c r="G1830">
        <v>73.929699999999997</v>
      </c>
      <c r="H1830">
        <v>1.006659</v>
      </c>
      <c r="I1830">
        <v>1</v>
      </c>
      <c r="J1830" s="156">
        <v>1</v>
      </c>
      <c r="K1830">
        <v>1</v>
      </c>
      <c r="L1830">
        <v>1</v>
      </c>
      <c r="M1830">
        <v>1</v>
      </c>
      <c r="N1830">
        <v>1.006659</v>
      </c>
    </row>
    <row r="1831" spans="1:14" x14ac:dyDescent="0.35">
      <c r="A1831" s="156" t="s">
        <v>542</v>
      </c>
      <c r="B1831" s="52">
        <v>45288</v>
      </c>
      <c r="C1831" s="156" t="s">
        <v>531</v>
      </c>
      <c r="D1831" s="156" t="s">
        <v>531</v>
      </c>
      <c r="E1831">
        <v>2571564</v>
      </c>
      <c r="F1831">
        <v>189455.25440000001</v>
      </c>
      <c r="G1831">
        <v>73.665999999999997</v>
      </c>
      <c r="H1831">
        <v>0.99082099999999995</v>
      </c>
      <c r="I1831">
        <v>1</v>
      </c>
      <c r="J1831" s="156">
        <v>1</v>
      </c>
      <c r="K1831">
        <v>1</v>
      </c>
      <c r="L1831">
        <v>1</v>
      </c>
      <c r="M1831">
        <v>1</v>
      </c>
      <c r="N1831">
        <v>0.99082099999999995</v>
      </c>
    </row>
    <row r="1832" spans="1:14" x14ac:dyDescent="0.35">
      <c r="A1832" s="156" t="s">
        <v>542</v>
      </c>
      <c r="B1832" s="52">
        <v>45289</v>
      </c>
      <c r="C1832" s="156" t="s">
        <v>531</v>
      </c>
      <c r="D1832" s="156" t="s">
        <v>531</v>
      </c>
      <c r="E1832">
        <v>3768626</v>
      </c>
      <c r="F1832">
        <v>271994.0637</v>
      </c>
      <c r="G1832">
        <v>72.162599999999998</v>
      </c>
      <c r="H1832">
        <v>0.98038099999999995</v>
      </c>
      <c r="I1832">
        <v>1</v>
      </c>
      <c r="J1832" s="156">
        <v>1</v>
      </c>
      <c r="K1832">
        <v>1</v>
      </c>
      <c r="L1832">
        <v>1</v>
      </c>
      <c r="M1832">
        <v>1</v>
      </c>
      <c r="N1832">
        <v>0.98038099999999995</v>
      </c>
    </row>
    <row r="1833" spans="1:14" x14ac:dyDescent="0.35">
      <c r="A1833" s="156" t="s">
        <v>542</v>
      </c>
      <c r="B1833" s="52">
        <v>45293</v>
      </c>
      <c r="C1833" s="156" t="s">
        <v>531</v>
      </c>
      <c r="D1833" s="156" t="s">
        <v>531</v>
      </c>
      <c r="E1833">
        <v>4800623</v>
      </c>
      <c r="F1833">
        <v>339240.62689999997</v>
      </c>
      <c r="G1833">
        <v>70.655100000000004</v>
      </c>
      <c r="H1833">
        <v>0.980962</v>
      </c>
      <c r="I1833">
        <v>1</v>
      </c>
      <c r="J1833" s="156">
        <v>1</v>
      </c>
      <c r="K1833">
        <v>1</v>
      </c>
      <c r="L1833">
        <v>1</v>
      </c>
      <c r="M1833">
        <v>1</v>
      </c>
      <c r="N1833">
        <v>0.980962</v>
      </c>
    </row>
    <row r="1834" spans="1:14" x14ac:dyDescent="0.35">
      <c r="A1834" s="156" t="s">
        <v>542</v>
      </c>
      <c r="B1834" s="52">
        <v>45294</v>
      </c>
      <c r="C1834" s="156" t="s">
        <v>531</v>
      </c>
      <c r="D1834" s="156" t="s">
        <v>531</v>
      </c>
      <c r="E1834">
        <v>3721933</v>
      </c>
      <c r="F1834">
        <v>257965.09239999999</v>
      </c>
      <c r="G1834">
        <v>69.303100000000001</v>
      </c>
      <c r="H1834">
        <v>0.98200900000000002</v>
      </c>
      <c r="I1834">
        <v>1</v>
      </c>
      <c r="J1834" s="156">
        <v>1</v>
      </c>
      <c r="K1834">
        <v>1</v>
      </c>
      <c r="L1834">
        <v>1</v>
      </c>
      <c r="M1834">
        <v>1</v>
      </c>
      <c r="N1834">
        <v>0.98200900000000002</v>
      </c>
    </row>
    <row r="1835" spans="1:14" x14ac:dyDescent="0.35">
      <c r="A1835" s="156" t="s">
        <v>542</v>
      </c>
      <c r="B1835" s="52">
        <v>45295</v>
      </c>
      <c r="C1835" s="156" t="s">
        <v>531</v>
      </c>
      <c r="D1835" s="156" t="s">
        <v>531</v>
      </c>
      <c r="E1835">
        <v>4219433</v>
      </c>
      <c r="F1835">
        <v>289482.00400000002</v>
      </c>
      <c r="G1835">
        <v>68.587900000000005</v>
      </c>
      <c r="H1835">
        <v>0.98672800000000005</v>
      </c>
      <c r="I1835">
        <v>1</v>
      </c>
      <c r="J1835" s="156">
        <v>1</v>
      </c>
      <c r="K1835">
        <v>1</v>
      </c>
      <c r="L1835">
        <v>1</v>
      </c>
      <c r="M1835">
        <v>1</v>
      </c>
      <c r="N1835">
        <v>0.98672800000000005</v>
      </c>
    </row>
    <row r="1836" spans="1:14" x14ac:dyDescent="0.35">
      <c r="A1836" s="156" t="s">
        <v>542</v>
      </c>
      <c r="B1836" s="52">
        <v>45296</v>
      </c>
      <c r="C1836" s="156" t="s">
        <v>531</v>
      </c>
      <c r="D1836" s="156" t="s">
        <v>531</v>
      </c>
      <c r="E1836">
        <v>4536854</v>
      </c>
      <c r="F1836">
        <v>308289.24680000002</v>
      </c>
      <c r="G1836">
        <v>67.936700000000002</v>
      </c>
      <c r="H1836">
        <v>0.98888900000000002</v>
      </c>
      <c r="I1836">
        <v>1</v>
      </c>
      <c r="J1836" s="156">
        <v>1</v>
      </c>
      <c r="K1836">
        <v>1</v>
      </c>
      <c r="L1836">
        <v>1</v>
      </c>
      <c r="M1836">
        <v>1</v>
      </c>
      <c r="N1836">
        <v>0.98888900000000002</v>
      </c>
    </row>
    <row r="1837" spans="1:14" x14ac:dyDescent="0.35">
      <c r="A1837" s="156" t="s">
        <v>542</v>
      </c>
      <c r="B1837" s="52">
        <v>45299</v>
      </c>
      <c r="C1837" s="156" t="s">
        <v>531</v>
      </c>
      <c r="D1837" s="156" t="s">
        <v>531</v>
      </c>
      <c r="E1837">
        <v>5640932</v>
      </c>
      <c r="F1837">
        <v>388445.25640000001</v>
      </c>
      <c r="G1837">
        <v>68.866200000000006</v>
      </c>
      <c r="H1837">
        <v>1.0199590000000001</v>
      </c>
      <c r="I1837">
        <v>1</v>
      </c>
      <c r="J1837" s="156">
        <v>1</v>
      </c>
      <c r="K1837">
        <v>1</v>
      </c>
      <c r="L1837">
        <v>1</v>
      </c>
      <c r="M1837">
        <v>1</v>
      </c>
      <c r="N1837">
        <v>1.0199590000000001</v>
      </c>
    </row>
    <row r="1838" spans="1:14" x14ac:dyDescent="0.35">
      <c r="A1838" s="156" t="s">
        <v>542</v>
      </c>
      <c r="B1838" s="52">
        <v>45300</v>
      </c>
      <c r="C1838" s="156" t="s">
        <v>531</v>
      </c>
      <c r="D1838" s="156" t="s">
        <v>531</v>
      </c>
      <c r="E1838">
        <v>4344453</v>
      </c>
      <c r="F1838">
        <v>298185.6165</v>
      </c>
      <c r="G1838">
        <v>68.617199999999997</v>
      </c>
      <c r="H1838">
        <v>0.99217299999999997</v>
      </c>
      <c r="I1838">
        <v>1</v>
      </c>
      <c r="J1838" s="156">
        <v>1</v>
      </c>
      <c r="K1838">
        <v>1</v>
      </c>
      <c r="L1838">
        <v>1</v>
      </c>
      <c r="M1838">
        <v>1</v>
      </c>
      <c r="N1838">
        <v>0.99217299999999997</v>
      </c>
    </row>
    <row r="1839" spans="1:14" x14ac:dyDescent="0.35">
      <c r="A1839" s="156" t="s">
        <v>542</v>
      </c>
      <c r="B1839" s="52">
        <v>45301</v>
      </c>
      <c r="C1839" s="156" t="s">
        <v>531</v>
      </c>
      <c r="D1839" s="156" t="s">
        <v>531</v>
      </c>
      <c r="E1839">
        <v>5069967</v>
      </c>
      <c r="F1839">
        <v>347056.1201</v>
      </c>
      <c r="G1839">
        <v>68.453199999999995</v>
      </c>
      <c r="H1839">
        <v>1.0004379999999999</v>
      </c>
      <c r="I1839">
        <v>1</v>
      </c>
      <c r="J1839" s="156">
        <v>1</v>
      </c>
      <c r="K1839">
        <v>1</v>
      </c>
      <c r="L1839">
        <v>1</v>
      </c>
      <c r="M1839">
        <v>1</v>
      </c>
      <c r="N1839">
        <v>1.0004379999999999</v>
      </c>
    </row>
    <row r="1840" spans="1:14" x14ac:dyDescent="0.35">
      <c r="A1840" s="156" t="s">
        <v>542</v>
      </c>
      <c r="B1840" s="52">
        <v>45302</v>
      </c>
      <c r="C1840" s="156" t="s">
        <v>531</v>
      </c>
      <c r="D1840" s="156" t="s">
        <v>531</v>
      </c>
      <c r="E1840">
        <v>5622545</v>
      </c>
      <c r="F1840">
        <v>381742.2218</v>
      </c>
      <c r="G1840">
        <v>67.904499999999999</v>
      </c>
      <c r="H1840">
        <v>0.99415900000000001</v>
      </c>
      <c r="I1840">
        <v>1</v>
      </c>
      <c r="J1840" s="156">
        <v>1</v>
      </c>
      <c r="K1840">
        <v>1</v>
      </c>
      <c r="L1840">
        <v>1</v>
      </c>
      <c r="M1840">
        <v>1</v>
      </c>
      <c r="N1840">
        <v>0.99415900000000001</v>
      </c>
    </row>
    <row r="1841" spans="1:14" x14ac:dyDescent="0.35">
      <c r="A1841" s="156" t="s">
        <v>542</v>
      </c>
      <c r="B1841" s="52">
        <v>45303</v>
      </c>
      <c r="C1841" s="156" t="s">
        <v>531</v>
      </c>
      <c r="D1841" s="156" t="s">
        <v>531</v>
      </c>
      <c r="E1841">
        <v>6357683</v>
      </c>
      <c r="F1841">
        <v>427174.20890000003</v>
      </c>
      <c r="G1841">
        <v>67.1738</v>
      </c>
      <c r="H1841">
        <v>0.98354900000000001</v>
      </c>
      <c r="I1841">
        <v>1</v>
      </c>
      <c r="J1841" s="156">
        <v>1</v>
      </c>
      <c r="K1841">
        <v>1</v>
      </c>
      <c r="L1841">
        <v>1</v>
      </c>
      <c r="M1841">
        <v>1</v>
      </c>
      <c r="N1841">
        <v>0.98354900000000001</v>
      </c>
    </row>
    <row r="1842" spans="1:14" x14ac:dyDescent="0.35">
      <c r="A1842" s="156" t="s">
        <v>542</v>
      </c>
      <c r="B1842" s="52">
        <v>45307</v>
      </c>
      <c r="C1842" s="156" t="s">
        <v>531</v>
      </c>
      <c r="D1842" s="156" t="s">
        <v>531</v>
      </c>
      <c r="E1842">
        <v>7784695</v>
      </c>
      <c r="F1842">
        <v>499308.05810000002</v>
      </c>
      <c r="G1842">
        <v>64.135099999999994</v>
      </c>
      <c r="H1842">
        <v>0.95221</v>
      </c>
      <c r="I1842">
        <v>1</v>
      </c>
      <c r="J1842" s="156">
        <v>1</v>
      </c>
      <c r="K1842">
        <v>1</v>
      </c>
      <c r="L1842">
        <v>1</v>
      </c>
      <c r="M1842">
        <v>1</v>
      </c>
      <c r="N1842">
        <v>0.95221</v>
      </c>
    </row>
    <row r="1843" spans="1:14" x14ac:dyDescent="0.35">
      <c r="A1843" s="156" t="s">
        <v>542</v>
      </c>
      <c r="B1843" s="52">
        <v>45308</v>
      </c>
      <c r="C1843" s="156" t="s">
        <v>531</v>
      </c>
      <c r="D1843" s="156" t="s">
        <v>531</v>
      </c>
      <c r="E1843">
        <v>6107077</v>
      </c>
      <c r="F1843">
        <v>386038.85119999998</v>
      </c>
      <c r="G1843">
        <v>63.261200000000002</v>
      </c>
      <c r="H1843">
        <v>1.011606</v>
      </c>
      <c r="I1843">
        <v>1</v>
      </c>
      <c r="J1843" s="156">
        <v>1</v>
      </c>
      <c r="K1843">
        <v>1</v>
      </c>
      <c r="L1843">
        <v>1</v>
      </c>
      <c r="M1843">
        <v>1</v>
      </c>
      <c r="N1843">
        <v>1.011606</v>
      </c>
    </row>
    <row r="1844" spans="1:14" x14ac:dyDescent="0.35">
      <c r="A1844" s="156" t="s">
        <v>542</v>
      </c>
      <c r="B1844" s="52">
        <v>45309</v>
      </c>
      <c r="C1844" s="156" t="s">
        <v>531</v>
      </c>
      <c r="D1844" s="156" t="s">
        <v>531</v>
      </c>
      <c r="E1844">
        <v>5002850</v>
      </c>
      <c r="F1844">
        <v>324193.55820000003</v>
      </c>
      <c r="G1844">
        <v>64.815299999999993</v>
      </c>
      <c r="H1844">
        <v>1.008527</v>
      </c>
      <c r="I1844">
        <v>1</v>
      </c>
      <c r="J1844" s="156">
        <v>1</v>
      </c>
      <c r="K1844">
        <v>1</v>
      </c>
      <c r="L1844">
        <v>1</v>
      </c>
      <c r="M1844">
        <v>1</v>
      </c>
      <c r="N1844">
        <v>1.008527</v>
      </c>
    </row>
    <row r="1845" spans="1:14" x14ac:dyDescent="0.35">
      <c r="A1845" s="156" t="s">
        <v>542</v>
      </c>
      <c r="B1845" s="52">
        <v>45310</v>
      </c>
      <c r="C1845" s="156" t="s">
        <v>531</v>
      </c>
      <c r="D1845" s="156" t="s">
        <v>531</v>
      </c>
      <c r="E1845">
        <v>4023976</v>
      </c>
      <c r="F1845">
        <v>266322.8174</v>
      </c>
      <c r="G1845">
        <v>66.154200000000003</v>
      </c>
      <c r="H1845">
        <v>1.027671</v>
      </c>
      <c r="I1845">
        <v>1</v>
      </c>
      <c r="J1845" s="156">
        <v>1</v>
      </c>
      <c r="K1845">
        <v>1</v>
      </c>
      <c r="L1845">
        <v>1</v>
      </c>
      <c r="M1845">
        <v>1</v>
      </c>
      <c r="N1845">
        <v>1.027671</v>
      </c>
    </row>
    <row r="1846" spans="1:14" x14ac:dyDescent="0.35">
      <c r="A1846" s="156" t="s">
        <v>542</v>
      </c>
      <c r="B1846" s="52">
        <v>45313</v>
      </c>
      <c r="C1846" s="156" t="s">
        <v>531</v>
      </c>
      <c r="D1846" s="156" t="s">
        <v>531</v>
      </c>
      <c r="E1846">
        <v>4968852</v>
      </c>
      <c r="F1846">
        <v>345639.26799999998</v>
      </c>
      <c r="G1846">
        <v>69.543700000000001</v>
      </c>
      <c r="H1846">
        <v>1.0379959999999999</v>
      </c>
      <c r="I1846">
        <v>1</v>
      </c>
      <c r="J1846" s="156">
        <v>1</v>
      </c>
      <c r="K1846">
        <v>1</v>
      </c>
      <c r="L1846">
        <v>1</v>
      </c>
      <c r="M1846">
        <v>1</v>
      </c>
      <c r="N1846">
        <v>1.0379959999999999</v>
      </c>
    </row>
    <row r="1847" spans="1:14" x14ac:dyDescent="0.35">
      <c r="A1847" s="156" t="s">
        <v>542</v>
      </c>
      <c r="B1847" s="52">
        <v>45314</v>
      </c>
      <c r="C1847" s="156" t="s">
        <v>531</v>
      </c>
      <c r="D1847" s="156" t="s">
        <v>531</v>
      </c>
      <c r="E1847">
        <v>4002825</v>
      </c>
      <c r="F1847">
        <v>281540.75790000003</v>
      </c>
      <c r="G1847">
        <v>70.336399999999998</v>
      </c>
      <c r="H1847">
        <v>1.011385</v>
      </c>
      <c r="I1847">
        <v>1</v>
      </c>
      <c r="J1847" s="156">
        <v>1</v>
      </c>
      <c r="K1847">
        <v>1</v>
      </c>
      <c r="L1847">
        <v>1</v>
      </c>
      <c r="M1847">
        <v>1</v>
      </c>
      <c r="N1847">
        <v>1.011385</v>
      </c>
    </row>
    <row r="1848" spans="1:14" x14ac:dyDescent="0.35">
      <c r="A1848" s="156" t="s">
        <v>542</v>
      </c>
      <c r="B1848" s="52">
        <v>45315</v>
      </c>
      <c r="C1848" s="156" t="s">
        <v>531</v>
      </c>
      <c r="D1848" s="156" t="s">
        <v>531</v>
      </c>
      <c r="E1848">
        <v>3520401</v>
      </c>
      <c r="F1848">
        <v>248422.79610000001</v>
      </c>
      <c r="G1848">
        <v>70.563100000000006</v>
      </c>
      <c r="H1848">
        <v>0.992448</v>
      </c>
      <c r="I1848">
        <v>1</v>
      </c>
      <c r="J1848" s="156">
        <v>1</v>
      </c>
      <c r="K1848">
        <v>1</v>
      </c>
      <c r="L1848">
        <v>1</v>
      </c>
      <c r="M1848">
        <v>1</v>
      </c>
      <c r="N1848">
        <v>0.992448</v>
      </c>
    </row>
    <row r="1849" spans="1:14" x14ac:dyDescent="0.35">
      <c r="A1849" s="156" t="s">
        <v>542</v>
      </c>
      <c r="B1849" s="52">
        <v>45316</v>
      </c>
      <c r="C1849" s="156" t="s">
        <v>531</v>
      </c>
      <c r="D1849" s="156" t="s">
        <v>531</v>
      </c>
      <c r="E1849">
        <v>4156233</v>
      </c>
      <c r="F1849">
        <v>287572.34639999998</v>
      </c>
      <c r="G1849">
        <v>69.204599999999999</v>
      </c>
      <c r="H1849">
        <v>0.99239100000000002</v>
      </c>
      <c r="I1849">
        <v>1</v>
      </c>
      <c r="J1849" s="156">
        <v>1</v>
      </c>
      <c r="K1849">
        <v>1</v>
      </c>
      <c r="L1849">
        <v>1</v>
      </c>
      <c r="M1849">
        <v>1</v>
      </c>
      <c r="N1849">
        <v>0.99239100000000002</v>
      </c>
    </row>
    <row r="1850" spans="1:14" x14ac:dyDescent="0.35">
      <c r="A1850" s="156" t="s">
        <v>542</v>
      </c>
      <c r="B1850" s="52">
        <v>45317</v>
      </c>
      <c r="C1850" s="156" t="s">
        <v>531</v>
      </c>
      <c r="D1850" s="156" t="s">
        <v>531</v>
      </c>
      <c r="E1850">
        <v>3517123</v>
      </c>
      <c r="F1850">
        <v>240684.0772</v>
      </c>
      <c r="G1850">
        <v>68.410700000000006</v>
      </c>
      <c r="H1850">
        <v>0.98394099999999995</v>
      </c>
      <c r="I1850">
        <v>1</v>
      </c>
      <c r="J1850" s="156">
        <v>1</v>
      </c>
      <c r="K1850">
        <v>1</v>
      </c>
      <c r="L1850">
        <v>1</v>
      </c>
      <c r="M1850">
        <v>1</v>
      </c>
      <c r="N1850">
        <v>0.98394099999999995</v>
      </c>
    </row>
    <row r="1851" spans="1:14" x14ac:dyDescent="0.35">
      <c r="A1851" s="156" t="s">
        <v>542</v>
      </c>
      <c r="B1851" s="52">
        <v>45320</v>
      </c>
      <c r="C1851" s="156" t="s">
        <v>531</v>
      </c>
      <c r="D1851" s="156" t="s">
        <v>531</v>
      </c>
      <c r="E1851">
        <v>4079832</v>
      </c>
      <c r="F1851">
        <v>288080.1716</v>
      </c>
      <c r="G1851">
        <v>70.62</v>
      </c>
      <c r="H1851">
        <v>1.051463</v>
      </c>
      <c r="I1851">
        <v>1</v>
      </c>
      <c r="J1851" s="156">
        <v>1</v>
      </c>
      <c r="K1851">
        <v>1</v>
      </c>
      <c r="L1851">
        <v>1</v>
      </c>
      <c r="M1851">
        <v>1</v>
      </c>
      <c r="N1851">
        <v>1.051463</v>
      </c>
    </row>
    <row r="1852" spans="1:14" x14ac:dyDescent="0.35">
      <c r="A1852" s="156" t="s">
        <v>542</v>
      </c>
      <c r="B1852" s="52">
        <v>45321</v>
      </c>
      <c r="C1852" s="156" t="s">
        <v>531</v>
      </c>
      <c r="D1852" s="156" t="s">
        <v>531</v>
      </c>
      <c r="E1852">
        <v>3629535</v>
      </c>
      <c r="F1852">
        <v>253761.34650000001</v>
      </c>
      <c r="G1852">
        <v>69.92</v>
      </c>
      <c r="H1852">
        <v>0.96881600000000001</v>
      </c>
      <c r="I1852">
        <v>1</v>
      </c>
      <c r="J1852" s="156">
        <v>1</v>
      </c>
      <c r="K1852">
        <v>1</v>
      </c>
      <c r="L1852">
        <v>1</v>
      </c>
      <c r="M1852">
        <v>1</v>
      </c>
      <c r="N1852">
        <v>0.96881600000000001</v>
      </c>
    </row>
    <row r="1853" spans="1:14" x14ac:dyDescent="0.35">
      <c r="A1853" s="156" t="s">
        <v>542</v>
      </c>
      <c r="B1853" s="52">
        <v>45322</v>
      </c>
      <c r="C1853" s="156" t="s">
        <v>531</v>
      </c>
      <c r="D1853" s="156" t="s">
        <v>531</v>
      </c>
      <c r="E1853">
        <v>3113559</v>
      </c>
      <c r="F1853">
        <v>214034.72039999999</v>
      </c>
      <c r="G1853">
        <v>68.708799999999997</v>
      </c>
      <c r="H1853">
        <v>0.98773100000000003</v>
      </c>
      <c r="I1853">
        <v>1</v>
      </c>
      <c r="J1853" s="156">
        <v>1</v>
      </c>
      <c r="K1853">
        <v>1</v>
      </c>
      <c r="L1853">
        <v>1</v>
      </c>
      <c r="M1853">
        <v>1</v>
      </c>
      <c r="N1853">
        <v>0.98773100000000003</v>
      </c>
    </row>
    <row r="1854" spans="1:14" x14ac:dyDescent="0.35">
      <c r="A1854" s="156" t="s">
        <v>542</v>
      </c>
      <c r="B1854" s="52">
        <v>45323</v>
      </c>
      <c r="C1854" s="156" t="s">
        <v>531</v>
      </c>
      <c r="D1854" s="156" t="s">
        <v>531</v>
      </c>
      <c r="E1854">
        <v>5561264</v>
      </c>
      <c r="F1854">
        <v>375192.1887</v>
      </c>
      <c r="G1854">
        <v>67.468000000000004</v>
      </c>
      <c r="H1854">
        <v>0.98217200000000005</v>
      </c>
      <c r="I1854">
        <v>1</v>
      </c>
      <c r="J1854" s="156">
        <v>1</v>
      </c>
      <c r="K1854">
        <v>1</v>
      </c>
      <c r="L1854">
        <v>1</v>
      </c>
      <c r="M1854">
        <v>1</v>
      </c>
      <c r="N1854">
        <v>0.98217200000000005</v>
      </c>
    </row>
    <row r="1855" spans="1:14" x14ac:dyDescent="0.35">
      <c r="A1855" s="156" t="s">
        <v>542</v>
      </c>
      <c r="B1855" s="52">
        <v>45324</v>
      </c>
      <c r="C1855" s="156" t="s">
        <v>531</v>
      </c>
      <c r="D1855" s="156" t="s">
        <v>531</v>
      </c>
      <c r="E1855">
        <v>8032214</v>
      </c>
      <c r="F1855">
        <v>558348.43570000003</v>
      </c>
      <c r="G1855">
        <v>69.501099999999994</v>
      </c>
      <c r="H1855">
        <v>1.041512</v>
      </c>
      <c r="I1855">
        <v>1</v>
      </c>
      <c r="J1855" s="156">
        <v>1</v>
      </c>
      <c r="K1855">
        <v>1</v>
      </c>
      <c r="L1855">
        <v>1</v>
      </c>
      <c r="M1855">
        <v>1</v>
      </c>
      <c r="N1855">
        <v>1.041512</v>
      </c>
    </row>
    <row r="1856" spans="1:14" x14ac:dyDescent="0.35">
      <c r="A1856" s="156" t="s">
        <v>542</v>
      </c>
      <c r="B1856" s="52">
        <v>45327</v>
      </c>
      <c r="C1856" s="156" t="s">
        <v>531</v>
      </c>
      <c r="D1856" s="156" t="s">
        <v>531</v>
      </c>
      <c r="E1856">
        <v>4717355</v>
      </c>
      <c r="F1856">
        <v>317865.77679999999</v>
      </c>
      <c r="G1856">
        <v>67.391499999999994</v>
      </c>
      <c r="H1856">
        <v>0.96428599999999998</v>
      </c>
      <c r="I1856">
        <v>1</v>
      </c>
      <c r="J1856" s="156">
        <v>1</v>
      </c>
      <c r="K1856">
        <v>1</v>
      </c>
      <c r="L1856">
        <v>1</v>
      </c>
      <c r="M1856">
        <v>1</v>
      </c>
      <c r="N1856">
        <v>0.96428599999999998</v>
      </c>
    </row>
    <row r="1857" spans="1:14" x14ac:dyDescent="0.35">
      <c r="A1857" s="156" t="s">
        <v>542</v>
      </c>
      <c r="B1857" s="52">
        <v>45328</v>
      </c>
      <c r="C1857" s="156" t="s">
        <v>531</v>
      </c>
      <c r="D1857" s="156" t="s">
        <v>531</v>
      </c>
      <c r="E1857">
        <v>3469108</v>
      </c>
      <c r="F1857">
        <v>237181.04990000001</v>
      </c>
      <c r="G1857">
        <v>68.372500000000002</v>
      </c>
      <c r="H1857">
        <v>1.0162960000000001</v>
      </c>
      <c r="I1857">
        <v>1</v>
      </c>
      <c r="J1857" s="156">
        <v>1</v>
      </c>
      <c r="K1857">
        <v>1</v>
      </c>
      <c r="L1857">
        <v>1</v>
      </c>
      <c r="M1857">
        <v>1</v>
      </c>
      <c r="N1857">
        <v>1.0162960000000001</v>
      </c>
    </row>
    <row r="1858" spans="1:14" x14ac:dyDescent="0.35">
      <c r="A1858" s="156" t="s">
        <v>542</v>
      </c>
      <c r="B1858" s="52">
        <v>45329</v>
      </c>
      <c r="C1858" s="156" t="s">
        <v>531</v>
      </c>
      <c r="D1858" s="156" t="s">
        <v>531</v>
      </c>
      <c r="E1858">
        <v>4261163</v>
      </c>
      <c r="F1858">
        <v>297273.56599999999</v>
      </c>
      <c r="G1858">
        <v>69.755799999999994</v>
      </c>
      <c r="H1858">
        <v>1.0145770000000001</v>
      </c>
      <c r="I1858">
        <v>1</v>
      </c>
      <c r="J1858" s="156">
        <v>1</v>
      </c>
      <c r="K1858">
        <v>1</v>
      </c>
      <c r="L1858">
        <v>1</v>
      </c>
      <c r="M1858">
        <v>1</v>
      </c>
      <c r="N1858">
        <v>1.0145770000000001</v>
      </c>
    </row>
    <row r="1859" spans="1:14" x14ac:dyDescent="0.35">
      <c r="A1859" s="156" t="s">
        <v>542</v>
      </c>
      <c r="B1859" s="52">
        <v>45330</v>
      </c>
      <c r="C1859" s="156" t="s">
        <v>531</v>
      </c>
      <c r="D1859" s="156" t="s">
        <v>531</v>
      </c>
      <c r="E1859">
        <v>4089138</v>
      </c>
      <c r="F1859">
        <v>287299.14230000001</v>
      </c>
      <c r="G1859">
        <v>70.261799999999994</v>
      </c>
      <c r="H1859">
        <v>1.0081899999999999</v>
      </c>
      <c r="I1859">
        <v>1</v>
      </c>
      <c r="J1859" s="156">
        <v>1</v>
      </c>
      <c r="K1859">
        <v>1</v>
      </c>
      <c r="L1859">
        <v>1</v>
      </c>
      <c r="M1859">
        <v>1</v>
      </c>
      <c r="N1859">
        <v>1.0081899999999999</v>
      </c>
    </row>
    <row r="1860" spans="1:14" x14ac:dyDescent="0.35">
      <c r="A1860" s="156" t="s">
        <v>542</v>
      </c>
      <c r="B1860" s="52">
        <v>45331</v>
      </c>
      <c r="C1860" s="156" t="s">
        <v>531</v>
      </c>
      <c r="D1860" s="156" t="s">
        <v>531</v>
      </c>
      <c r="E1860">
        <v>5434930</v>
      </c>
      <c r="F1860">
        <v>389978.59279999998</v>
      </c>
      <c r="G1860">
        <v>71.737799999999993</v>
      </c>
      <c r="H1860">
        <v>1.016246</v>
      </c>
      <c r="I1860">
        <v>1</v>
      </c>
      <c r="J1860" s="156">
        <v>1</v>
      </c>
      <c r="K1860">
        <v>1</v>
      </c>
      <c r="L1860">
        <v>1</v>
      </c>
      <c r="M1860">
        <v>1</v>
      </c>
      <c r="N1860">
        <v>1.016246</v>
      </c>
    </row>
    <row r="1861" spans="1:14" x14ac:dyDescent="0.35">
      <c r="A1861" s="156" t="s">
        <v>542</v>
      </c>
      <c r="B1861" s="52">
        <v>45334</v>
      </c>
      <c r="C1861" s="156" t="s">
        <v>531</v>
      </c>
      <c r="D1861" s="156" t="s">
        <v>531</v>
      </c>
      <c r="E1861">
        <v>7224964</v>
      </c>
      <c r="F1861">
        <v>534637.16859999998</v>
      </c>
      <c r="G1861">
        <v>73.9602</v>
      </c>
      <c r="H1861">
        <v>1.0364610000000001</v>
      </c>
      <c r="I1861">
        <v>1</v>
      </c>
      <c r="J1861" s="156">
        <v>1</v>
      </c>
      <c r="K1861">
        <v>1</v>
      </c>
      <c r="L1861">
        <v>1</v>
      </c>
      <c r="M1861">
        <v>1</v>
      </c>
      <c r="N1861">
        <v>1.0364610000000001</v>
      </c>
    </row>
    <row r="1862" spans="1:14" x14ac:dyDescent="0.35">
      <c r="A1862" s="156" t="s">
        <v>542</v>
      </c>
      <c r="B1862" s="52">
        <v>45335</v>
      </c>
      <c r="C1862" s="156" t="s">
        <v>531</v>
      </c>
      <c r="D1862" s="156" t="s">
        <v>531</v>
      </c>
      <c r="E1862">
        <v>5011656</v>
      </c>
      <c r="F1862">
        <v>364942.90960000001</v>
      </c>
      <c r="G1862">
        <v>72.809399999999997</v>
      </c>
      <c r="H1862">
        <v>0.98687599999999998</v>
      </c>
      <c r="I1862">
        <v>1</v>
      </c>
      <c r="J1862" s="156">
        <v>1</v>
      </c>
      <c r="K1862">
        <v>1</v>
      </c>
      <c r="L1862">
        <v>1</v>
      </c>
      <c r="M1862">
        <v>1</v>
      </c>
      <c r="N1862">
        <v>0.98687599999999998</v>
      </c>
    </row>
    <row r="1863" spans="1:14" x14ac:dyDescent="0.35">
      <c r="A1863" s="156" t="s">
        <v>542</v>
      </c>
      <c r="B1863" s="52">
        <v>45336</v>
      </c>
      <c r="C1863" s="156" t="s">
        <v>531</v>
      </c>
      <c r="D1863" s="156" t="s">
        <v>531</v>
      </c>
      <c r="E1863">
        <v>3975190</v>
      </c>
      <c r="F1863">
        <v>292247.55369999999</v>
      </c>
      <c r="G1863">
        <v>73.553700000000006</v>
      </c>
      <c r="H1863">
        <v>1.018783</v>
      </c>
      <c r="I1863">
        <v>1</v>
      </c>
      <c r="J1863" s="156">
        <v>1</v>
      </c>
      <c r="K1863">
        <v>1</v>
      </c>
      <c r="L1863">
        <v>1</v>
      </c>
      <c r="M1863">
        <v>1</v>
      </c>
      <c r="N1863">
        <v>1.018783</v>
      </c>
    </row>
    <row r="1864" spans="1:14" x14ac:dyDescent="0.35">
      <c r="A1864" s="156" t="s">
        <v>542</v>
      </c>
      <c r="B1864" s="52">
        <v>45337</v>
      </c>
      <c r="C1864" s="156" t="s">
        <v>531</v>
      </c>
      <c r="D1864" s="156" t="s">
        <v>531</v>
      </c>
      <c r="E1864">
        <v>9616788</v>
      </c>
      <c r="F1864">
        <v>759738.56240000005</v>
      </c>
      <c r="G1864">
        <v>79.388499999999993</v>
      </c>
      <c r="H1864">
        <v>1.01884</v>
      </c>
      <c r="I1864">
        <v>1</v>
      </c>
      <c r="J1864" s="156">
        <v>1</v>
      </c>
      <c r="K1864">
        <v>1</v>
      </c>
      <c r="L1864">
        <v>1</v>
      </c>
      <c r="M1864">
        <v>1</v>
      </c>
      <c r="N1864">
        <v>1.01884</v>
      </c>
    </row>
    <row r="1865" spans="1:14" x14ac:dyDescent="0.35">
      <c r="A1865" s="156" t="s">
        <v>542</v>
      </c>
      <c r="B1865" s="52">
        <v>45338</v>
      </c>
      <c r="C1865" s="156" t="s">
        <v>531</v>
      </c>
      <c r="D1865" s="156" t="s">
        <v>531</v>
      </c>
      <c r="E1865">
        <v>29562231</v>
      </c>
      <c r="F1865">
        <v>2641903.7455000002</v>
      </c>
      <c r="G1865">
        <v>89.380600000000001</v>
      </c>
      <c r="H1865">
        <v>1.174614</v>
      </c>
      <c r="I1865">
        <v>1</v>
      </c>
      <c r="J1865" s="156">
        <v>1</v>
      </c>
      <c r="K1865">
        <v>1</v>
      </c>
      <c r="L1865">
        <v>1</v>
      </c>
      <c r="M1865">
        <v>1</v>
      </c>
      <c r="N1865">
        <v>1.174614</v>
      </c>
    </row>
    <row r="1866" spans="1:14" x14ac:dyDescent="0.35">
      <c r="A1866" s="156" t="s">
        <v>542</v>
      </c>
      <c r="B1866" s="52">
        <v>45342</v>
      </c>
      <c r="C1866" s="156" t="s">
        <v>531</v>
      </c>
      <c r="D1866" s="156" t="s">
        <v>531</v>
      </c>
      <c r="E1866">
        <v>11845833</v>
      </c>
      <c r="F1866">
        <v>977633.13119999995</v>
      </c>
      <c r="G1866">
        <v>82.563199999999995</v>
      </c>
      <c r="H1866">
        <v>0.92837100000000006</v>
      </c>
      <c r="I1866">
        <v>1</v>
      </c>
      <c r="J1866" s="156">
        <v>1</v>
      </c>
      <c r="K1866">
        <v>1</v>
      </c>
      <c r="L1866">
        <v>1</v>
      </c>
      <c r="M1866">
        <v>1</v>
      </c>
      <c r="N1866">
        <v>0.92837100000000006</v>
      </c>
    </row>
    <row r="1867" spans="1:14" x14ac:dyDescent="0.35">
      <c r="A1867" s="156" t="s">
        <v>542</v>
      </c>
      <c r="B1867" s="52">
        <v>45343</v>
      </c>
      <c r="C1867" s="156" t="s">
        <v>531</v>
      </c>
      <c r="D1867" s="156" t="s">
        <v>531</v>
      </c>
      <c r="E1867">
        <v>5746163</v>
      </c>
      <c r="F1867">
        <v>467104.64140000002</v>
      </c>
      <c r="G1867">
        <v>81.292500000000004</v>
      </c>
      <c r="H1867">
        <v>0.99418600000000001</v>
      </c>
      <c r="I1867">
        <v>1</v>
      </c>
      <c r="J1867" s="156">
        <v>1</v>
      </c>
      <c r="K1867">
        <v>1</v>
      </c>
      <c r="L1867">
        <v>1</v>
      </c>
      <c r="M1867">
        <v>1</v>
      </c>
      <c r="N1867">
        <v>0.99418600000000001</v>
      </c>
    </row>
    <row r="1868" spans="1:14" x14ac:dyDescent="0.35">
      <c r="A1868" s="156" t="s">
        <v>542</v>
      </c>
      <c r="B1868" s="52">
        <v>45344</v>
      </c>
      <c r="C1868" s="156" t="s">
        <v>531</v>
      </c>
      <c r="D1868" s="156" t="s">
        <v>531</v>
      </c>
      <c r="E1868">
        <v>5515005</v>
      </c>
      <c r="F1868">
        <v>458650.55530000001</v>
      </c>
      <c r="G1868">
        <v>83.172600000000003</v>
      </c>
      <c r="H1868">
        <v>1.0173000000000001</v>
      </c>
      <c r="I1868">
        <v>1</v>
      </c>
      <c r="J1868" s="156">
        <v>1</v>
      </c>
      <c r="K1868">
        <v>1</v>
      </c>
      <c r="L1868">
        <v>1</v>
      </c>
      <c r="M1868">
        <v>1</v>
      </c>
      <c r="N1868">
        <v>1.0173000000000001</v>
      </c>
    </row>
    <row r="1869" spans="1:14" x14ac:dyDescent="0.35">
      <c r="A1869" s="156" t="s">
        <v>542</v>
      </c>
      <c r="B1869" s="52">
        <v>45345</v>
      </c>
      <c r="C1869" s="156" t="s">
        <v>531</v>
      </c>
      <c r="D1869" s="156" t="s">
        <v>531</v>
      </c>
      <c r="E1869">
        <v>4517051</v>
      </c>
      <c r="F1869">
        <v>369538.35320000001</v>
      </c>
      <c r="G1869">
        <v>81.799400000000006</v>
      </c>
      <c r="H1869">
        <v>0.975329</v>
      </c>
      <c r="I1869">
        <v>1</v>
      </c>
      <c r="J1869" s="156">
        <v>1</v>
      </c>
      <c r="K1869">
        <v>1</v>
      </c>
      <c r="L1869">
        <v>1</v>
      </c>
      <c r="M1869">
        <v>1</v>
      </c>
      <c r="N1869">
        <v>0.975329</v>
      </c>
    </row>
    <row r="1870" spans="1:14" x14ac:dyDescent="0.35">
      <c r="A1870" s="156" t="s">
        <v>542</v>
      </c>
      <c r="B1870" s="52">
        <v>45348</v>
      </c>
      <c r="C1870" s="156" t="s">
        <v>531</v>
      </c>
      <c r="D1870" s="156" t="s">
        <v>531</v>
      </c>
      <c r="E1870">
        <v>4563488</v>
      </c>
      <c r="F1870">
        <v>372807.99449999997</v>
      </c>
      <c r="G1870">
        <v>81.732100000000003</v>
      </c>
      <c r="H1870">
        <v>1.009209</v>
      </c>
      <c r="I1870">
        <v>1</v>
      </c>
      <c r="J1870" s="156">
        <v>1</v>
      </c>
      <c r="K1870">
        <v>1</v>
      </c>
      <c r="L1870">
        <v>1</v>
      </c>
      <c r="M1870">
        <v>1</v>
      </c>
      <c r="N1870">
        <v>1.009209</v>
      </c>
    </row>
    <row r="1871" spans="1:14" x14ac:dyDescent="0.35">
      <c r="A1871" s="156" t="s">
        <v>542</v>
      </c>
      <c r="B1871" s="52">
        <v>45349</v>
      </c>
      <c r="C1871" s="156" t="s">
        <v>531</v>
      </c>
      <c r="D1871" s="156" t="s">
        <v>531</v>
      </c>
      <c r="E1871">
        <v>5089382</v>
      </c>
      <c r="F1871">
        <v>431853.79470000003</v>
      </c>
      <c r="G1871">
        <v>84.858000000000004</v>
      </c>
      <c r="H1871">
        <v>1.0414890000000001</v>
      </c>
      <c r="I1871">
        <v>1</v>
      </c>
      <c r="J1871" s="156">
        <v>1</v>
      </c>
      <c r="K1871">
        <v>1</v>
      </c>
      <c r="L1871">
        <v>1</v>
      </c>
      <c r="M1871">
        <v>1</v>
      </c>
      <c r="N1871">
        <v>1.0414890000000001</v>
      </c>
    </row>
    <row r="1872" spans="1:14" x14ac:dyDescent="0.35">
      <c r="A1872" s="156" t="s">
        <v>542</v>
      </c>
      <c r="B1872" s="52">
        <v>45350</v>
      </c>
      <c r="C1872" s="156" t="s">
        <v>531</v>
      </c>
      <c r="D1872" s="156" t="s">
        <v>531</v>
      </c>
      <c r="E1872">
        <v>3933322</v>
      </c>
      <c r="F1872">
        <v>334043.48100000003</v>
      </c>
      <c r="G1872">
        <v>84.928899999999999</v>
      </c>
      <c r="H1872">
        <v>0.99182199999999998</v>
      </c>
      <c r="I1872">
        <v>1</v>
      </c>
      <c r="J1872" s="156">
        <v>1</v>
      </c>
      <c r="K1872">
        <v>1</v>
      </c>
      <c r="L1872">
        <v>1</v>
      </c>
      <c r="M1872">
        <v>1</v>
      </c>
      <c r="N1872">
        <v>0.99182199999999998</v>
      </c>
    </row>
    <row r="1873" spans="1:14" x14ac:dyDescent="0.35">
      <c r="A1873" s="156" t="s">
        <v>542</v>
      </c>
      <c r="B1873" s="52">
        <v>45351</v>
      </c>
      <c r="C1873" s="156" t="s">
        <v>531</v>
      </c>
      <c r="D1873" s="156" t="s">
        <v>531</v>
      </c>
      <c r="E1873">
        <v>4771265</v>
      </c>
      <c r="F1873">
        <v>407365.89260000002</v>
      </c>
      <c r="G1873">
        <v>85.384500000000003</v>
      </c>
      <c r="H1873">
        <v>1.006243</v>
      </c>
      <c r="I1873">
        <v>1</v>
      </c>
      <c r="J1873" s="156">
        <v>1</v>
      </c>
      <c r="K1873">
        <v>1</v>
      </c>
      <c r="L1873">
        <v>1</v>
      </c>
      <c r="M1873">
        <v>1</v>
      </c>
      <c r="N1873">
        <v>1.006243</v>
      </c>
    </row>
    <row r="1874" spans="1:14" x14ac:dyDescent="0.35">
      <c r="A1874" s="156" t="s">
        <v>542</v>
      </c>
      <c r="B1874" s="52">
        <v>45352</v>
      </c>
      <c r="C1874" s="156" t="s">
        <v>531</v>
      </c>
      <c r="D1874" s="156" t="s">
        <v>531</v>
      </c>
      <c r="E1874">
        <v>4647099</v>
      </c>
      <c r="F1874">
        <v>391031.53690000001</v>
      </c>
      <c r="G1874">
        <v>84.139399999999995</v>
      </c>
      <c r="H1874">
        <v>0.98197400000000001</v>
      </c>
      <c r="I1874">
        <v>1</v>
      </c>
      <c r="J1874" s="156">
        <v>1</v>
      </c>
      <c r="K1874">
        <v>1</v>
      </c>
      <c r="L1874">
        <v>1</v>
      </c>
      <c r="M1874">
        <v>1</v>
      </c>
      <c r="N1874">
        <v>0.98197400000000001</v>
      </c>
    </row>
    <row r="1875" spans="1:14" x14ac:dyDescent="0.35">
      <c r="A1875" s="156" t="s">
        <v>542</v>
      </c>
      <c r="B1875" s="52">
        <v>45355</v>
      </c>
      <c r="C1875" s="156" t="s">
        <v>531</v>
      </c>
      <c r="D1875" s="156" t="s">
        <v>531</v>
      </c>
      <c r="E1875">
        <v>3449122</v>
      </c>
      <c r="F1875">
        <v>286687.21610000002</v>
      </c>
      <c r="G1875">
        <v>83.108099999999993</v>
      </c>
      <c r="H1875">
        <v>0.99475500000000006</v>
      </c>
      <c r="I1875">
        <v>1</v>
      </c>
      <c r="J1875" s="156">
        <v>1</v>
      </c>
      <c r="K1875">
        <v>1</v>
      </c>
      <c r="L1875">
        <v>1</v>
      </c>
      <c r="M1875">
        <v>1</v>
      </c>
      <c r="N1875">
        <v>0.99475500000000006</v>
      </c>
    </row>
    <row r="1876" spans="1:14" x14ac:dyDescent="0.35">
      <c r="A1876" s="156" t="s">
        <v>542</v>
      </c>
      <c r="B1876" s="52">
        <v>45356</v>
      </c>
      <c r="C1876" s="156" t="s">
        <v>531</v>
      </c>
      <c r="D1876" s="156" t="s">
        <v>531</v>
      </c>
      <c r="E1876">
        <v>2974456</v>
      </c>
      <c r="F1876">
        <v>241809.89840000001</v>
      </c>
      <c r="G1876">
        <v>81.313800000000001</v>
      </c>
      <c r="H1876">
        <v>0.97603399999999996</v>
      </c>
      <c r="I1876">
        <v>1</v>
      </c>
      <c r="J1876" s="156">
        <v>1</v>
      </c>
      <c r="K1876">
        <v>1</v>
      </c>
      <c r="L1876">
        <v>1</v>
      </c>
      <c r="M1876">
        <v>1</v>
      </c>
      <c r="N1876">
        <v>0.97603399999999996</v>
      </c>
    </row>
    <row r="1877" spans="1:14" x14ac:dyDescent="0.35">
      <c r="A1877" s="156" t="s">
        <v>542</v>
      </c>
      <c r="B1877" s="52">
        <v>45357</v>
      </c>
      <c r="C1877" s="156" t="s">
        <v>531</v>
      </c>
      <c r="D1877" s="156" t="s">
        <v>531</v>
      </c>
      <c r="E1877">
        <v>3481103</v>
      </c>
      <c r="F1877">
        <v>285461.06229999999</v>
      </c>
      <c r="G1877">
        <v>82.001599999999996</v>
      </c>
      <c r="H1877">
        <v>1.0089630000000001</v>
      </c>
      <c r="I1877">
        <v>1</v>
      </c>
      <c r="J1877" s="156">
        <v>1</v>
      </c>
      <c r="K1877">
        <v>1</v>
      </c>
      <c r="L1877">
        <v>1</v>
      </c>
      <c r="M1877">
        <v>1</v>
      </c>
      <c r="N1877">
        <v>1.0089630000000001</v>
      </c>
    </row>
    <row r="1878" spans="1:14" x14ac:dyDescent="0.35">
      <c r="A1878" s="156" t="s">
        <v>542</v>
      </c>
      <c r="B1878" s="52">
        <v>45358</v>
      </c>
      <c r="C1878" s="156" t="s">
        <v>531</v>
      </c>
      <c r="D1878" s="156" t="s">
        <v>531</v>
      </c>
      <c r="E1878">
        <v>2935285</v>
      </c>
      <c r="F1878">
        <v>241253.17389999999</v>
      </c>
      <c r="G1878">
        <v>82.1965</v>
      </c>
      <c r="H1878">
        <v>0.99574099999999999</v>
      </c>
      <c r="I1878">
        <v>1</v>
      </c>
      <c r="J1878" s="156">
        <v>1</v>
      </c>
      <c r="K1878">
        <v>1</v>
      </c>
      <c r="L1878">
        <v>1</v>
      </c>
      <c r="M1878">
        <v>1</v>
      </c>
      <c r="N1878">
        <v>0.99574099999999999</v>
      </c>
    </row>
    <row r="1879" spans="1:14" x14ac:dyDescent="0.35">
      <c r="A1879" s="156" t="s">
        <v>542</v>
      </c>
      <c r="B1879" s="52">
        <v>45359</v>
      </c>
      <c r="C1879" s="156" t="s">
        <v>531</v>
      </c>
      <c r="D1879" s="156" t="s">
        <v>531</v>
      </c>
      <c r="E1879">
        <v>3545729</v>
      </c>
      <c r="F1879">
        <v>291566.6801</v>
      </c>
      <c r="G1879">
        <v>82.231899999999996</v>
      </c>
      <c r="H1879">
        <v>0.99706700000000004</v>
      </c>
      <c r="I1879">
        <v>1</v>
      </c>
      <c r="J1879" s="156">
        <v>1</v>
      </c>
      <c r="K1879">
        <v>1</v>
      </c>
      <c r="L1879">
        <v>1</v>
      </c>
      <c r="M1879">
        <v>1</v>
      </c>
      <c r="N1879">
        <v>0.99706700000000004</v>
      </c>
    </row>
    <row r="1880" spans="1:14" x14ac:dyDescent="0.35">
      <c r="A1880" s="156" t="s">
        <v>542</v>
      </c>
      <c r="B1880" s="52">
        <v>45362</v>
      </c>
      <c r="C1880" s="156" t="s">
        <v>531</v>
      </c>
      <c r="D1880" s="156" t="s">
        <v>531</v>
      </c>
      <c r="E1880">
        <v>2340562</v>
      </c>
      <c r="F1880">
        <v>190824.2335</v>
      </c>
      <c r="G1880">
        <v>81.509699999999995</v>
      </c>
      <c r="H1880">
        <v>0.99828399999999995</v>
      </c>
      <c r="I1880">
        <v>1</v>
      </c>
      <c r="J1880" s="156">
        <v>1</v>
      </c>
      <c r="K1880">
        <v>1</v>
      </c>
      <c r="L1880">
        <v>1</v>
      </c>
      <c r="M1880">
        <v>1</v>
      </c>
      <c r="N1880">
        <v>0.99828399999999995</v>
      </c>
    </row>
    <row r="1881" spans="1:14" x14ac:dyDescent="0.35">
      <c r="A1881" s="156" t="s">
        <v>542</v>
      </c>
      <c r="B1881" s="52">
        <v>45363</v>
      </c>
      <c r="C1881" s="156" t="s">
        <v>531</v>
      </c>
      <c r="D1881" s="156" t="s">
        <v>531</v>
      </c>
      <c r="E1881">
        <v>2943620</v>
      </c>
      <c r="F1881">
        <v>237482.7966</v>
      </c>
      <c r="G1881">
        <v>80.675299999999993</v>
      </c>
      <c r="H1881">
        <v>0.98747700000000005</v>
      </c>
      <c r="I1881">
        <v>1</v>
      </c>
      <c r="J1881" s="156">
        <v>1</v>
      </c>
      <c r="K1881">
        <v>1</v>
      </c>
      <c r="L1881">
        <v>1</v>
      </c>
      <c r="M1881">
        <v>1</v>
      </c>
      <c r="N1881">
        <v>0.98747700000000005</v>
      </c>
    </row>
    <row r="1882" spans="1:14" x14ac:dyDescent="0.35">
      <c r="A1882" s="156" t="s">
        <v>542</v>
      </c>
      <c r="B1882" s="52">
        <v>45364</v>
      </c>
      <c r="C1882" s="156" t="s">
        <v>531</v>
      </c>
      <c r="D1882" s="156" t="s">
        <v>531</v>
      </c>
      <c r="E1882">
        <v>3319926</v>
      </c>
      <c r="F1882">
        <v>267566.55339999998</v>
      </c>
      <c r="G1882">
        <v>80.563599999999994</v>
      </c>
      <c r="H1882">
        <v>0.99664299999999995</v>
      </c>
      <c r="I1882">
        <v>1</v>
      </c>
      <c r="J1882" s="156">
        <v>1</v>
      </c>
      <c r="K1882">
        <v>1</v>
      </c>
      <c r="L1882">
        <v>1</v>
      </c>
      <c r="M1882">
        <v>1</v>
      </c>
      <c r="N1882">
        <v>0.99664299999999995</v>
      </c>
    </row>
    <row r="1883" spans="1:14" x14ac:dyDescent="0.35">
      <c r="A1883" s="156" t="s">
        <v>542</v>
      </c>
      <c r="B1883" s="52">
        <v>45365</v>
      </c>
      <c r="C1883" s="156" t="s">
        <v>531</v>
      </c>
      <c r="D1883" s="156" t="s">
        <v>531</v>
      </c>
      <c r="E1883">
        <v>5793125</v>
      </c>
      <c r="F1883">
        <v>452273.71850000002</v>
      </c>
      <c r="G1883">
        <v>78.093800000000002</v>
      </c>
      <c r="H1883">
        <v>0.96719100000000002</v>
      </c>
      <c r="I1883">
        <v>1</v>
      </c>
      <c r="J1883" s="156">
        <v>1</v>
      </c>
      <c r="K1883">
        <v>1</v>
      </c>
      <c r="L1883">
        <v>1</v>
      </c>
      <c r="M1883">
        <v>1</v>
      </c>
      <c r="N1883">
        <v>0.96719100000000002</v>
      </c>
    </row>
    <row r="1884" spans="1:14" x14ac:dyDescent="0.35">
      <c r="A1884" s="156" t="s">
        <v>542</v>
      </c>
      <c r="B1884" s="52">
        <v>45366</v>
      </c>
      <c r="C1884" s="156" t="s">
        <v>531</v>
      </c>
      <c r="D1884" s="156" t="s">
        <v>531</v>
      </c>
      <c r="E1884">
        <v>4366854</v>
      </c>
      <c r="F1884">
        <v>335981.071</v>
      </c>
      <c r="G1884">
        <v>76.925200000000004</v>
      </c>
      <c r="H1884">
        <v>0.98955199999999999</v>
      </c>
      <c r="I1884">
        <v>1</v>
      </c>
      <c r="J1884" s="156">
        <v>1</v>
      </c>
      <c r="K1884">
        <v>1</v>
      </c>
      <c r="L1884">
        <v>1</v>
      </c>
      <c r="M1884">
        <v>1</v>
      </c>
      <c r="N1884">
        <v>0.98955199999999999</v>
      </c>
    </row>
    <row r="1885" spans="1:14" x14ac:dyDescent="0.35">
      <c r="A1885" s="156" t="s">
        <v>542</v>
      </c>
      <c r="B1885" s="52">
        <v>45369</v>
      </c>
      <c r="C1885" s="156" t="s">
        <v>531</v>
      </c>
      <c r="D1885" s="156" t="s">
        <v>531</v>
      </c>
      <c r="E1885">
        <v>3047251</v>
      </c>
      <c r="F1885">
        <v>239003.17550000001</v>
      </c>
      <c r="G1885">
        <v>78.426199999999994</v>
      </c>
      <c r="H1885">
        <v>1.0212460000000001</v>
      </c>
      <c r="I1885">
        <v>1</v>
      </c>
      <c r="J1885" s="156">
        <v>1</v>
      </c>
      <c r="K1885">
        <v>1</v>
      </c>
      <c r="L1885">
        <v>1</v>
      </c>
      <c r="M1885">
        <v>1</v>
      </c>
      <c r="N1885">
        <v>1.0212460000000001</v>
      </c>
    </row>
    <row r="1886" spans="1:14" x14ac:dyDescent="0.35">
      <c r="A1886" s="156" t="s">
        <v>542</v>
      </c>
      <c r="B1886" s="52">
        <v>45370</v>
      </c>
      <c r="C1886" s="156" t="s">
        <v>531</v>
      </c>
      <c r="D1886" s="156" t="s">
        <v>531</v>
      </c>
      <c r="E1886">
        <v>3581287</v>
      </c>
      <c r="F1886">
        <v>284411.87929999997</v>
      </c>
      <c r="G1886">
        <v>79.434299999999993</v>
      </c>
      <c r="H1886">
        <v>1.0179959999999999</v>
      </c>
      <c r="I1886">
        <v>1</v>
      </c>
      <c r="J1886" s="156">
        <v>1</v>
      </c>
      <c r="K1886">
        <v>1</v>
      </c>
      <c r="L1886">
        <v>1</v>
      </c>
      <c r="M1886">
        <v>1</v>
      </c>
      <c r="N1886">
        <v>1.0179959999999999</v>
      </c>
    </row>
    <row r="1887" spans="1:14" x14ac:dyDescent="0.35">
      <c r="A1887" s="156" t="s">
        <v>542</v>
      </c>
      <c r="B1887" s="52">
        <v>45371</v>
      </c>
      <c r="C1887" s="156" t="s">
        <v>531</v>
      </c>
      <c r="D1887" s="156" t="s">
        <v>531</v>
      </c>
      <c r="E1887">
        <v>6542800</v>
      </c>
      <c r="F1887">
        <v>541147.28130000003</v>
      </c>
      <c r="G1887">
        <v>82.737200000000001</v>
      </c>
      <c r="H1887">
        <v>1.0465150000000001</v>
      </c>
      <c r="I1887">
        <v>1</v>
      </c>
      <c r="J1887" s="156">
        <v>1</v>
      </c>
      <c r="K1887">
        <v>1</v>
      </c>
      <c r="L1887">
        <v>1</v>
      </c>
      <c r="M1887">
        <v>1</v>
      </c>
      <c r="N1887">
        <v>1.0465150000000001</v>
      </c>
    </row>
    <row r="1888" spans="1:14" x14ac:dyDescent="0.35">
      <c r="A1888" s="156" t="s">
        <v>542</v>
      </c>
      <c r="B1888" s="52">
        <v>45372</v>
      </c>
      <c r="C1888" s="156" t="s">
        <v>531</v>
      </c>
      <c r="D1888" s="156" t="s">
        <v>531</v>
      </c>
      <c r="E1888">
        <v>4484600</v>
      </c>
      <c r="F1888">
        <v>381098.4105</v>
      </c>
      <c r="G1888">
        <v>84.976500000000001</v>
      </c>
      <c r="H1888">
        <v>1.0190490000000001</v>
      </c>
      <c r="I1888">
        <v>1</v>
      </c>
      <c r="J1888" s="156">
        <v>1</v>
      </c>
      <c r="K1888">
        <v>1</v>
      </c>
      <c r="L1888">
        <v>1</v>
      </c>
      <c r="M1888">
        <v>1</v>
      </c>
      <c r="N1888">
        <v>1.0190490000000001</v>
      </c>
    </row>
    <row r="1889" spans="1:14" x14ac:dyDescent="0.35">
      <c r="A1889" s="156" t="s">
        <v>542</v>
      </c>
      <c r="B1889" s="52">
        <v>45373</v>
      </c>
      <c r="C1889" s="156" t="s">
        <v>531</v>
      </c>
      <c r="D1889" s="156" t="s">
        <v>531</v>
      </c>
      <c r="E1889">
        <v>3026547</v>
      </c>
      <c r="F1889">
        <v>257063.2598</v>
      </c>
      <c r="G1889">
        <v>84.934299999999993</v>
      </c>
      <c r="H1889">
        <v>1</v>
      </c>
      <c r="I1889">
        <v>1</v>
      </c>
      <c r="J1889" s="156">
        <v>1</v>
      </c>
      <c r="K1889">
        <v>1</v>
      </c>
      <c r="L1889">
        <v>1</v>
      </c>
      <c r="M1889">
        <v>1</v>
      </c>
      <c r="N1889">
        <v>1</v>
      </c>
    </row>
    <row r="1890" spans="1:14" x14ac:dyDescent="0.35">
      <c r="A1890" s="156" t="s">
        <v>542</v>
      </c>
      <c r="B1890" s="52">
        <v>45376</v>
      </c>
      <c r="C1890" s="156" t="s">
        <v>531</v>
      </c>
      <c r="D1890" s="156" t="s">
        <v>531</v>
      </c>
      <c r="E1890">
        <v>3426265</v>
      </c>
      <c r="F1890">
        <v>296904.91450000001</v>
      </c>
      <c r="G1890">
        <v>86.664599999999993</v>
      </c>
      <c r="H1890">
        <v>1.0292730000000001</v>
      </c>
      <c r="I1890">
        <v>1</v>
      </c>
      <c r="J1890" s="156">
        <v>1</v>
      </c>
      <c r="K1890">
        <v>1</v>
      </c>
      <c r="L1890">
        <v>1</v>
      </c>
      <c r="M1890">
        <v>1</v>
      </c>
      <c r="N1890">
        <v>1.0292730000000001</v>
      </c>
    </row>
    <row r="1891" spans="1:14" x14ac:dyDescent="0.35">
      <c r="A1891" s="156" t="s">
        <v>542</v>
      </c>
      <c r="B1891" s="52">
        <v>45377</v>
      </c>
      <c r="C1891" s="156" t="s">
        <v>531</v>
      </c>
      <c r="D1891" s="156" t="s">
        <v>531</v>
      </c>
      <c r="E1891">
        <v>4727619</v>
      </c>
      <c r="F1891">
        <v>414884.32890000002</v>
      </c>
      <c r="G1891">
        <v>87.753699999999995</v>
      </c>
      <c r="H1891">
        <v>0.99428899999999998</v>
      </c>
      <c r="I1891">
        <v>1</v>
      </c>
      <c r="J1891" s="156">
        <v>1</v>
      </c>
      <c r="K1891">
        <v>1</v>
      </c>
      <c r="L1891">
        <v>1</v>
      </c>
      <c r="M1891">
        <v>1</v>
      </c>
      <c r="N1891">
        <v>0.99428899999999998</v>
      </c>
    </row>
    <row r="1892" spans="1:14" x14ac:dyDescent="0.35">
      <c r="A1892" s="156" t="s">
        <v>542</v>
      </c>
      <c r="B1892" s="52">
        <v>45378</v>
      </c>
      <c r="C1892" s="156" t="s">
        <v>531</v>
      </c>
      <c r="D1892" s="156" t="s">
        <v>531</v>
      </c>
      <c r="E1892">
        <v>2795209</v>
      </c>
      <c r="F1892">
        <v>242777.7206</v>
      </c>
      <c r="G1892">
        <v>86.918400000000005</v>
      </c>
      <c r="H1892">
        <v>1.001838</v>
      </c>
      <c r="I1892">
        <v>1</v>
      </c>
      <c r="J1892" s="156">
        <v>1</v>
      </c>
      <c r="K1892">
        <v>1</v>
      </c>
      <c r="L1892">
        <v>1</v>
      </c>
      <c r="M1892">
        <v>1</v>
      </c>
      <c r="N1892">
        <v>1.001838</v>
      </c>
    </row>
    <row r="1893" spans="1:14" x14ac:dyDescent="0.35">
      <c r="A1893" s="156" t="s">
        <v>542</v>
      </c>
      <c r="B1893" s="52">
        <v>45379</v>
      </c>
      <c r="C1893" s="156" t="s">
        <v>531</v>
      </c>
      <c r="D1893" s="156" t="s">
        <v>531</v>
      </c>
      <c r="E1893">
        <v>3053066</v>
      </c>
      <c r="F1893">
        <v>267910.26429999998</v>
      </c>
      <c r="G1893">
        <v>87.705799999999996</v>
      </c>
      <c r="H1893">
        <v>1.002408</v>
      </c>
      <c r="I1893">
        <v>1</v>
      </c>
      <c r="J1893" s="156">
        <v>1</v>
      </c>
      <c r="K1893">
        <v>1</v>
      </c>
      <c r="L1893">
        <v>1</v>
      </c>
      <c r="M1893">
        <v>1</v>
      </c>
      <c r="N1893">
        <v>1.002408</v>
      </c>
    </row>
    <row r="1894" spans="1:14" x14ac:dyDescent="0.35">
      <c r="A1894" s="156" t="s">
        <v>542</v>
      </c>
      <c r="B1894" s="52">
        <v>45383</v>
      </c>
      <c r="C1894" s="156" t="s">
        <v>531</v>
      </c>
      <c r="D1894" s="156" t="s">
        <v>531</v>
      </c>
      <c r="E1894">
        <v>1821451</v>
      </c>
      <c r="F1894">
        <v>159181.62229999999</v>
      </c>
      <c r="G1894">
        <v>87.397199999999998</v>
      </c>
      <c r="H1894">
        <v>0.99874200000000002</v>
      </c>
      <c r="I1894">
        <v>1</v>
      </c>
      <c r="J1894" s="156">
        <v>1</v>
      </c>
      <c r="K1894">
        <v>1</v>
      </c>
      <c r="L1894">
        <v>1</v>
      </c>
      <c r="M1894">
        <v>1</v>
      </c>
      <c r="N1894">
        <v>0.99874200000000002</v>
      </c>
    </row>
    <row r="1895" spans="1:14" x14ac:dyDescent="0.35">
      <c r="A1895" s="156" t="s">
        <v>542</v>
      </c>
      <c r="B1895" s="52">
        <v>45384</v>
      </c>
      <c r="C1895" s="156" t="s">
        <v>531</v>
      </c>
      <c r="D1895" s="156" t="s">
        <v>531</v>
      </c>
      <c r="E1895">
        <v>2587541</v>
      </c>
      <c r="F1895">
        <v>223554.42679999999</v>
      </c>
      <c r="G1895">
        <v>86.431799999999996</v>
      </c>
      <c r="H1895">
        <v>0.99748000000000003</v>
      </c>
      <c r="I1895">
        <v>1</v>
      </c>
      <c r="J1895" s="156">
        <v>1</v>
      </c>
      <c r="K1895">
        <v>1</v>
      </c>
      <c r="L1895">
        <v>1</v>
      </c>
      <c r="M1895">
        <v>1</v>
      </c>
      <c r="N1895">
        <v>0.99748000000000003</v>
      </c>
    </row>
    <row r="1896" spans="1:14" x14ac:dyDescent="0.35">
      <c r="A1896" s="156" t="s">
        <v>542</v>
      </c>
      <c r="B1896" s="52">
        <v>45385</v>
      </c>
      <c r="C1896" s="156" t="s">
        <v>531</v>
      </c>
      <c r="D1896" s="156" t="s">
        <v>531</v>
      </c>
      <c r="E1896">
        <v>2126563</v>
      </c>
      <c r="F1896">
        <v>184843.57990000001</v>
      </c>
      <c r="G1896">
        <v>86.927199999999999</v>
      </c>
      <c r="H1896">
        <v>0.998278</v>
      </c>
      <c r="I1896">
        <v>1</v>
      </c>
      <c r="J1896" s="156">
        <v>1</v>
      </c>
      <c r="K1896">
        <v>1</v>
      </c>
      <c r="L1896">
        <v>1</v>
      </c>
      <c r="M1896">
        <v>1</v>
      </c>
      <c r="N1896">
        <v>0.998278</v>
      </c>
    </row>
    <row r="1897" spans="1:14" x14ac:dyDescent="0.35">
      <c r="A1897" s="156" t="s">
        <v>542</v>
      </c>
      <c r="B1897" s="52">
        <v>45386</v>
      </c>
      <c r="C1897" s="156" t="s">
        <v>531</v>
      </c>
      <c r="D1897" s="156" t="s">
        <v>531</v>
      </c>
      <c r="E1897">
        <v>3812346</v>
      </c>
      <c r="F1897">
        <v>326402.39679999999</v>
      </c>
      <c r="G1897">
        <v>85.519000000000005</v>
      </c>
      <c r="H1897">
        <v>0.97262499999999996</v>
      </c>
      <c r="I1897">
        <v>1</v>
      </c>
      <c r="J1897" s="156">
        <v>1</v>
      </c>
      <c r="K1897">
        <v>1</v>
      </c>
      <c r="L1897">
        <v>1</v>
      </c>
      <c r="M1897">
        <v>1</v>
      </c>
      <c r="N1897">
        <v>0.97262499999999996</v>
      </c>
    </row>
    <row r="1898" spans="1:14" x14ac:dyDescent="0.35">
      <c r="A1898" s="156" t="s">
        <v>542</v>
      </c>
      <c r="B1898" s="52">
        <v>45387</v>
      </c>
      <c r="C1898" s="156" t="s">
        <v>531</v>
      </c>
      <c r="D1898" s="156" t="s">
        <v>531</v>
      </c>
      <c r="E1898">
        <v>1939098</v>
      </c>
      <c r="F1898">
        <v>166828.42509999999</v>
      </c>
      <c r="G1898">
        <v>86.026200000000003</v>
      </c>
      <c r="H1898">
        <v>1.0150189999999999</v>
      </c>
      <c r="I1898">
        <v>1</v>
      </c>
      <c r="J1898" s="156">
        <v>1</v>
      </c>
      <c r="K1898">
        <v>1</v>
      </c>
      <c r="L1898">
        <v>1</v>
      </c>
      <c r="M1898">
        <v>1</v>
      </c>
      <c r="N1898">
        <v>1.0150189999999999</v>
      </c>
    </row>
    <row r="1899" spans="1:14" x14ac:dyDescent="0.35">
      <c r="A1899" s="156" t="s">
        <v>542</v>
      </c>
      <c r="B1899" s="52">
        <v>45390</v>
      </c>
      <c r="C1899" s="156" t="s">
        <v>531</v>
      </c>
      <c r="D1899" s="156" t="s">
        <v>531</v>
      </c>
      <c r="E1899">
        <v>1644189</v>
      </c>
      <c r="F1899">
        <v>142256.56940000001</v>
      </c>
      <c r="G1899">
        <v>86.528000000000006</v>
      </c>
      <c r="H1899">
        <v>1.009903</v>
      </c>
      <c r="I1899">
        <v>1</v>
      </c>
      <c r="J1899" s="156">
        <v>1</v>
      </c>
      <c r="K1899">
        <v>1</v>
      </c>
      <c r="L1899">
        <v>1</v>
      </c>
      <c r="M1899">
        <v>1</v>
      </c>
      <c r="N1899">
        <v>1.009903</v>
      </c>
    </row>
    <row r="1900" spans="1:14" x14ac:dyDescent="0.35">
      <c r="A1900" s="156" t="s">
        <v>542</v>
      </c>
      <c r="B1900" s="52">
        <v>45391</v>
      </c>
      <c r="C1900" s="156" t="s">
        <v>531</v>
      </c>
      <c r="D1900" s="156" t="s">
        <v>531</v>
      </c>
      <c r="E1900">
        <v>1716561</v>
      </c>
      <c r="F1900">
        <v>149231.28279999999</v>
      </c>
      <c r="G1900">
        <v>86.938400000000001</v>
      </c>
      <c r="H1900">
        <v>1.001846</v>
      </c>
      <c r="I1900">
        <v>1</v>
      </c>
      <c r="J1900" s="156">
        <v>1</v>
      </c>
      <c r="K1900">
        <v>1</v>
      </c>
      <c r="L1900">
        <v>1</v>
      </c>
      <c r="M1900">
        <v>1</v>
      </c>
      <c r="N1900">
        <v>1.001846</v>
      </c>
    </row>
    <row r="1901" spans="1:14" x14ac:dyDescent="0.35">
      <c r="A1901" s="156" t="s">
        <v>542</v>
      </c>
      <c r="B1901" s="52">
        <v>45392</v>
      </c>
      <c r="C1901" s="156" t="s">
        <v>531</v>
      </c>
      <c r="D1901" s="156" t="s">
        <v>531</v>
      </c>
      <c r="E1901">
        <v>2260930</v>
      </c>
      <c r="F1901">
        <v>194889.6072</v>
      </c>
      <c r="G1901">
        <v>86.207700000000003</v>
      </c>
      <c r="H1901">
        <v>0.995394</v>
      </c>
      <c r="I1901">
        <v>1</v>
      </c>
      <c r="J1901" s="156">
        <v>1</v>
      </c>
      <c r="K1901">
        <v>1</v>
      </c>
      <c r="L1901">
        <v>1</v>
      </c>
      <c r="M1901">
        <v>1</v>
      </c>
      <c r="N1901">
        <v>0.995394</v>
      </c>
    </row>
    <row r="1902" spans="1:14" x14ac:dyDescent="0.35">
      <c r="A1902" s="156" t="s">
        <v>542</v>
      </c>
      <c r="B1902" s="52">
        <v>45393</v>
      </c>
      <c r="C1902" s="156" t="s">
        <v>531</v>
      </c>
      <c r="D1902" s="156" t="s">
        <v>531</v>
      </c>
      <c r="E1902">
        <v>2673987</v>
      </c>
      <c r="F1902">
        <v>233378.63570000001</v>
      </c>
      <c r="G1902">
        <v>87.281400000000005</v>
      </c>
      <c r="H1902">
        <v>1.0145770000000001</v>
      </c>
      <c r="I1902">
        <v>1</v>
      </c>
      <c r="J1902" s="156">
        <v>1</v>
      </c>
      <c r="K1902">
        <v>1</v>
      </c>
      <c r="L1902">
        <v>1</v>
      </c>
      <c r="M1902">
        <v>1</v>
      </c>
      <c r="N1902">
        <v>1.0145770000000001</v>
      </c>
    </row>
    <row r="1903" spans="1:14" x14ac:dyDescent="0.35">
      <c r="A1903" s="156" t="s">
        <v>542</v>
      </c>
      <c r="B1903" s="52">
        <v>45394</v>
      </c>
      <c r="C1903" s="156" t="s">
        <v>531</v>
      </c>
      <c r="D1903" s="156" t="s">
        <v>531</v>
      </c>
      <c r="E1903">
        <v>2349888</v>
      </c>
      <c r="F1903">
        <v>202653.16810000001</v>
      </c>
      <c r="G1903">
        <v>86.257199999999997</v>
      </c>
      <c r="H1903">
        <v>0.98483500000000002</v>
      </c>
      <c r="I1903">
        <v>1</v>
      </c>
      <c r="J1903" s="156">
        <v>1</v>
      </c>
      <c r="K1903">
        <v>1</v>
      </c>
      <c r="L1903">
        <v>1</v>
      </c>
      <c r="M1903">
        <v>1</v>
      </c>
      <c r="N1903">
        <v>0.98483500000000002</v>
      </c>
    </row>
    <row r="1904" spans="1:14" x14ac:dyDescent="0.35">
      <c r="A1904" s="156" t="s">
        <v>542</v>
      </c>
      <c r="B1904" s="52">
        <v>45397</v>
      </c>
      <c r="C1904" s="156" t="s">
        <v>531</v>
      </c>
      <c r="D1904" s="156" t="s">
        <v>531</v>
      </c>
      <c r="E1904">
        <v>3833740</v>
      </c>
      <c r="F1904">
        <v>315889.93430000002</v>
      </c>
      <c r="G1904">
        <v>82.346199999999996</v>
      </c>
      <c r="H1904">
        <v>0.93771000000000004</v>
      </c>
      <c r="I1904">
        <v>1</v>
      </c>
      <c r="J1904" s="156">
        <v>1</v>
      </c>
      <c r="K1904">
        <v>1</v>
      </c>
      <c r="L1904">
        <v>1</v>
      </c>
      <c r="M1904">
        <v>1</v>
      </c>
      <c r="N1904">
        <v>0.93771000000000004</v>
      </c>
    </row>
    <row r="1905" spans="1:14" x14ac:dyDescent="0.35">
      <c r="A1905" s="156" t="s">
        <v>542</v>
      </c>
      <c r="B1905" s="52">
        <v>45398</v>
      </c>
      <c r="C1905" s="156" t="s">
        <v>531</v>
      </c>
      <c r="D1905" s="156" t="s">
        <v>531</v>
      </c>
      <c r="E1905">
        <v>2872062</v>
      </c>
      <c r="F1905">
        <v>234346.51209999999</v>
      </c>
      <c r="G1905">
        <v>81.620900000000006</v>
      </c>
      <c r="H1905">
        <v>1.014076</v>
      </c>
      <c r="I1905">
        <v>1</v>
      </c>
      <c r="J1905" s="156">
        <v>1</v>
      </c>
      <c r="K1905">
        <v>1</v>
      </c>
      <c r="L1905">
        <v>1</v>
      </c>
      <c r="M1905">
        <v>1</v>
      </c>
      <c r="N1905">
        <v>1.014076</v>
      </c>
    </row>
    <row r="1906" spans="1:14" x14ac:dyDescent="0.35">
      <c r="A1906" s="156" t="s">
        <v>542</v>
      </c>
      <c r="B1906" s="52">
        <v>45399</v>
      </c>
      <c r="C1906" s="156" t="s">
        <v>531</v>
      </c>
      <c r="D1906" s="156" t="s">
        <v>531</v>
      </c>
      <c r="E1906">
        <v>1861908</v>
      </c>
      <c r="F1906">
        <v>150504.0252</v>
      </c>
      <c r="G1906">
        <v>80.800899999999999</v>
      </c>
      <c r="H1906">
        <v>0.97564799999999996</v>
      </c>
      <c r="I1906">
        <v>1</v>
      </c>
      <c r="J1906" s="156">
        <v>1</v>
      </c>
      <c r="K1906">
        <v>1</v>
      </c>
      <c r="L1906">
        <v>1</v>
      </c>
      <c r="M1906">
        <v>1</v>
      </c>
      <c r="N1906">
        <v>0.97564799999999996</v>
      </c>
    </row>
    <row r="1907" spans="1:14" x14ac:dyDescent="0.35">
      <c r="A1907" s="156" t="s">
        <v>542</v>
      </c>
      <c r="B1907" s="52">
        <v>45400</v>
      </c>
      <c r="C1907" s="156" t="s">
        <v>531</v>
      </c>
      <c r="D1907" s="156" t="s">
        <v>531</v>
      </c>
      <c r="E1907">
        <v>1916140</v>
      </c>
      <c r="F1907">
        <v>154859.53810000001</v>
      </c>
      <c r="G1907">
        <v>80.850800000000007</v>
      </c>
      <c r="H1907">
        <v>1.008486</v>
      </c>
      <c r="I1907">
        <v>1</v>
      </c>
      <c r="J1907" s="156">
        <v>1</v>
      </c>
      <c r="K1907">
        <v>1</v>
      </c>
      <c r="L1907">
        <v>1</v>
      </c>
      <c r="M1907">
        <v>1</v>
      </c>
      <c r="N1907">
        <v>1.008486</v>
      </c>
    </row>
    <row r="1908" spans="1:14" x14ac:dyDescent="0.35">
      <c r="A1908" s="156" t="s">
        <v>542</v>
      </c>
      <c r="B1908" s="52">
        <v>45401</v>
      </c>
      <c r="C1908" s="156" t="s">
        <v>531</v>
      </c>
      <c r="D1908" s="156" t="s">
        <v>531</v>
      </c>
      <c r="E1908">
        <v>3113783</v>
      </c>
      <c r="F1908">
        <v>242641.14230000001</v>
      </c>
      <c r="G1908">
        <v>77.887799999999999</v>
      </c>
      <c r="H1908">
        <v>0.956565</v>
      </c>
      <c r="I1908">
        <v>1</v>
      </c>
      <c r="J1908" s="156">
        <v>1</v>
      </c>
      <c r="K1908">
        <v>1</v>
      </c>
      <c r="L1908">
        <v>1</v>
      </c>
      <c r="M1908">
        <v>1</v>
      </c>
      <c r="N1908">
        <v>0.956565</v>
      </c>
    </row>
    <row r="1909" spans="1:14" x14ac:dyDescent="0.35">
      <c r="A1909" s="156" t="s">
        <v>542</v>
      </c>
      <c r="B1909" s="52">
        <v>45404</v>
      </c>
      <c r="C1909" s="156" t="s">
        <v>531</v>
      </c>
      <c r="D1909" s="156" t="s">
        <v>531</v>
      </c>
      <c r="E1909">
        <v>2535827</v>
      </c>
      <c r="F1909">
        <v>197012.44570000001</v>
      </c>
      <c r="G1909">
        <v>77.698400000000007</v>
      </c>
      <c r="H1909">
        <v>1.0069859999999999</v>
      </c>
      <c r="I1909">
        <v>1</v>
      </c>
      <c r="J1909" s="156">
        <v>1</v>
      </c>
      <c r="K1909">
        <v>1</v>
      </c>
      <c r="L1909">
        <v>1</v>
      </c>
      <c r="M1909">
        <v>1</v>
      </c>
      <c r="N1909">
        <v>1.0069859999999999</v>
      </c>
    </row>
    <row r="1910" spans="1:14" x14ac:dyDescent="0.35">
      <c r="A1910" s="156" t="s">
        <v>542</v>
      </c>
      <c r="B1910" s="52">
        <v>45405</v>
      </c>
      <c r="C1910" s="156" t="s">
        <v>531</v>
      </c>
      <c r="D1910" s="156" t="s">
        <v>531</v>
      </c>
      <c r="E1910">
        <v>3251418</v>
      </c>
      <c r="F1910">
        <v>263306.45030000003</v>
      </c>
      <c r="G1910">
        <v>80.9786</v>
      </c>
      <c r="H1910">
        <v>1.0414950000000001</v>
      </c>
      <c r="I1910">
        <v>1</v>
      </c>
      <c r="J1910" s="156">
        <v>1</v>
      </c>
      <c r="K1910">
        <v>1</v>
      </c>
      <c r="L1910">
        <v>1</v>
      </c>
      <c r="M1910">
        <v>1</v>
      </c>
      <c r="N1910">
        <v>1.0414950000000001</v>
      </c>
    </row>
    <row r="1911" spans="1:14" x14ac:dyDescent="0.35">
      <c r="A1911" s="156" t="s">
        <v>542</v>
      </c>
      <c r="B1911" s="52">
        <v>45406</v>
      </c>
      <c r="C1911" s="156" t="s">
        <v>531</v>
      </c>
      <c r="D1911" s="156" t="s">
        <v>531</v>
      </c>
      <c r="E1911">
        <v>6568238</v>
      </c>
      <c r="F1911">
        <v>551014.31629999995</v>
      </c>
      <c r="G1911">
        <v>83.897900000000007</v>
      </c>
      <c r="H1911">
        <v>1.0335510000000001</v>
      </c>
      <c r="I1911">
        <v>1</v>
      </c>
      <c r="J1911" s="156">
        <v>1</v>
      </c>
      <c r="K1911">
        <v>1</v>
      </c>
      <c r="L1911">
        <v>1</v>
      </c>
      <c r="M1911">
        <v>1</v>
      </c>
      <c r="N1911">
        <v>1.0335510000000001</v>
      </c>
    </row>
    <row r="1912" spans="1:14" x14ac:dyDescent="0.35">
      <c r="A1912" s="156" t="s">
        <v>542</v>
      </c>
      <c r="B1912" s="52">
        <v>45407</v>
      </c>
      <c r="C1912" s="156" t="s">
        <v>531</v>
      </c>
      <c r="D1912" s="156" t="s">
        <v>531</v>
      </c>
      <c r="E1912">
        <v>4238722</v>
      </c>
      <c r="F1912">
        <v>349913.79470000003</v>
      </c>
      <c r="G1912">
        <v>82.584299999999999</v>
      </c>
      <c r="H1912">
        <v>0.99462899999999999</v>
      </c>
      <c r="I1912">
        <v>1</v>
      </c>
      <c r="J1912" s="156">
        <v>1</v>
      </c>
      <c r="K1912">
        <v>1</v>
      </c>
      <c r="L1912">
        <v>1</v>
      </c>
      <c r="M1912">
        <v>1</v>
      </c>
      <c r="N1912">
        <v>0.99462899999999999</v>
      </c>
    </row>
    <row r="1913" spans="1:14" x14ac:dyDescent="0.35">
      <c r="A1913" s="156" t="s">
        <v>542</v>
      </c>
      <c r="B1913" s="52">
        <v>45408</v>
      </c>
      <c r="C1913" s="156" t="s">
        <v>531</v>
      </c>
      <c r="D1913" s="156" t="s">
        <v>531</v>
      </c>
      <c r="E1913">
        <v>2944850</v>
      </c>
      <c r="F1913">
        <v>250518.81</v>
      </c>
      <c r="G1913">
        <v>85.052199999999999</v>
      </c>
      <c r="H1913">
        <v>1.0166789999999999</v>
      </c>
      <c r="I1913">
        <v>1</v>
      </c>
      <c r="J1913" s="156">
        <v>1</v>
      </c>
      <c r="K1913">
        <v>1</v>
      </c>
      <c r="L1913">
        <v>1</v>
      </c>
      <c r="M1913">
        <v>1</v>
      </c>
      <c r="N1913">
        <v>1.0166789999999999</v>
      </c>
    </row>
    <row r="1914" spans="1:14" x14ac:dyDescent="0.35">
      <c r="A1914" s="156" t="s">
        <v>542</v>
      </c>
      <c r="B1914" s="52">
        <v>45411</v>
      </c>
      <c r="C1914" s="156" t="s">
        <v>531</v>
      </c>
      <c r="D1914" s="156" t="s">
        <v>531</v>
      </c>
      <c r="E1914">
        <v>1757132</v>
      </c>
      <c r="F1914">
        <v>148379.71590000001</v>
      </c>
      <c r="G1914">
        <v>84.450500000000005</v>
      </c>
      <c r="H1914">
        <v>0.99728499999999998</v>
      </c>
      <c r="I1914">
        <v>1</v>
      </c>
      <c r="J1914" s="156">
        <v>1</v>
      </c>
      <c r="K1914">
        <v>1</v>
      </c>
      <c r="L1914">
        <v>1</v>
      </c>
      <c r="M1914">
        <v>1</v>
      </c>
      <c r="N1914">
        <v>0.99728499999999998</v>
      </c>
    </row>
    <row r="1915" spans="1:14" x14ac:dyDescent="0.35">
      <c r="A1915" s="156" t="s">
        <v>542</v>
      </c>
      <c r="B1915" s="52">
        <v>45412</v>
      </c>
      <c r="C1915" s="156" t="s">
        <v>531</v>
      </c>
      <c r="D1915" s="156" t="s">
        <v>531</v>
      </c>
      <c r="E1915">
        <v>2442234</v>
      </c>
      <c r="F1915">
        <v>203900.74540000001</v>
      </c>
      <c r="G1915">
        <v>83.457899999999995</v>
      </c>
      <c r="H1915">
        <v>0.98047300000000004</v>
      </c>
      <c r="I1915">
        <v>1</v>
      </c>
      <c r="J1915" s="156">
        <v>1</v>
      </c>
      <c r="K1915">
        <v>1</v>
      </c>
      <c r="L1915">
        <v>1</v>
      </c>
      <c r="M1915">
        <v>1</v>
      </c>
      <c r="N1915">
        <v>0.98047300000000004</v>
      </c>
    </row>
    <row r="1916" spans="1:14" x14ac:dyDescent="0.35">
      <c r="A1916" s="156" t="s">
        <v>542</v>
      </c>
      <c r="B1916" s="52">
        <v>45413</v>
      </c>
      <c r="C1916" s="156" t="s">
        <v>531</v>
      </c>
      <c r="D1916" s="156" t="s">
        <v>531</v>
      </c>
      <c r="E1916">
        <v>3352013</v>
      </c>
      <c r="F1916">
        <v>286103.8518</v>
      </c>
      <c r="G1916">
        <v>85.323300000000003</v>
      </c>
      <c r="H1916">
        <v>1.030899</v>
      </c>
      <c r="I1916">
        <v>1</v>
      </c>
      <c r="J1916" s="156">
        <v>1</v>
      </c>
      <c r="K1916">
        <v>1</v>
      </c>
      <c r="L1916">
        <v>1</v>
      </c>
      <c r="M1916">
        <v>1</v>
      </c>
      <c r="N1916">
        <v>1.030899</v>
      </c>
    </row>
    <row r="1917" spans="1:14" x14ac:dyDescent="0.35">
      <c r="A1917" s="156" t="s">
        <v>542</v>
      </c>
      <c r="B1917" s="52">
        <v>45414</v>
      </c>
      <c r="C1917" s="156" t="s">
        <v>531</v>
      </c>
      <c r="D1917" s="156" t="s">
        <v>531</v>
      </c>
      <c r="E1917">
        <v>4148597</v>
      </c>
      <c r="F1917">
        <v>364005.78779999999</v>
      </c>
      <c r="G1917">
        <v>87.751800000000003</v>
      </c>
      <c r="H1917">
        <v>1.0317289999999999</v>
      </c>
      <c r="I1917">
        <v>1</v>
      </c>
      <c r="J1917" s="156">
        <v>1</v>
      </c>
      <c r="K1917">
        <v>1</v>
      </c>
      <c r="L1917">
        <v>1</v>
      </c>
      <c r="M1917">
        <v>1</v>
      </c>
      <c r="N1917">
        <v>1.0317289999999999</v>
      </c>
    </row>
    <row r="1918" spans="1:14" x14ac:dyDescent="0.35">
      <c r="A1918" s="156" t="s">
        <v>542</v>
      </c>
      <c r="B1918" s="52">
        <v>45415</v>
      </c>
      <c r="C1918" s="156" t="s">
        <v>531</v>
      </c>
      <c r="D1918" s="156" t="s">
        <v>531</v>
      </c>
      <c r="E1918">
        <v>3778002</v>
      </c>
      <c r="F1918">
        <v>335413.38630000001</v>
      </c>
      <c r="G1918">
        <v>88.783699999999996</v>
      </c>
      <c r="H1918">
        <v>1.0053339999999999</v>
      </c>
      <c r="I1918">
        <v>1</v>
      </c>
      <c r="J1918" s="156">
        <v>1</v>
      </c>
      <c r="K1918">
        <v>1</v>
      </c>
      <c r="L1918">
        <v>1</v>
      </c>
      <c r="M1918">
        <v>1</v>
      </c>
      <c r="N1918">
        <v>1.0053339999999999</v>
      </c>
    </row>
    <row r="1919" spans="1:14" x14ac:dyDescent="0.35">
      <c r="A1919" s="156" t="s">
        <v>542</v>
      </c>
      <c r="B1919" s="52">
        <v>45418</v>
      </c>
      <c r="C1919" s="156" t="s">
        <v>531</v>
      </c>
      <c r="D1919" s="156" t="s">
        <v>531</v>
      </c>
      <c r="E1919">
        <v>3560946</v>
      </c>
      <c r="F1919">
        <v>322429.04149999999</v>
      </c>
      <c r="G1919">
        <v>90.578199999999995</v>
      </c>
      <c r="H1919">
        <v>1.0312680000000001</v>
      </c>
      <c r="I1919">
        <v>1</v>
      </c>
      <c r="J1919" s="156">
        <v>1</v>
      </c>
      <c r="K1919">
        <v>1</v>
      </c>
      <c r="L1919">
        <v>1</v>
      </c>
      <c r="M1919">
        <v>1</v>
      </c>
      <c r="N1919">
        <v>1.0312680000000001</v>
      </c>
    </row>
    <row r="1920" spans="1:14" x14ac:dyDescent="0.35">
      <c r="A1920" s="156" t="s">
        <v>542</v>
      </c>
      <c r="B1920" s="52">
        <v>45419</v>
      </c>
      <c r="C1920" s="156" t="s">
        <v>531</v>
      </c>
      <c r="D1920" s="156" t="s">
        <v>531</v>
      </c>
      <c r="E1920">
        <v>4950395</v>
      </c>
      <c r="F1920">
        <v>448454.37880000001</v>
      </c>
      <c r="G1920">
        <v>90.534800000000004</v>
      </c>
      <c r="H1920">
        <v>0.98117299999999996</v>
      </c>
      <c r="I1920">
        <v>1</v>
      </c>
      <c r="J1920" s="156">
        <v>1</v>
      </c>
      <c r="K1920">
        <v>1</v>
      </c>
      <c r="L1920">
        <v>1</v>
      </c>
      <c r="M1920">
        <v>1</v>
      </c>
      <c r="N1920">
        <v>0.98117299999999996</v>
      </c>
    </row>
    <row r="1921" spans="1:14" x14ac:dyDescent="0.35">
      <c r="A1921" s="156" t="s">
        <v>542</v>
      </c>
      <c r="B1921" s="52">
        <v>45420</v>
      </c>
      <c r="C1921" s="156" t="s">
        <v>531</v>
      </c>
      <c r="D1921" s="156" t="s">
        <v>531</v>
      </c>
      <c r="E1921">
        <v>6603663</v>
      </c>
      <c r="F1921">
        <v>572514.75769999996</v>
      </c>
      <c r="G1921">
        <v>86.690799999999996</v>
      </c>
      <c r="H1921">
        <v>0.95961600000000002</v>
      </c>
      <c r="I1921">
        <v>1</v>
      </c>
      <c r="J1921" s="156">
        <v>1</v>
      </c>
      <c r="K1921">
        <v>1</v>
      </c>
      <c r="L1921">
        <v>1</v>
      </c>
      <c r="M1921">
        <v>1</v>
      </c>
      <c r="N1921">
        <v>0.95961600000000002</v>
      </c>
    </row>
    <row r="1922" spans="1:14" x14ac:dyDescent="0.35">
      <c r="A1922" s="156" t="s">
        <v>542</v>
      </c>
      <c r="B1922" s="52">
        <v>45421</v>
      </c>
      <c r="C1922" s="156" t="s">
        <v>531</v>
      </c>
      <c r="D1922" s="156" t="s">
        <v>531</v>
      </c>
      <c r="E1922">
        <v>8744555</v>
      </c>
      <c r="F1922">
        <v>769943.26500000001</v>
      </c>
      <c r="G1922">
        <v>88.050200000000004</v>
      </c>
      <c r="H1922">
        <v>1.030807</v>
      </c>
      <c r="I1922">
        <v>1</v>
      </c>
      <c r="J1922" s="156">
        <v>1</v>
      </c>
      <c r="K1922">
        <v>1</v>
      </c>
      <c r="L1922">
        <v>1</v>
      </c>
      <c r="M1922">
        <v>1</v>
      </c>
      <c r="N1922">
        <v>1.030807</v>
      </c>
    </row>
    <row r="1923" spans="1:14" x14ac:dyDescent="0.35">
      <c r="A1923" s="156" t="s">
        <v>542</v>
      </c>
      <c r="B1923" s="52">
        <v>45422</v>
      </c>
      <c r="C1923" s="156" t="s">
        <v>531</v>
      </c>
      <c r="D1923" s="156" t="s">
        <v>531</v>
      </c>
      <c r="E1923">
        <v>4294703</v>
      </c>
      <c r="F1923">
        <v>375637.33779999998</v>
      </c>
      <c r="G1923">
        <v>87.451400000000007</v>
      </c>
      <c r="H1923">
        <v>0.98409800000000003</v>
      </c>
      <c r="I1923">
        <v>1</v>
      </c>
      <c r="J1923" s="156">
        <v>1</v>
      </c>
      <c r="K1923">
        <v>1</v>
      </c>
      <c r="L1923">
        <v>1</v>
      </c>
      <c r="M1923">
        <v>1</v>
      </c>
      <c r="N1923">
        <v>0.98409800000000003</v>
      </c>
    </row>
    <row r="1924" spans="1:14" x14ac:dyDescent="0.35">
      <c r="A1924" s="156" t="s">
        <v>542</v>
      </c>
      <c r="B1924" s="52">
        <v>45425</v>
      </c>
      <c r="C1924" s="156" t="s">
        <v>531</v>
      </c>
      <c r="D1924" s="156" t="s">
        <v>531</v>
      </c>
      <c r="E1924">
        <v>2694325</v>
      </c>
      <c r="F1924">
        <v>237055.87710000001</v>
      </c>
      <c r="G1924">
        <v>87.966300000000004</v>
      </c>
      <c r="H1924">
        <v>1.0030939999999999</v>
      </c>
      <c r="I1924">
        <v>1</v>
      </c>
      <c r="J1924" s="156">
        <v>1</v>
      </c>
      <c r="K1924">
        <v>1</v>
      </c>
      <c r="L1924">
        <v>1</v>
      </c>
      <c r="M1924">
        <v>1</v>
      </c>
      <c r="N1924">
        <v>1.0030939999999999</v>
      </c>
    </row>
    <row r="1925" spans="1:14" x14ac:dyDescent="0.35">
      <c r="A1925" s="156" t="s">
        <v>542</v>
      </c>
      <c r="B1925" s="52">
        <v>45426</v>
      </c>
      <c r="C1925" s="156" t="s">
        <v>531</v>
      </c>
      <c r="D1925" s="156" t="s">
        <v>531</v>
      </c>
      <c r="E1925">
        <v>3271710</v>
      </c>
      <c r="F1925">
        <v>282291.55579999997</v>
      </c>
      <c r="G1925">
        <v>86.293899999999994</v>
      </c>
      <c r="H1925">
        <v>0.98457700000000004</v>
      </c>
      <c r="I1925">
        <v>1</v>
      </c>
      <c r="J1925" s="156">
        <v>1</v>
      </c>
      <c r="K1925">
        <v>1</v>
      </c>
      <c r="L1925">
        <v>1</v>
      </c>
      <c r="M1925">
        <v>1</v>
      </c>
      <c r="N1925">
        <v>0.98457700000000004</v>
      </c>
    </row>
    <row r="1926" spans="1:14" x14ac:dyDescent="0.35">
      <c r="A1926" s="156" t="s">
        <v>542</v>
      </c>
      <c r="B1926" s="52">
        <v>45427</v>
      </c>
      <c r="C1926" s="156" t="s">
        <v>531</v>
      </c>
      <c r="D1926" s="156" t="s">
        <v>531</v>
      </c>
      <c r="E1926">
        <v>7631056</v>
      </c>
      <c r="F1926">
        <v>677834.11580000003</v>
      </c>
      <c r="G1926">
        <v>88.910700000000006</v>
      </c>
      <c r="H1926">
        <v>1.0472269999999999</v>
      </c>
      <c r="I1926">
        <v>1</v>
      </c>
      <c r="J1926" s="156">
        <v>1</v>
      </c>
      <c r="K1926">
        <v>1</v>
      </c>
      <c r="L1926">
        <v>1</v>
      </c>
      <c r="M1926">
        <v>1</v>
      </c>
      <c r="N1926">
        <v>1.0472269999999999</v>
      </c>
    </row>
    <row r="1927" spans="1:14" x14ac:dyDescent="0.35">
      <c r="A1927" s="156" t="s">
        <v>542</v>
      </c>
      <c r="B1927" s="52">
        <v>45428</v>
      </c>
      <c r="C1927" s="156" t="s">
        <v>531</v>
      </c>
      <c r="D1927" s="156" t="s">
        <v>531</v>
      </c>
      <c r="E1927">
        <v>10923884</v>
      </c>
      <c r="F1927">
        <v>1024885.0109</v>
      </c>
      <c r="G1927">
        <v>93.801599999999993</v>
      </c>
      <c r="H1927">
        <v>1.0325759999999999</v>
      </c>
      <c r="I1927">
        <v>1</v>
      </c>
      <c r="J1927" s="156">
        <v>1</v>
      </c>
      <c r="K1927">
        <v>1</v>
      </c>
      <c r="L1927">
        <v>1</v>
      </c>
      <c r="M1927">
        <v>1</v>
      </c>
      <c r="N1927">
        <v>1.0325759999999999</v>
      </c>
    </row>
    <row r="1928" spans="1:14" x14ac:dyDescent="0.35">
      <c r="A1928" s="156" t="s">
        <v>542</v>
      </c>
      <c r="B1928" s="52">
        <v>45429</v>
      </c>
      <c r="C1928" s="156" t="s">
        <v>531</v>
      </c>
      <c r="D1928" s="156" t="s">
        <v>531</v>
      </c>
      <c r="E1928">
        <v>4700199</v>
      </c>
      <c r="F1928">
        <v>444402.96539999999</v>
      </c>
      <c r="G1928">
        <v>94.548900000000003</v>
      </c>
      <c r="H1928">
        <v>1.0170619999999999</v>
      </c>
      <c r="I1928">
        <v>1</v>
      </c>
      <c r="J1928" s="156">
        <v>1</v>
      </c>
      <c r="K1928">
        <v>1</v>
      </c>
      <c r="L1928">
        <v>1</v>
      </c>
      <c r="M1928">
        <v>1</v>
      </c>
      <c r="N1928">
        <v>1.0170619999999999</v>
      </c>
    </row>
    <row r="1929" spans="1:14" x14ac:dyDescent="0.35">
      <c r="A1929" s="156" t="s">
        <v>542</v>
      </c>
      <c r="B1929" s="52">
        <v>45432</v>
      </c>
      <c r="C1929" s="156" t="s">
        <v>531</v>
      </c>
      <c r="D1929" s="156" t="s">
        <v>531</v>
      </c>
      <c r="E1929">
        <v>3793257</v>
      </c>
      <c r="F1929">
        <v>366784.18219999998</v>
      </c>
      <c r="G1929">
        <v>96.707700000000003</v>
      </c>
      <c r="H1929">
        <v>1.0286979999999999</v>
      </c>
      <c r="I1929">
        <v>1</v>
      </c>
      <c r="J1929" s="156">
        <v>1</v>
      </c>
      <c r="K1929">
        <v>1</v>
      </c>
      <c r="L1929">
        <v>1</v>
      </c>
      <c r="M1929">
        <v>1</v>
      </c>
      <c r="N1929">
        <v>1.0286979999999999</v>
      </c>
    </row>
    <row r="1930" spans="1:14" x14ac:dyDescent="0.35">
      <c r="A1930" s="156" t="s">
        <v>542</v>
      </c>
      <c r="B1930" s="52">
        <v>45433</v>
      </c>
      <c r="C1930" s="156" t="s">
        <v>531</v>
      </c>
      <c r="D1930" s="156" t="s">
        <v>531</v>
      </c>
      <c r="E1930">
        <v>2713911</v>
      </c>
      <c r="F1930">
        <v>259419.46359999999</v>
      </c>
      <c r="G1930">
        <v>95.607799999999997</v>
      </c>
      <c r="H1930">
        <v>0.98102599999999995</v>
      </c>
      <c r="I1930">
        <v>1</v>
      </c>
      <c r="J1930" s="156">
        <v>1</v>
      </c>
      <c r="K1930">
        <v>1</v>
      </c>
      <c r="L1930">
        <v>1</v>
      </c>
      <c r="M1930">
        <v>1</v>
      </c>
      <c r="N1930">
        <v>0.98102599999999995</v>
      </c>
    </row>
    <row r="1931" spans="1:14" x14ac:dyDescent="0.35">
      <c r="A1931" s="156" t="s">
        <v>542</v>
      </c>
      <c r="B1931" s="52">
        <v>45434</v>
      </c>
      <c r="C1931" s="156" t="s">
        <v>531</v>
      </c>
      <c r="D1931" s="156" t="s">
        <v>531</v>
      </c>
      <c r="E1931">
        <v>1940529</v>
      </c>
      <c r="F1931">
        <v>184853.3431</v>
      </c>
      <c r="G1931">
        <v>95.274600000000007</v>
      </c>
      <c r="H1931">
        <v>0.99655000000000005</v>
      </c>
      <c r="I1931">
        <v>1</v>
      </c>
      <c r="J1931" s="156">
        <v>1</v>
      </c>
      <c r="K1931">
        <v>1</v>
      </c>
      <c r="L1931">
        <v>1</v>
      </c>
      <c r="M1931">
        <v>1</v>
      </c>
      <c r="N1931">
        <v>0.99655000000000005</v>
      </c>
    </row>
    <row r="1932" spans="1:14" x14ac:dyDescent="0.35">
      <c r="A1932" s="156" t="s">
        <v>542</v>
      </c>
      <c r="B1932" s="52">
        <v>45435</v>
      </c>
      <c r="C1932" s="156" t="s">
        <v>531</v>
      </c>
      <c r="D1932" s="156" t="s">
        <v>531</v>
      </c>
      <c r="E1932">
        <v>2535933</v>
      </c>
      <c r="F1932">
        <v>236666.95060000001</v>
      </c>
      <c r="G1932">
        <v>93.285899999999998</v>
      </c>
      <c r="H1932">
        <v>0.97052000000000005</v>
      </c>
      <c r="I1932">
        <v>1</v>
      </c>
      <c r="J1932" s="156">
        <v>1</v>
      </c>
      <c r="K1932">
        <v>1</v>
      </c>
      <c r="L1932">
        <v>1</v>
      </c>
      <c r="M1932">
        <v>1</v>
      </c>
      <c r="N1932">
        <v>0.97052000000000005</v>
      </c>
    </row>
    <row r="1933" spans="1:14" x14ac:dyDescent="0.35">
      <c r="A1933" s="156" t="s">
        <v>542</v>
      </c>
      <c r="B1933" s="52">
        <v>45436</v>
      </c>
      <c r="C1933" s="156" t="s">
        <v>531</v>
      </c>
      <c r="D1933" s="156" t="s">
        <v>531</v>
      </c>
      <c r="E1933">
        <v>2000214</v>
      </c>
      <c r="F1933">
        <v>189131.8364</v>
      </c>
      <c r="G1933">
        <v>94.564800000000005</v>
      </c>
      <c r="H1933">
        <v>1.024214</v>
      </c>
      <c r="I1933">
        <v>1</v>
      </c>
      <c r="J1933" s="156">
        <v>1</v>
      </c>
      <c r="K1933">
        <v>1</v>
      </c>
      <c r="L1933">
        <v>1</v>
      </c>
      <c r="M1933">
        <v>1</v>
      </c>
      <c r="N1933">
        <v>1.024214</v>
      </c>
    </row>
    <row r="1934" spans="1:14" x14ac:dyDescent="0.35">
      <c r="A1934" s="156" t="s">
        <v>542</v>
      </c>
      <c r="B1934" s="52">
        <v>45440</v>
      </c>
      <c r="C1934" s="156" t="s">
        <v>531</v>
      </c>
      <c r="D1934" s="156" t="s">
        <v>531</v>
      </c>
      <c r="E1934">
        <v>1904711</v>
      </c>
      <c r="F1934">
        <v>181228.492</v>
      </c>
      <c r="G1934">
        <v>95.139399999999995</v>
      </c>
      <c r="H1934">
        <v>1.0035879999999999</v>
      </c>
      <c r="I1934">
        <v>1</v>
      </c>
      <c r="J1934" s="156">
        <v>1</v>
      </c>
      <c r="K1934">
        <v>1</v>
      </c>
      <c r="L1934">
        <v>1</v>
      </c>
      <c r="M1934">
        <v>1</v>
      </c>
      <c r="N1934">
        <v>1.0035879999999999</v>
      </c>
    </row>
    <row r="1935" spans="1:14" x14ac:dyDescent="0.35">
      <c r="A1935" s="156" t="s">
        <v>542</v>
      </c>
      <c r="B1935" s="52">
        <v>45441</v>
      </c>
      <c r="C1935" s="156" t="s">
        <v>531</v>
      </c>
      <c r="D1935" s="156" t="s">
        <v>531</v>
      </c>
      <c r="E1935">
        <v>2570429</v>
      </c>
      <c r="F1935">
        <v>244607.42189999999</v>
      </c>
      <c r="G1935">
        <v>95.172300000000007</v>
      </c>
      <c r="H1935">
        <v>1.0037860000000001</v>
      </c>
      <c r="I1935">
        <v>1</v>
      </c>
      <c r="J1935" s="156">
        <v>1</v>
      </c>
      <c r="K1935">
        <v>1</v>
      </c>
      <c r="L1935">
        <v>1</v>
      </c>
      <c r="M1935">
        <v>1</v>
      </c>
      <c r="N1935">
        <v>1.0037860000000001</v>
      </c>
    </row>
    <row r="1936" spans="1:14" x14ac:dyDescent="0.35">
      <c r="A1936" s="156" t="s">
        <v>542</v>
      </c>
      <c r="B1936" s="52">
        <v>45442</v>
      </c>
      <c r="C1936" s="156" t="s">
        <v>531</v>
      </c>
      <c r="D1936" s="156" t="s">
        <v>531</v>
      </c>
      <c r="E1936">
        <v>2348703</v>
      </c>
      <c r="F1936">
        <v>220413.2837</v>
      </c>
      <c r="G1936">
        <v>93.847099999999998</v>
      </c>
      <c r="H1936">
        <v>0.98177099999999995</v>
      </c>
      <c r="I1936">
        <v>1</v>
      </c>
      <c r="J1936" s="156">
        <v>1</v>
      </c>
      <c r="K1936">
        <v>1</v>
      </c>
      <c r="L1936">
        <v>1</v>
      </c>
      <c r="M1936">
        <v>1</v>
      </c>
      <c r="N1936">
        <v>0.98177099999999995</v>
      </c>
    </row>
    <row r="1937" spans="1:14" x14ac:dyDescent="0.35">
      <c r="A1937" s="156" t="s">
        <v>542</v>
      </c>
      <c r="B1937" s="52">
        <v>45443</v>
      </c>
      <c r="C1937" s="156" t="s">
        <v>531</v>
      </c>
      <c r="D1937" s="156" t="s">
        <v>531</v>
      </c>
      <c r="E1937">
        <v>3071055</v>
      </c>
      <c r="F1937">
        <v>284075.10509999999</v>
      </c>
      <c r="G1937">
        <v>92.541799999999995</v>
      </c>
      <c r="H1937">
        <v>0.99007599999999996</v>
      </c>
      <c r="I1937">
        <v>1</v>
      </c>
      <c r="J1937" s="156">
        <v>1</v>
      </c>
      <c r="K1937">
        <v>1</v>
      </c>
      <c r="L1937">
        <v>1</v>
      </c>
      <c r="M1937">
        <v>1</v>
      </c>
      <c r="N1937">
        <v>0.99007599999999996</v>
      </c>
    </row>
    <row r="1938" spans="1:14" x14ac:dyDescent="0.35">
      <c r="A1938" s="156" t="s">
        <v>542</v>
      </c>
      <c r="B1938" s="52">
        <v>45446</v>
      </c>
      <c r="C1938" s="156" t="s">
        <v>531</v>
      </c>
      <c r="D1938" s="156" t="s">
        <v>531</v>
      </c>
      <c r="E1938">
        <v>1940783</v>
      </c>
      <c r="F1938">
        <v>180312.38159999999</v>
      </c>
      <c r="G1938">
        <v>92.929199999999994</v>
      </c>
      <c r="H1938">
        <v>1.003557</v>
      </c>
      <c r="I1938">
        <v>1</v>
      </c>
      <c r="J1938" s="156">
        <v>1</v>
      </c>
      <c r="K1938">
        <v>1</v>
      </c>
      <c r="L1938">
        <v>1</v>
      </c>
      <c r="M1938">
        <v>1</v>
      </c>
      <c r="N1938">
        <v>1.003557</v>
      </c>
    </row>
    <row r="1939" spans="1:14" x14ac:dyDescent="0.35">
      <c r="A1939" s="156" t="s">
        <v>542</v>
      </c>
      <c r="B1939" s="52">
        <v>45447</v>
      </c>
      <c r="C1939" s="156" t="s">
        <v>531</v>
      </c>
      <c r="D1939" s="156" t="s">
        <v>531</v>
      </c>
      <c r="E1939">
        <v>3022954</v>
      </c>
      <c r="F1939">
        <v>284526.85019999999</v>
      </c>
      <c r="G1939">
        <v>94.118600000000001</v>
      </c>
      <c r="H1939">
        <v>1.0147139999999999</v>
      </c>
      <c r="I1939">
        <v>1</v>
      </c>
      <c r="J1939" s="156">
        <v>1</v>
      </c>
      <c r="K1939">
        <v>1</v>
      </c>
      <c r="L1939">
        <v>1</v>
      </c>
      <c r="M1939">
        <v>1</v>
      </c>
      <c r="N1939">
        <v>1.0147139999999999</v>
      </c>
    </row>
    <row r="1940" spans="1:14" x14ac:dyDescent="0.35">
      <c r="A1940" s="156" t="s">
        <v>542</v>
      </c>
      <c r="B1940" s="52">
        <v>45448</v>
      </c>
      <c r="C1940" s="156" t="s">
        <v>531</v>
      </c>
      <c r="D1940" s="156" t="s">
        <v>531</v>
      </c>
      <c r="E1940">
        <v>4674272</v>
      </c>
      <c r="F1940">
        <v>452867.9754</v>
      </c>
      <c r="G1940">
        <v>96.886499999999998</v>
      </c>
      <c r="H1940">
        <v>1.031012</v>
      </c>
      <c r="I1940">
        <v>1</v>
      </c>
      <c r="J1940" s="156">
        <v>1</v>
      </c>
      <c r="K1940">
        <v>1</v>
      </c>
      <c r="L1940">
        <v>1</v>
      </c>
      <c r="M1940">
        <v>1</v>
      </c>
      <c r="N1940">
        <v>1.031012</v>
      </c>
    </row>
    <row r="1941" spans="1:14" x14ac:dyDescent="0.35">
      <c r="A1941" s="156" t="s">
        <v>542</v>
      </c>
      <c r="B1941" s="52">
        <v>45449</v>
      </c>
      <c r="C1941" s="156" t="s">
        <v>531</v>
      </c>
      <c r="D1941" s="156" t="s">
        <v>531</v>
      </c>
      <c r="E1941">
        <v>1837808</v>
      </c>
      <c r="F1941">
        <v>178660.38140000001</v>
      </c>
      <c r="G1941">
        <v>97.227199999999996</v>
      </c>
      <c r="H1941">
        <v>0.99774200000000002</v>
      </c>
      <c r="I1941">
        <v>1</v>
      </c>
      <c r="J1941" s="156">
        <v>1</v>
      </c>
      <c r="K1941">
        <v>1</v>
      </c>
      <c r="L1941">
        <v>1</v>
      </c>
      <c r="M1941">
        <v>1</v>
      </c>
      <c r="N1941">
        <v>0.99774200000000002</v>
      </c>
    </row>
    <row r="1942" spans="1:14" x14ac:dyDescent="0.35">
      <c r="A1942" s="156" t="s">
        <v>542</v>
      </c>
      <c r="B1942" s="52">
        <v>45450</v>
      </c>
      <c r="C1942" s="156" t="s">
        <v>531</v>
      </c>
      <c r="D1942" s="156" t="s">
        <v>531</v>
      </c>
      <c r="E1942">
        <v>3268800</v>
      </c>
      <c r="F1942">
        <v>311823.22129999998</v>
      </c>
      <c r="G1942">
        <v>95.361599999999996</v>
      </c>
      <c r="H1942">
        <v>0.96892699999999998</v>
      </c>
      <c r="I1942">
        <v>1</v>
      </c>
      <c r="J1942" s="156">
        <v>1</v>
      </c>
      <c r="K1942">
        <v>1</v>
      </c>
      <c r="L1942">
        <v>1</v>
      </c>
      <c r="M1942">
        <v>1</v>
      </c>
      <c r="N1942">
        <v>0.96892699999999998</v>
      </c>
    </row>
    <row r="1943" spans="1:14" x14ac:dyDescent="0.35">
      <c r="A1943" s="156" t="s">
        <v>542</v>
      </c>
      <c r="B1943" s="52">
        <v>45453</v>
      </c>
      <c r="C1943" s="156" t="s">
        <v>531</v>
      </c>
      <c r="D1943" s="156" t="s">
        <v>531</v>
      </c>
      <c r="E1943">
        <v>5002444</v>
      </c>
      <c r="F1943">
        <v>461774.0943</v>
      </c>
      <c r="G1943">
        <v>92.292400000000001</v>
      </c>
      <c r="H1943">
        <v>0.98385900000000004</v>
      </c>
      <c r="I1943">
        <v>1</v>
      </c>
      <c r="J1943" s="156">
        <v>1</v>
      </c>
      <c r="K1943">
        <v>1</v>
      </c>
      <c r="L1943">
        <v>1</v>
      </c>
      <c r="M1943">
        <v>1</v>
      </c>
      <c r="N1943">
        <v>0.98385900000000004</v>
      </c>
    </row>
    <row r="1944" spans="1:14" x14ac:dyDescent="0.35">
      <c r="A1944" s="156" t="s">
        <v>542</v>
      </c>
      <c r="B1944" s="52">
        <v>45454</v>
      </c>
      <c r="C1944" s="156" t="s">
        <v>531</v>
      </c>
      <c r="D1944" s="156" t="s">
        <v>531</v>
      </c>
      <c r="E1944">
        <v>5523219</v>
      </c>
      <c r="F1944">
        <v>512285.41039999999</v>
      </c>
      <c r="G1944">
        <v>92.728099999999998</v>
      </c>
      <c r="H1944">
        <v>0.995035</v>
      </c>
      <c r="I1944">
        <v>1</v>
      </c>
      <c r="J1944" s="156">
        <v>1</v>
      </c>
      <c r="K1944">
        <v>1</v>
      </c>
      <c r="L1944">
        <v>1</v>
      </c>
      <c r="M1944">
        <v>1</v>
      </c>
      <c r="N1944">
        <v>0.995035</v>
      </c>
    </row>
    <row r="1945" spans="1:14" x14ac:dyDescent="0.35">
      <c r="A1945" s="156" t="s">
        <v>542</v>
      </c>
      <c r="B1945" s="52">
        <v>45455</v>
      </c>
      <c r="C1945" s="156" t="s">
        <v>531</v>
      </c>
      <c r="D1945" s="156" t="s">
        <v>531</v>
      </c>
      <c r="E1945">
        <v>4466095</v>
      </c>
      <c r="F1945">
        <v>432636.15730000002</v>
      </c>
      <c r="G1945">
        <v>96.895499999999998</v>
      </c>
      <c r="H1945">
        <v>1.0571649999999999</v>
      </c>
      <c r="I1945">
        <v>1</v>
      </c>
      <c r="J1945" s="156">
        <v>1</v>
      </c>
      <c r="K1945">
        <v>1</v>
      </c>
      <c r="L1945">
        <v>1</v>
      </c>
      <c r="M1945">
        <v>1</v>
      </c>
      <c r="N1945">
        <v>1.0571649999999999</v>
      </c>
    </row>
    <row r="1946" spans="1:14" x14ac:dyDescent="0.35">
      <c r="A1946" s="156" t="s">
        <v>542</v>
      </c>
      <c r="B1946" s="52">
        <v>45456</v>
      </c>
      <c r="C1946" s="156" t="s">
        <v>531</v>
      </c>
      <c r="D1946" s="156" t="s">
        <v>531</v>
      </c>
      <c r="E1946">
        <v>2501717</v>
      </c>
      <c r="F1946">
        <v>239799.63149999999</v>
      </c>
      <c r="G1946">
        <v>95.865200000000002</v>
      </c>
      <c r="H1946">
        <v>0.98111999999999999</v>
      </c>
      <c r="I1946">
        <v>1</v>
      </c>
      <c r="J1946" s="156">
        <v>1</v>
      </c>
      <c r="K1946">
        <v>1</v>
      </c>
      <c r="L1946">
        <v>1</v>
      </c>
      <c r="M1946">
        <v>1</v>
      </c>
      <c r="N1946">
        <v>0.98111999999999999</v>
      </c>
    </row>
    <row r="1947" spans="1:14" x14ac:dyDescent="0.35">
      <c r="A1947" s="156" t="s">
        <v>542</v>
      </c>
      <c r="B1947" s="52">
        <v>45457</v>
      </c>
      <c r="C1947" s="156" t="s">
        <v>531</v>
      </c>
      <c r="D1947" s="156" t="s">
        <v>531</v>
      </c>
      <c r="E1947">
        <v>2012934</v>
      </c>
      <c r="F1947">
        <v>192073.41759999999</v>
      </c>
      <c r="G1947">
        <v>95.427700000000002</v>
      </c>
      <c r="H1947">
        <v>1.000418</v>
      </c>
      <c r="I1947">
        <v>1</v>
      </c>
      <c r="J1947" s="156">
        <v>1</v>
      </c>
      <c r="K1947">
        <v>1</v>
      </c>
      <c r="L1947">
        <v>1</v>
      </c>
      <c r="M1947">
        <v>1</v>
      </c>
      <c r="N1947">
        <v>1.000418</v>
      </c>
    </row>
    <row r="1948" spans="1:14" x14ac:dyDescent="0.35">
      <c r="A1948" s="156" t="s">
        <v>542</v>
      </c>
      <c r="B1948" s="52">
        <v>45460</v>
      </c>
      <c r="C1948" s="156" t="s">
        <v>531</v>
      </c>
      <c r="D1948" s="156" t="s">
        <v>531</v>
      </c>
      <c r="E1948">
        <v>3162510</v>
      </c>
      <c r="F1948">
        <v>307438.04830000002</v>
      </c>
      <c r="G1948">
        <v>97.210999999999999</v>
      </c>
      <c r="H1948">
        <v>1.0211159999999999</v>
      </c>
      <c r="I1948">
        <v>1</v>
      </c>
      <c r="J1948" s="156">
        <v>1</v>
      </c>
      <c r="K1948">
        <v>1</v>
      </c>
      <c r="L1948">
        <v>1</v>
      </c>
      <c r="M1948">
        <v>1</v>
      </c>
      <c r="N1948">
        <v>1.0211159999999999</v>
      </c>
    </row>
    <row r="1949" spans="1:14" x14ac:dyDescent="0.35">
      <c r="A1949" s="156" t="s">
        <v>542</v>
      </c>
      <c r="B1949" s="52">
        <v>45461</v>
      </c>
      <c r="C1949" s="156" t="s">
        <v>531</v>
      </c>
      <c r="D1949" s="156" t="s">
        <v>531</v>
      </c>
      <c r="E1949">
        <v>2781695</v>
      </c>
      <c r="F1949">
        <v>275126.87949999998</v>
      </c>
      <c r="G1949">
        <v>98.9024</v>
      </c>
      <c r="H1949">
        <v>1.016073</v>
      </c>
      <c r="I1949">
        <v>1</v>
      </c>
      <c r="J1949" s="156">
        <v>1</v>
      </c>
      <c r="K1949">
        <v>1</v>
      </c>
      <c r="L1949">
        <v>1</v>
      </c>
      <c r="M1949">
        <v>1</v>
      </c>
      <c r="N1949">
        <v>1.016073</v>
      </c>
    </row>
    <row r="1950" spans="1:14" x14ac:dyDescent="0.35">
      <c r="A1950" s="156" t="s">
        <v>542</v>
      </c>
      <c r="B1950" s="52">
        <v>45463</v>
      </c>
      <c r="C1950" s="156" t="s">
        <v>531</v>
      </c>
      <c r="D1950" s="156" t="s">
        <v>531</v>
      </c>
      <c r="E1950">
        <v>2987028</v>
      </c>
      <c r="F1950">
        <v>291178.9105</v>
      </c>
      <c r="G1950">
        <v>97.449299999999994</v>
      </c>
      <c r="H1950">
        <v>0.98015099999999999</v>
      </c>
      <c r="I1950">
        <v>1</v>
      </c>
      <c r="J1950" s="156">
        <v>1</v>
      </c>
      <c r="K1950">
        <v>1</v>
      </c>
      <c r="L1950">
        <v>1</v>
      </c>
      <c r="M1950">
        <v>1</v>
      </c>
      <c r="N1950">
        <v>0.98015099999999999</v>
      </c>
    </row>
    <row r="1951" spans="1:14" x14ac:dyDescent="0.35">
      <c r="A1951" s="156" t="s">
        <v>542</v>
      </c>
      <c r="B1951" s="52">
        <v>45464</v>
      </c>
      <c r="C1951" s="156" t="s">
        <v>531</v>
      </c>
      <c r="D1951" s="156" t="s">
        <v>531</v>
      </c>
      <c r="E1951">
        <v>4007546</v>
      </c>
      <c r="F1951">
        <v>390057.37050000002</v>
      </c>
      <c r="G1951">
        <v>97.352599999999995</v>
      </c>
      <c r="H1951">
        <v>1.0044200000000001</v>
      </c>
      <c r="I1951">
        <v>1</v>
      </c>
      <c r="J1951" s="156">
        <v>1</v>
      </c>
      <c r="K1951">
        <v>1</v>
      </c>
      <c r="L1951">
        <v>1</v>
      </c>
      <c r="M1951">
        <v>1</v>
      </c>
      <c r="N1951">
        <v>1.0044200000000001</v>
      </c>
    </row>
    <row r="1952" spans="1:14" x14ac:dyDescent="0.35">
      <c r="A1952" s="156" t="s">
        <v>542</v>
      </c>
      <c r="B1952" s="52">
        <v>45467</v>
      </c>
      <c r="C1952" s="156" t="s">
        <v>531</v>
      </c>
      <c r="D1952" s="156" t="s">
        <v>531</v>
      </c>
      <c r="E1952">
        <v>3374508</v>
      </c>
      <c r="F1952">
        <v>325014.98910000001</v>
      </c>
      <c r="G1952">
        <v>96.284199999999998</v>
      </c>
      <c r="H1952">
        <v>0.980043</v>
      </c>
      <c r="I1952">
        <v>1</v>
      </c>
      <c r="J1952" s="156">
        <v>1</v>
      </c>
      <c r="K1952">
        <v>1</v>
      </c>
      <c r="L1952">
        <v>1</v>
      </c>
      <c r="M1952">
        <v>1</v>
      </c>
      <c r="N1952">
        <v>0.980043</v>
      </c>
    </row>
    <row r="1953" spans="1:14" x14ac:dyDescent="0.35">
      <c r="A1953" s="156" t="s">
        <v>542</v>
      </c>
      <c r="B1953" s="52">
        <v>45468</v>
      </c>
      <c r="C1953" s="156" t="s">
        <v>531</v>
      </c>
      <c r="D1953" s="156" t="s">
        <v>531</v>
      </c>
      <c r="E1953">
        <v>2610570</v>
      </c>
      <c r="F1953">
        <v>254614.0802</v>
      </c>
      <c r="G1953">
        <v>97.554100000000005</v>
      </c>
      <c r="H1953">
        <v>1.020572</v>
      </c>
      <c r="I1953">
        <v>1</v>
      </c>
      <c r="J1953" s="156">
        <v>1</v>
      </c>
      <c r="K1953">
        <v>1</v>
      </c>
      <c r="L1953">
        <v>1</v>
      </c>
      <c r="M1953">
        <v>1</v>
      </c>
      <c r="N1953">
        <v>1.020572</v>
      </c>
    </row>
    <row r="1954" spans="1:14" x14ac:dyDescent="0.35">
      <c r="A1954" s="156" t="s">
        <v>542</v>
      </c>
      <c r="B1954" s="52">
        <v>45469</v>
      </c>
      <c r="C1954" s="156" t="s">
        <v>531</v>
      </c>
      <c r="D1954" s="156" t="s">
        <v>531</v>
      </c>
      <c r="E1954">
        <v>2404085</v>
      </c>
      <c r="F1954">
        <v>235102.70180000001</v>
      </c>
      <c r="G1954">
        <v>97.809200000000004</v>
      </c>
      <c r="H1954">
        <v>0.99979499999999999</v>
      </c>
      <c r="I1954">
        <v>1</v>
      </c>
      <c r="J1954" s="156">
        <v>1</v>
      </c>
      <c r="K1954">
        <v>1</v>
      </c>
      <c r="L1954">
        <v>1</v>
      </c>
      <c r="M1954">
        <v>1</v>
      </c>
      <c r="N1954">
        <v>0.99979499999999999</v>
      </c>
    </row>
    <row r="1955" spans="1:14" x14ac:dyDescent="0.35">
      <c r="A1955" s="156" t="s">
        <v>542</v>
      </c>
      <c r="B1955" s="52">
        <v>45470</v>
      </c>
      <c r="C1955" s="156" t="s">
        <v>531</v>
      </c>
      <c r="D1955" s="156" t="s">
        <v>531</v>
      </c>
      <c r="E1955">
        <v>2644567</v>
      </c>
      <c r="F1955">
        <v>259872.4167</v>
      </c>
      <c r="G1955">
        <v>98.2744</v>
      </c>
      <c r="H1955">
        <v>1.00522</v>
      </c>
      <c r="I1955">
        <v>1</v>
      </c>
      <c r="J1955" s="156">
        <v>1</v>
      </c>
      <c r="K1955">
        <v>1</v>
      </c>
      <c r="L1955">
        <v>1</v>
      </c>
      <c r="M1955">
        <v>1</v>
      </c>
      <c r="N1955">
        <v>1.00522</v>
      </c>
    </row>
    <row r="1956" spans="1:14" x14ac:dyDescent="0.35">
      <c r="A1956" s="156" t="s">
        <v>542</v>
      </c>
      <c r="B1956" s="52">
        <v>45471</v>
      </c>
      <c r="C1956" s="156" t="s">
        <v>531</v>
      </c>
      <c r="D1956" s="156" t="s">
        <v>531</v>
      </c>
      <c r="E1956">
        <v>6329013</v>
      </c>
      <c r="F1956">
        <v>615814.64280000003</v>
      </c>
      <c r="G1956">
        <v>97.336200000000005</v>
      </c>
      <c r="H1956">
        <v>0.99439999999999995</v>
      </c>
      <c r="I1956">
        <v>1</v>
      </c>
      <c r="J1956" s="156">
        <v>1</v>
      </c>
      <c r="K1956">
        <v>1</v>
      </c>
      <c r="L1956">
        <v>1</v>
      </c>
      <c r="M1956">
        <v>1</v>
      </c>
      <c r="N1956">
        <v>0.99439999999999995</v>
      </c>
    </row>
    <row r="1957" spans="1:14" x14ac:dyDescent="0.35">
      <c r="A1957" s="156" t="s">
        <v>542</v>
      </c>
      <c r="B1957" s="52">
        <v>45474</v>
      </c>
      <c r="C1957" s="156" t="s">
        <v>531</v>
      </c>
      <c r="D1957" s="156" t="s">
        <v>531</v>
      </c>
      <c r="E1957">
        <v>2085842</v>
      </c>
      <c r="F1957">
        <v>203354.978</v>
      </c>
      <c r="G1957">
        <v>97.492400000000004</v>
      </c>
      <c r="H1957">
        <v>1.003072</v>
      </c>
      <c r="I1957">
        <v>1</v>
      </c>
      <c r="J1957" s="156">
        <v>1</v>
      </c>
      <c r="K1957">
        <v>1</v>
      </c>
      <c r="L1957">
        <v>1</v>
      </c>
      <c r="M1957">
        <v>1</v>
      </c>
      <c r="N1957">
        <v>1.003072</v>
      </c>
    </row>
    <row r="1958" spans="1:14" x14ac:dyDescent="0.35">
      <c r="A1958" s="156" t="s">
        <v>542</v>
      </c>
      <c r="B1958" s="52">
        <v>45475</v>
      </c>
      <c r="C1958" s="156" t="s">
        <v>531</v>
      </c>
      <c r="D1958" s="156" t="s">
        <v>531</v>
      </c>
      <c r="E1958">
        <v>2444002</v>
      </c>
      <c r="F1958">
        <v>239847.59099999999</v>
      </c>
      <c r="G1958">
        <v>98.154700000000005</v>
      </c>
      <c r="H1958">
        <v>1.0037769999999999</v>
      </c>
      <c r="I1958">
        <v>1</v>
      </c>
      <c r="J1958" s="156">
        <v>1</v>
      </c>
      <c r="K1958">
        <v>1</v>
      </c>
      <c r="L1958">
        <v>1</v>
      </c>
      <c r="M1958">
        <v>1</v>
      </c>
      <c r="N1958">
        <v>1.0037769999999999</v>
      </c>
    </row>
    <row r="1959" spans="1:14" x14ac:dyDescent="0.35">
      <c r="A1959" s="156" t="s">
        <v>542</v>
      </c>
      <c r="B1959" s="52">
        <v>45476</v>
      </c>
      <c r="C1959" s="156" t="s">
        <v>531</v>
      </c>
      <c r="D1959" s="156" t="s">
        <v>531</v>
      </c>
      <c r="E1959">
        <v>2280964</v>
      </c>
      <c r="F1959">
        <v>226973.89689999999</v>
      </c>
      <c r="G1959">
        <v>99.519099999999995</v>
      </c>
      <c r="H1959">
        <v>1.0114909999999999</v>
      </c>
      <c r="I1959">
        <v>1</v>
      </c>
      <c r="J1959" s="156">
        <v>1</v>
      </c>
      <c r="K1959">
        <v>1</v>
      </c>
      <c r="L1959">
        <v>1</v>
      </c>
      <c r="M1959">
        <v>1</v>
      </c>
      <c r="N1959">
        <v>1.0114909999999999</v>
      </c>
    </row>
    <row r="1960" spans="1:14" x14ac:dyDescent="0.35">
      <c r="A1960" s="156" t="s">
        <v>542</v>
      </c>
      <c r="B1960" s="52">
        <v>45478</v>
      </c>
      <c r="C1960" s="156" t="s">
        <v>531</v>
      </c>
      <c r="D1960" s="156" t="s">
        <v>531</v>
      </c>
      <c r="E1960">
        <v>2439167</v>
      </c>
      <c r="F1960">
        <v>243537.81520000001</v>
      </c>
      <c r="G1960">
        <v>99.840800000000002</v>
      </c>
      <c r="H1960">
        <v>1.0043230000000001</v>
      </c>
      <c r="I1960">
        <v>1</v>
      </c>
      <c r="J1960" s="156">
        <v>1</v>
      </c>
      <c r="K1960">
        <v>1</v>
      </c>
      <c r="L1960">
        <v>1</v>
      </c>
      <c r="M1960">
        <v>1</v>
      </c>
      <c r="N1960">
        <v>1.0043230000000001</v>
      </c>
    </row>
    <row r="1961" spans="1:14" x14ac:dyDescent="0.35">
      <c r="A1961" s="156" t="s">
        <v>542</v>
      </c>
      <c r="B1961" s="52">
        <v>45481</v>
      </c>
      <c r="C1961" s="156" t="s">
        <v>531</v>
      </c>
      <c r="D1961" s="156" t="s">
        <v>531</v>
      </c>
      <c r="E1961">
        <v>2005060</v>
      </c>
      <c r="F1961">
        <v>198767.25159999999</v>
      </c>
      <c r="G1961">
        <v>99.118600000000001</v>
      </c>
      <c r="H1961">
        <v>0.99179200000000001</v>
      </c>
      <c r="I1961">
        <v>1</v>
      </c>
      <c r="J1961" s="156">
        <v>1</v>
      </c>
      <c r="K1961">
        <v>1</v>
      </c>
      <c r="L1961">
        <v>1</v>
      </c>
      <c r="M1961">
        <v>1</v>
      </c>
      <c r="N1961">
        <v>0.99179200000000001</v>
      </c>
    </row>
    <row r="1962" spans="1:14" x14ac:dyDescent="0.35">
      <c r="A1962" s="156" t="s">
        <v>542</v>
      </c>
      <c r="B1962" s="52">
        <v>45482</v>
      </c>
      <c r="C1962" s="156" t="s">
        <v>531</v>
      </c>
      <c r="D1962" s="156" t="s">
        <v>531</v>
      </c>
      <c r="E1962">
        <v>4149949</v>
      </c>
      <c r="F1962">
        <v>418014.36469999998</v>
      </c>
      <c r="G1962">
        <v>100.7696</v>
      </c>
      <c r="H1962">
        <v>1.024627</v>
      </c>
      <c r="I1962">
        <v>1</v>
      </c>
      <c r="J1962" s="156">
        <v>1</v>
      </c>
      <c r="K1962">
        <v>1</v>
      </c>
      <c r="L1962">
        <v>1</v>
      </c>
      <c r="M1962">
        <v>1</v>
      </c>
      <c r="N1962">
        <v>1.024627</v>
      </c>
    </row>
    <row r="1963" spans="1:14" x14ac:dyDescent="0.35">
      <c r="A1963" s="156" t="s">
        <v>542</v>
      </c>
      <c r="B1963" s="52">
        <v>45483</v>
      </c>
      <c r="C1963" s="156" t="s">
        <v>531</v>
      </c>
      <c r="D1963" s="156" t="s">
        <v>531</v>
      </c>
      <c r="E1963">
        <v>4390259</v>
      </c>
      <c r="F1963">
        <v>439678.32040000003</v>
      </c>
      <c r="G1963">
        <v>100.14490000000001</v>
      </c>
      <c r="H1963">
        <v>0.98325499999999999</v>
      </c>
      <c r="I1963">
        <v>1</v>
      </c>
      <c r="J1963" s="156">
        <v>1</v>
      </c>
      <c r="K1963">
        <v>1</v>
      </c>
      <c r="L1963">
        <v>1</v>
      </c>
      <c r="M1963">
        <v>1</v>
      </c>
      <c r="N1963">
        <v>0.98325499999999999</v>
      </c>
    </row>
    <row r="1964" spans="1:14" x14ac:dyDescent="0.35">
      <c r="A1964" s="156" t="s">
        <v>542</v>
      </c>
      <c r="B1964" s="52">
        <v>45484</v>
      </c>
      <c r="C1964" s="156" t="s">
        <v>531</v>
      </c>
      <c r="D1964" s="156" t="s">
        <v>531</v>
      </c>
      <c r="E1964">
        <v>3405028</v>
      </c>
      <c r="F1964">
        <v>337155.18770000001</v>
      </c>
      <c r="G1964">
        <v>98.991299999999995</v>
      </c>
      <c r="H1964">
        <v>0.98747700000000005</v>
      </c>
      <c r="I1964">
        <v>1</v>
      </c>
      <c r="J1964" s="156">
        <v>1</v>
      </c>
      <c r="K1964">
        <v>1</v>
      </c>
      <c r="L1964">
        <v>1</v>
      </c>
      <c r="M1964">
        <v>1</v>
      </c>
      <c r="N1964">
        <v>0.98747700000000005</v>
      </c>
    </row>
    <row r="1965" spans="1:14" x14ac:dyDescent="0.35">
      <c r="A1965" s="156" t="s">
        <v>542</v>
      </c>
      <c r="B1965" s="52">
        <v>45485</v>
      </c>
      <c r="C1965" s="156" t="s">
        <v>531</v>
      </c>
      <c r="D1965" s="156" t="s">
        <v>531</v>
      </c>
      <c r="E1965">
        <v>3159456</v>
      </c>
      <c r="F1965">
        <v>313450.86430000002</v>
      </c>
      <c r="G1965">
        <v>99.185199999999995</v>
      </c>
      <c r="H1965">
        <v>1.0092319999999999</v>
      </c>
      <c r="I1965">
        <v>1</v>
      </c>
      <c r="J1965" s="156">
        <v>1</v>
      </c>
      <c r="K1965">
        <v>1</v>
      </c>
      <c r="L1965">
        <v>1</v>
      </c>
      <c r="M1965">
        <v>1</v>
      </c>
      <c r="N1965">
        <v>1.0092319999999999</v>
      </c>
    </row>
    <row r="1966" spans="1:14" x14ac:dyDescent="0.35">
      <c r="A1966" s="156" t="s">
        <v>542</v>
      </c>
      <c r="B1966" s="52">
        <v>45488</v>
      </c>
      <c r="C1966" s="156" t="s">
        <v>531</v>
      </c>
      <c r="D1966" s="156" t="s">
        <v>531</v>
      </c>
      <c r="E1966">
        <v>3362328</v>
      </c>
      <c r="F1966">
        <v>337612.84879999998</v>
      </c>
      <c r="G1966">
        <v>100.39400000000001</v>
      </c>
      <c r="H1966">
        <v>1.006132</v>
      </c>
      <c r="I1966">
        <v>1</v>
      </c>
      <c r="J1966" s="156">
        <v>1</v>
      </c>
      <c r="K1966">
        <v>1</v>
      </c>
      <c r="L1966">
        <v>1</v>
      </c>
      <c r="M1966">
        <v>1</v>
      </c>
      <c r="N1966">
        <v>1.006132</v>
      </c>
    </row>
    <row r="1967" spans="1:14" x14ac:dyDescent="0.35">
      <c r="A1967" s="156" t="s">
        <v>542</v>
      </c>
      <c r="B1967" s="52">
        <v>45489</v>
      </c>
      <c r="C1967" s="156" t="s">
        <v>531</v>
      </c>
      <c r="D1967" s="156" t="s">
        <v>531</v>
      </c>
      <c r="E1967">
        <v>2283698</v>
      </c>
      <c r="F1967">
        <v>229400.33859999999</v>
      </c>
      <c r="G1967">
        <v>100.42610000000001</v>
      </c>
      <c r="H1967">
        <v>1.0085919999999999</v>
      </c>
      <c r="I1967">
        <v>1</v>
      </c>
      <c r="J1967" s="156">
        <v>1</v>
      </c>
      <c r="K1967">
        <v>1</v>
      </c>
      <c r="L1967">
        <v>1</v>
      </c>
      <c r="M1967">
        <v>1</v>
      </c>
      <c r="N1967">
        <v>1.0085919999999999</v>
      </c>
    </row>
    <row r="1968" spans="1:14" x14ac:dyDescent="0.35">
      <c r="A1968" s="156" t="s">
        <v>542</v>
      </c>
      <c r="B1968" s="52">
        <v>45490</v>
      </c>
      <c r="C1968" s="156" t="s">
        <v>531</v>
      </c>
      <c r="D1968" s="156" t="s">
        <v>531</v>
      </c>
      <c r="E1968">
        <v>5465211</v>
      </c>
      <c r="F1968">
        <v>525889.46120000002</v>
      </c>
      <c r="G1968">
        <v>96.214299999999994</v>
      </c>
      <c r="H1968">
        <v>0.94343699999999997</v>
      </c>
      <c r="I1968">
        <v>1</v>
      </c>
      <c r="J1968" s="156">
        <v>1</v>
      </c>
      <c r="K1968">
        <v>1</v>
      </c>
      <c r="L1968">
        <v>1</v>
      </c>
      <c r="M1968">
        <v>1</v>
      </c>
      <c r="N1968">
        <v>0.94343699999999997</v>
      </c>
    </row>
    <row r="1969" spans="1:14" x14ac:dyDescent="0.35">
      <c r="A1969" s="156" t="s">
        <v>542</v>
      </c>
      <c r="B1969" s="52">
        <v>45491</v>
      </c>
      <c r="C1969" s="156" t="s">
        <v>531</v>
      </c>
      <c r="D1969" s="156" t="s">
        <v>531</v>
      </c>
      <c r="E1969">
        <v>2806915</v>
      </c>
      <c r="F1969">
        <v>269050.60100000002</v>
      </c>
      <c r="G1969">
        <v>95.863799999999998</v>
      </c>
      <c r="H1969">
        <v>1.0050399999999999</v>
      </c>
      <c r="I1969">
        <v>1</v>
      </c>
      <c r="J1969" s="156">
        <v>1</v>
      </c>
      <c r="K1969">
        <v>1</v>
      </c>
      <c r="L1969">
        <v>1</v>
      </c>
      <c r="M1969">
        <v>1</v>
      </c>
      <c r="N1969">
        <v>1.0050399999999999</v>
      </c>
    </row>
    <row r="1970" spans="1:14" x14ac:dyDescent="0.35">
      <c r="A1970" s="156" t="s">
        <v>542</v>
      </c>
      <c r="B1970" s="52">
        <v>45492</v>
      </c>
      <c r="C1970" s="156" t="s">
        <v>531</v>
      </c>
      <c r="D1970" s="156" t="s">
        <v>531</v>
      </c>
      <c r="E1970">
        <v>2093312</v>
      </c>
      <c r="F1970">
        <v>201432.913</v>
      </c>
      <c r="G1970">
        <v>96.196299999999994</v>
      </c>
      <c r="H1970">
        <v>1.0030300000000001</v>
      </c>
      <c r="I1970">
        <v>1</v>
      </c>
      <c r="J1970" s="156">
        <v>1</v>
      </c>
      <c r="K1970">
        <v>1</v>
      </c>
      <c r="L1970">
        <v>1</v>
      </c>
      <c r="M1970">
        <v>1</v>
      </c>
      <c r="N1970">
        <v>1.0030300000000001</v>
      </c>
    </row>
    <row r="1971" spans="1:14" x14ac:dyDescent="0.35">
      <c r="A1971" s="156" t="s">
        <v>542</v>
      </c>
      <c r="B1971" s="52">
        <v>45495</v>
      </c>
      <c r="C1971" s="156" t="s">
        <v>531</v>
      </c>
      <c r="D1971" s="156" t="s">
        <v>531</v>
      </c>
      <c r="E1971">
        <v>4749923</v>
      </c>
      <c r="F1971">
        <v>473176.32610000001</v>
      </c>
      <c r="G1971">
        <v>99.677999999999997</v>
      </c>
      <c r="H1971">
        <v>1.046141</v>
      </c>
      <c r="I1971">
        <v>1</v>
      </c>
      <c r="J1971" s="156">
        <v>1</v>
      </c>
      <c r="K1971">
        <v>1</v>
      </c>
      <c r="L1971">
        <v>1</v>
      </c>
      <c r="M1971">
        <v>1</v>
      </c>
      <c r="N1971">
        <v>1.046141</v>
      </c>
    </row>
    <row r="1972" spans="1:14" x14ac:dyDescent="0.35">
      <c r="A1972" s="156" t="s">
        <v>542</v>
      </c>
      <c r="B1972" s="52">
        <v>45496</v>
      </c>
      <c r="C1972" s="156" t="s">
        <v>531</v>
      </c>
      <c r="D1972" s="156" t="s">
        <v>531</v>
      </c>
      <c r="E1972">
        <v>2694465</v>
      </c>
      <c r="F1972">
        <v>272031.59749999997</v>
      </c>
      <c r="G1972">
        <v>100.9627</v>
      </c>
      <c r="H1972">
        <v>1.00458</v>
      </c>
      <c r="I1972">
        <v>1</v>
      </c>
      <c r="J1972" s="156">
        <v>1</v>
      </c>
      <c r="K1972">
        <v>1</v>
      </c>
      <c r="L1972">
        <v>1</v>
      </c>
      <c r="M1972">
        <v>1</v>
      </c>
      <c r="N1972">
        <v>1.00458</v>
      </c>
    </row>
    <row r="1973" spans="1:14" x14ac:dyDescent="0.35">
      <c r="A1973" s="156" t="s">
        <v>542</v>
      </c>
      <c r="B1973" s="52">
        <v>45497</v>
      </c>
      <c r="C1973" s="156" t="s">
        <v>531</v>
      </c>
      <c r="D1973" s="156" t="s">
        <v>531</v>
      </c>
      <c r="E1973">
        <v>8057817</v>
      </c>
      <c r="F1973">
        <v>739255.96710000001</v>
      </c>
      <c r="G1973">
        <v>91.721000000000004</v>
      </c>
      <c r="H1973">
        <v>0.88523300000000005</v>
      </c>
      <c r="I1973">
        <v>1</v>
      </c>
      <c r="J1973" s="156">
        <v>1</v>
      </c>
      <c r="K1973">
        <v>1</v>
      </c>
      <c r="L1973">
        <v>1</v>
      </c>
      <c r="M1973">
        <v>1</v>
      </c>
      <c r="N1973">
        <v>0.88523300000000005</v>
      </c>
    </row>
    <row r="1974" spans="1:14" x14ac:dyDescent="0.35">
      <c r="A1974" s="156" t="s">
        <v>542</v>
      </c>
      <c r="B1974" s="52">
        <v>45498</v>
      </c>
      <c r="C1974" s="156" t="s">
        <v>531</v>
      </c>
      <c r="D1974" s="156" t="s">
        <v>531</v>
      </c>
      <c r="E1974">
        <v>4904721</v>
      </c>
      <c r="F1974">
        <v>448224.03220000002</v>
      </c>
      <c r="G1974">
        <v>91.374700000000004</v>
      </c>
      <c r="H1974">
        <v>1.0174650000000001</v>
      </c>
      <c r="I1974">
        <v>1</v>
      </c>
      <c r="J1974" s="156">
        <v>1</v>
      </c>
      <c r="K1974">
        <v>1</v>
      </c>
      <c r="L1974">
        <v>1</v>
      </c>
      <c r="M1974">
        <v>1</v>
      </c>
      <c r="N1974">
        <v>1.0174650000000001</v>
      </c>
    </row>
    <row r="1975" spans="1:14" x14ac:dyDescent="0.35">
      <c r="A1975" s="156" t="s">
        <v>542</v>
      </c>
      <c r="B1975" s="52">
        <v>45499</v>
      </c>
      <c r="C1975" s="156" t="s">
        <v>531</v>
      </c>
      <c r="D1975" s="156" t="s">
        <v>531</v>
      </c>
      <c r="E1975">
        <v>2700022</v>
      </c>
      <c r="F1975">
        <v>248757.67240000001</v>
      </c>
      <c r="G1975">
        <v>92.152199999999993</v>
      </c>
      <c r="H1975">
        <v>1.017055</v>
      </c>
      <c r="I1975">
        <v>1</v>
      </c>
      <c r="J1975" s="156">
        <v>1</v>
      </c>
      <c r="K1975">
        <v>1</v>
      </c>
      <c r="L1975">
        <v>1</v>
      </c>
      <c r="M1975">
        <v>1</v>
      </c>
      <c r="N1975">
        <v>1.017055</v>
      </c>
    </row>
    <row r="1976" spans="1:14" x14ac:dyDescent="0.35">
      <c r="A1976" s="156" t="s">
        <v>542</v>
      </c>
      <c r="B1976" s="52">
        <v>45502</v>
      </c>
      <c r="C1976" s="156" t="s">
        <v>531</v>
      </c>
      <c r="D1976" s="156" t="s">
        <v>531</v>
      </c>
      <c r="E1976">
        <v>2363385</v>
      </c>
      <c r="F1976">
        <v>218558.40770000001</v>
      </c>
      <c r="G1976">
        <v>92.465599999999995</v>
      </c>
      <c r="H1976">
        <v>0.99761999999999995</v>
      </c>
      <c r="I1976">
        <v>1</v>
      </c>
      <c r="J1976" s="156">
        <v>1</v>
      </c>
      <c r="K1976">
        <v>1</v>
      </c>
      <c r="L1976">
        <v>1</v>
      </c>
      <c r="M1976">
        <v>1</v>
      </c>
      <c r="N1976">
        <v>0.99761999999999995</v>
      </c>
    </row>
    <row r="1977" spans="1:14" x14ac:dyDescent="0.35">
      <c r="A1977" s="156" t="s">
        <v>542</v>
      </c>
      <c r="B1977" s="52">
        <v>45503</v>
      </c>
      <c r="C1977" s="156" t="s">
        <v>531</v>
      </c>
      <c r="D1977" s="156" t="s">
        <v>531</v>
      </c>
      <c r="E1977">
        <v>3452820</v>
      </c>
      <c r="F1977">
        <v>310348.99660000001</v>
      </c>
      <c r="G1977">
        <v>89.894999999999996</v>
      </c>
      <c r="H1977">
        <v>0.974298</v>
      </c>
      <c r="I1977">
        <v>1</v>
      </c>
      <c r="J1977" s="156">
        <v>1</v>
      </c>
      <c r="K1977">
        <v>1</v>
      </c>
      <c r="L1977">
        <v>1</v>
      </c>
      <c r="M1977">
        <v>1</v>
      </c>
      <c r="N1977">
        <v>0.974298</v>
      </c>
    </row>
    <row r="1978" spans="1:14" x14ac:dyDescent="0.35">
      <c r="A1978" s="156" t="s">
        <v>542</v>
      </c>
      <c r="B1978" s="52">
        <v>45504</v>
      </c>
      <c r="C1978" s="156" t="s">
        <v>531</v>
      </c>
      <c r="D1978" s="156" t="s">
        <v>531</v>
      </c>
      <c r="E1978">
        <v>4521846</v>
      </c>
      <c r="F1978">
        <v>407150.91190000001</v>
      </c>
      <c r="G1978">
        <v>90.037599999999998</v>
      </c>
      <c r="H1978">
        <v>1.000445</v>
      </c>
      <c r="I1978">
        <v>1</v>
      </c>
      <c r="J1978" s="156">
        <v>1</v>
      </c>
      <c r="K1978">
        <v>1</v>
      </c>
      <c r="L1978">
        <v>1</v>
      </c>
      <c r="M1978">
        <v>1</v>
      </c>
      <c r="N1978">
        <v>1.000445</v>
      </c>
    </row>
    <row r="1979" spans="1:14" x14ac:dyDescent="0.35">
      <c r="A1979" s="156" t="s">
        <v>542</v>
      </c>
      <c r="B1979" s="52">
        <v>45505</v>
      </c>
      <c r="C1979" s="156" t="s">
        <v>531</v>
      </c>
      <c r="D1979" s="156" t="s">
        <v>531</v>
      </c>
      <c r="E1979">
        <v>3724273</v>
      </c>
      <c r="F1979">
        <v>328181.97710000002</v>
      </c>
      <c r="G1979">
        <v>88.1447</v>
      </c>
      <c r="H1979">
        <v>0.976302</v>
      </c>
      <c r="I1979">
        <v>1</v>
      </c>
      <c r="J1979" s="156">
        <v>1</v>
      </c>
      <c r="K1979">
        <v>1</v>
      </c>
      <c r="L1979">
        <v>1</v>
      </c>
      <c r="M1979">
        <v>1</v>
      </c>
      <c r="N1979">
        <v>0.976302</v>
      </c>
    </row>
    <row r="1980" spans="1:14" x14ac:dyDescent="0.35">
      <c r="A1980" s="156" t="s">
        <v>542</v>
      </c>
      <c r="B1980" s="52">
        <v>45506</v>
      </c>
      <c r="C1980" s="156" t="s">
        <v>531</v>
      </c>
      <c r="D1980" s="156" t="s">
        <v>531</v>
      </c>
      <c r="E1980">
        <v>4948864</v>
      </c>
      <c r="F1980">
        <v>411091.75790000003</v>
      </c>
      <c r="G1980">
        <v>83.105999999999995</v>
      </c>
      <c r="H1980">
        <v>0.94678099999999998</v>
      </c>
      <c r="I1980">
        <v>1</v>
      </c>
      <c r="J1980" s="156">
        <v>1</v>
      </c>
      <c r="K1980">
        <v>1</v>
      </c>
      <c r="L1980">
        <v>1</v>
      </c>
      <c r="M1980">
        <v>1</v>
      </c>
      <c r="N1980">
        <v>0.94678099999999998</v>
      </c>
    </row>
    <row r="1981" spans="1:14" x14ac:dyDescent="0.35">
      <c r="A1981" s="156" t="s">
        <v>542</v>
      </c>
      <c r="B1981" s="52">
        <v>45509</v>
      </c>
      <c r="C1981" s="156" t="s">
        <v>531</v>
      </c>
      <c r="D1981" s="156" t="s">
        <v>531</v>
      </c>
      <c r="E1981">
        <v>5742280</v>
      </c>
      <c r="F1981">
        <v>472691.85159999999</v>
      </c>
      <c r="G1981">
        <v>82.333600000000004</v>
      </c>
      <c r="H1981">
        <v>1.0016849999999999</v>
      </c>
      <c r="I1981">
        <v>1</v>
      </c>
      <c r="J1981" s="156">
        <v>1</v>
      </c>
      <c r="K1981">
        <v>1</v>
      </c>
      <c r="L1981">
        <v>1</v>
      </c>
      <c r="M1981">
        <v>1</v>
      </c>
      <c r="N1981">
        <v>1.0016849999999999</v>
      </c>
    </row>
    <row r="1982" spans="1:14" x14ac:dyDescent="0.35">
      <c r="A1982" s="156" t="s">
        <v>542</v>
      </c>
      <c r="B1982" s="52">
        <v>45510</v>
      </c>
      <c r="C1982" s="156" t="s">
        <v>531</v>
      </c>
      <c r="D1982" s="156" t="s">
        <v>531</v>
      </c>
      <c r="E1982">
        <v>3644157</v>
      </c>
      <c r="F1982">
        <v>309383.64449999999</v>
      </c>
      <c r="G1982">
        <v>84.874099999999999</v>
      </c>
      <c r="H1982">
        <v>1.018866</v>
      </c>
      <c r="I1982">
        <v>1</v>
      </c>
      <c r="J1982" s="156">
        <v>1</v>
      </c>
      <c r="K1982">
        <v>1</v>
      </c>
      <c r="L1982">
        <v>1</v>
      </c>
      <c r="M1982">
        <v>1</v>
      </c>
      <c r="N1982">
        <v>1.018866</v>
      </c>
    </row>
    <row r="1983" spans="1:14" x14ac:dyDescent="0.35">
      <c r="A1983" s="156" t="s">
        <v>542</v>
      </c>
      <c r="B1983" s="52">
        <v>45511</v>
      </c>
      <c r="C1983" s="156" t="s">
        <v>531</v>
      </c>
      <c r="D1983" s="156" t="s">
        <v>531</v>
      </c>
      <c r="E1983">
        <v>4381929</v>
      </c>
      <c r="F1983">
        <v>375180.20120000001</v>
      </c>
      <c r="G1983">
        <v>85.586299999999994</v>
      </c>
      <c r="H1983">
        <v>1.0014149999999999</v>
      </c>
      <c r="I1983">
        <v>1</v>
      </c>
      <c r="J1983" s="156">
        <v>1</v>
      </c>
      <c r="K1983">
        <v>1</v>
      </c>
      <c r="L1983">
        <v>1</v>
      </c>
      <c r="M1983">
        <v>1</v>
      </c>
      <c r="N1983">
        <v>1.0014149999999999</v>
      </c>
    </row>
    <row r="1984" spans="1:14" x14ac:dyDescent="0.35">
      <c r="A1984" s="156" t="s">
        <v>542</v>
      </c>
      <c r="B1984" s="52">
        <v>45512</v>
      </c>
      <c r="C1984" s="156" t="s">
        <v>531</v>
      </c>
      <c r="D1984" s="156" t="s">
        <v>531</v>
      </c>
      <c r="E1984">
        <v>6289511</v>
      </c>
      <c r="F1984">
        <v>554612.304</v>
      </c>
      <c r="G1984">
        <v>88.241799999999998</v>
      </c>
      <c r="H1984">
        <v>1.039571</v>
      </c>
      <c r="I1984">
        <v>1</v>
      </c>
      <c r="J1984" s="156">
        <v>1</v>
      </c>
      <c r="K1984">
        <v>1</v>
      </c>
      <c r="L1984">
        <v>1</v>
      </c>
      <c r="M1984">
        <v>1</v>
      </c>
      <c r="N1984">
        <v>1.039571</v>
      </c>
    </row>
    <row r="1985" spans="1:14" x14ac:dyDescent="0.35">
      <c r="A1985" s="156" t="s">
        <v>542</v>
      </c>
      <c r="B1985" s="52">
        <v>45513</v>
      </c>
      <c r="C1985" s="156" t="s">
        <v>531</v>
      </c>
      <c r="D1985" s="156" t="s">
        <v>531</v>
      </c>
      <c r="E1985">
        <v>13299325</v>
      </c>
      <c r="F1985">
        <v>1286161.9018999999</v>
      </c>
      <c r="G1985">
        <v>96.716899999999995</v>
      </c>
      <c r="H1985">
        <v>1.1249579999999999</v>
      </c>
      <c r="I1985">
        <v>1</v>
      </c>
      <c r="J1985" s="156">
        <v>1</v>
      </c>
      <c r="K1985">
        <v>1</v>
      </c>
      <c r="L1985">
        <v>1</v>
      </c>
      <c r="M1985">
        <v>1</v>
      </c>
      <c r="N1985">
        <v>1.1249579999999999</v>
      </c>
    </row>
    <row r="1986" spans="1:14" x14ac:dyDescent="0.35">
      <c r="A1986" s="156" t="s">
        <v>542</v>
      </c>
      <c r="B1986" s="52">
        <v>45516</v>
      </c>
      <c r="C1986" s="156" t="s">
        <v>531</v>
      </c>
      <c r="D1986" s="156" t="s">
        <v>531</v>
      </c>
      <c r="E1986">
        <v>4915558</v>
      </c>
      <c r="F1986">
        <v>481902.62359999999</v>
      </c>
      <c r="G1986">
        <v>98.002899999999997</v>
      </c>
      <c r="H1986">
        <v>0.97724100000000003</v>
      </c>
      <c r="I1986">
        <v>1</v>
      </c>
      <c r="J1986" s="156">
        <v>1</v>
      </c>
      <c r="K1986">
        <v>1</v>
      </c>
      <c r="L1986">
        <v>1</v>
      </c>
      <c r="M1986">
        <v>1</v>
      </c>
      <c r="N1986">
        <v>0.97724100000000003</v>
      </c>
    </row>
    <row r="1987" spans="1:14" x14ac:dyDescent="0.35">
      <c r="A1987" s="156" t="s">
        <v>542</v>
      </c>
      <c r="B1987" s="52">
        <v>45517</v>
      </c>
      <c r="C1987" s="156" t="s">
        <v>531</v>
      </c>
      <c r="D1987" s="156" t="s">
        <v>531</v>
      </c>
      <c r="E1987">
        <v>3648507</v>
      </c>
      <c r="F1987">
        <v>357671.48950000003</v>
      </c>
      <c r="G1987">
        <v>98.033500000000004</v>
      </c>
      <c r="H1987">
        <v>1.01319</v>
      </c>
      <c r="I1987">
        <v>1</v>
      </c>
      <c r="J1987" s="156">
        <v>1</v>
      </c>
      <c r="K1987">
        <v>1</v>
      </c>
      <c r="L1987">
        <v>1</v>
      </c>
      <c r="M1987">
        <v>1</v>
      </c>
      <c r="N1987">
        <v>1.01319</v>
      </c>
    </row>
    <row r="1988" spans="1:14" x14ac:dyDescent="0.35">
      <c r="A1988" s="156" t="s">
        <v>542</v>
      </c>
      <c r="B1988" s="52">
        <v>45518</v>
      </c>
      <c r="C1988" s="156" t="s">
        <v>531</v>
      </c>
      <c r="D1988" s="156" t="s">
        <v>531</v>
      </c>
      <c r="E1988">
        <v>3553138</v>
      </c>
      <c r="F1988">
        <v>350521.76539999997</v>
      </c>
      <c r="G1988">
        <v>98.6691</v>
      </c>
      <c r="H1988">
        <v>1.003763</v>
      </c>
      <c r="I1988">
        <v>1</v>
      </c>
      <c r="J1988" s="156">
        <v>1</v>
      </c>
      <c r="K1988">
        <v>1</v>
      </c>
      <c r="L1988">
        <v>1</v>
      </c>
      <c r="M1988">
        <v>1</v>
      </c>
      <c r="N1988">
        <v>1.003763</v>
      </c>
    </row>
    <row r="1989" spans="1:14" x14ac:dyDescent="0.35">
      <c r="A1989" s="156" t="s">
        <v>542</v>
      </c>
      <c r="B1989" s="52">
        <v>45519</v>
      </c>
      <c r="C1989" s="156" t="s">
        <v>531</v>
      </c>
      <c r="D1989" s="156" t="s">
        <v>531</v>
      </c>
      <c r="E1989">
        <v>2818456</v>
      </c>
      <c r="F1989">
        <v>283553.71039999998</v>
      </c>
      <c r="G1989">
        <v>100.5912</v>
      </c>
      <c r="H1989">
        <v>1.01834</v>
      </c>
      <c r="I1989">
        <v>1</v>
      </c>
      <c r="J1989" s="156">
        <v>1</v>
      </c>
      <c r="K1989">
        <v>1</v>
      </c>
      <c r="L1989">
        <v>1</v>
      </c>
      <c r="M1989">
        <v>1</v>
      </c>
      <c r="N1989">
        <v>1.01834</v>
      </c>
    </row>
    <row r="1990" spans="1:14" x14ac:dyDescent="0.35">
      <c r="A1990" s="156" t="s">
        <v>542</v>
      </c>
      <c r="B1990" s="52">
        <v>45520</v>
      </c>
      <c r="C1990" s="156" t="s">
        <v>531</v>
      </c>
      <c r="D1990" s="156" t="s">
        <v>531</v>
      </c>
      <c r="E1990">
        <v>3519167</v>
      </c>
      <c r="F1990">
        <v>356401.36339999997</v>
      </c>
      <c r="G1990">
        <v>101.2992</v>
      </c>
      <c r="H1990">
        <v>1.0092540000000001</v>
      </c>
      <c r="I1990">
        <v>1</v>
      </c>
      <c r="J1990" s="156">
        <v>1</v>
      </c>
      <c r="K1990">
        <v>1</v>
      </c>
      <c r="L1990">
        <v>1</v>
      </c>
      <c r="M1990">
        <v>1</v>
      </c>
      <c r="N1990">
        <v>1.0092540000000001</v>
      </c>
    </row>
    <row r="1991" spans="1:14" x14ac:dyDescent="0.35">
      <c r="A1991" s="156" t="s">
        <v>542</v>
      </c>
      <c r="B1991" s="52">
        <v>45523</v>
      </c>
      <c r="C1991" s="156" t="s">
        <v>531</v>
      </c>
      <c r="D1991" s="156" t="s">
        <v>531</v>
      </c>
      <c r="E1991">
        <v>2505373</v>
      </c>
      <c r="F1991">
        <v>255788.08119999999</v>
      </c>
      <c r="G1991">
        <v>102.13509999999999</v>
      </c>
      <c r="H1991">
        <v>1.0119290000000001</v>
      </c>
      <c r="I1991">
        <v>1</v>
      </c>
      <c r="J1991" s="156">
        <v>1</v>
      </c>
      <c r="K1991">
        <v>1</v>
      </c>
      <c r="L1991">
        <v>1</v>
      </c>
      <c r="M1991">
        <v>1</v>
      </c>
      <c r="N1991">
        <v>1.0119290000000001</v>
      </c>
    </row>
    <row r="1992" spans="1:14" x14ac:dyDescent="0.35">
      <c r="A1992" s="156" t="s">
        <v>542</v>
      </c>
      <c r="B1992" s="52">
        <v>45524</v>
      </c>
      <c r="C1992" s="156" t="s">
        <v>531</v>
      </c>
      <c r="D1992" s="156" t="s">
        <v>531</v>
      </c>
      <c r="E1992">
        <v>1924419</v>
      </c>
      <c r="F1992">
        <v>197104.08069999999</v>
      </c>
      <c r="G1992">
        <v>102.4169</v>
      </c>
      <c r="H1992">
        <v>0.99512900000000004</v>
      </c>
      <c r="I1992">
        <v>1</v>
      </c>
      <c r="J1992" s="156">
        <v>1</v>
      </c>
      <c r="K1992">
        <v>1</v>
      </c>
      <c r="L1992">
        <v>1</v>
      </c>
      <c r="M1992">
        <v>1</v>
      </c>
      <c r="N1992">
        <v>0.99512900000000004</v>
      </c>
    </row>
    <row r="1993" spans="1:14" x14ac:dyDescent="0.35">
      <c r="A1993" s="156" t="s">
        <v>542</v>
      </c>
      <c r="B1993" s="52">
        <v>45525</v>
      </c>
      <c r="C1993" s="156" t="s">
        <v>531</v>
      </c>
      <c r="D1993" s="156" t="s">
        <v>531</v>
      </c>
      <c r="E1993">
        <v>2087661</v>
      </c>
      <c r="F1993">
        <v>216366.42980000001</v>
      </c>
      <c r="G1993">
        <v>103.67319999999999</v>
      </c>
      <c r="H1993">
        <v>1.0217350000000001</v>
      </c>
      <c r="I1993">
        <v>1</v>
      </c>
      <c r="J1993" s="156">
        <v>1</v>
      </c>
      <c r="K1993">
        <v>1</v>
      </c>
      <c r="L1993">
        <v>1</v>
      </c>
      <c r="M1993">
        <v>1</v>
      </c>
      <c r="N1993">
        <v>1.0217350000000001</v>
      </c>
    </row>
    <row r="1994" spans="1:14" x14ac:dyDescent="0.35">
      <c r="A1994" s="156" t="s">
        <v>542</v>
      </c>
      <c r="B1994" s="52">
        <v>45526</v>
      </c>
      <c r="C1994" s="156" t="s">
        <v>531</v>
      </c>
      <c r="D1994" s="156" t="s">
        <v>531</v>
      </c>
      <c r="E1994">
        <v>2159583</v>
      </c>
      <c r="F1994">
        <v>223624.43710000001</v>
      </c>
      <c r="G1994">
        <v>103.5547</v>
      </c>
      <c r="H1994">
        <v>0.98859699999999995</v>
      </c>
      <c r="I1994">
        <v>1</v>
      </c>
      <c r="J1994" s="156">
        <v>1</v>
      </c>
      <c r="K1994">
        <v>1</v>
      </c>
      <c r="L1994">
        <v>1</v>
      </c>
      <c r="M1994">
        <v>1</v>
      </c>
      <c r="N1994">
        <v>0.98859699999999995</v>
      </c>
    </row>
    <row r="1995" spans="1:14" x14ac:dyDescent="0.35">
      <c r="A1995" s="156" t="s">
        <v>542</v>
      </c>
      <c r="B1995" s="52">
        <v>45527</v>
      </c>
      <c r="C1995" s="156" t="s">
        <v>531</v>
      </c>
      <c r="D1995" s="156" t="s">
        <v>531</v>
      </c>
      <c r="E1995">
        <v>2060854</v>
      </c>
      <c r="F1995">
        <v>215810.66029999999</v>
      </c>
      <c r="G1995">
        <v>104.7409</v>
      </c>
      <c r="H1995">
        <v>1.017738</v>
      </c>
      <c r="I1995">
        <v>1</v>
      </c>
      <c r="J1995" s="156">
        <v>1</v>
      </c>
      <c r="K1995">
        <v>1</v>
      </c>
      <c r="L1995">
        <v>1</v>
      </c>
      <c r="M1995">
        <v>1</v>
      </c>
      <c r="N1995">
        <v>1.017738</v>
      </c>
    </row>
    <row r="1996" spans="1:14" x14ac:dyDescent="0.35">
      <c r="A1996" s="156" t="s">
        <v>542</v>
      </c>
      <c r="B1996" s="52">
        <v>45530</v>
      </c>
      <c r="C1996" s="156" t="s">
        <v>531</v>
      </c>
      <c r="D1996" s="156" t="s">
        <v>531</v>
      </c>
      <c r="E1996">
        <v>2110826</v>
      </c>
      <c r="F1996">
        <v>219798.9804</v>
      </c>
      <c r="G1996">
        <v>104.1323</v>
      </c>
      <c r="H1996">
        <v>0.99019000000000001</v>
      </c>
      <c r="I1996">
        <v>1</v>
      </c>
      <c r="J1996" s="156">
        <v>1</v>
      </c>
      <c r="K1996">
        <v>1</v>
      </c>
      <c r="L1996">
        <v>1</v>
      </c>
      <c r="M1996">
        <v>1</v>
      </c>
      <c r="N1996">
        <v>0.99019000000000001</v>
      </c>
    </row>
    <row r="1997" spans="1:14" x14ac:dyDescent="0.35">
      <c r="A1997" s="156" t="s">
        <v>542</v>
      </c>
      <c r="B1997" s="52">
        <v>45531</v>
      </c>
      <c r="C1997" s="156" t="s">
        <v>531</v>
      </c>
      <c r="D1997" s="156" t="s">
        <v>531</v>
      </c>
      <c r="E1997">
        <v>2570165</v>
      </c>
      <c r="F1997">
        <v>266915.84960000002</v>
      </c>
      <c r="G1997">
        <v>103.8464</v>
      </c>
      <c r="H1997">
        <v>0.99951900000000005</v>
      </c>
      <c r="I1997">
        <v>1</v>
      </c>
      <c r="J1997" s="156">
        <v>1</v>
      </c>
      <c r="K1997">
        <v>1</v>
      </c>
      <c r="L1997">
        <v>1</v>
      </c>
      <c r="M1997">
        <v>1</v>
      </c>
      <c r="N1997">
        <v>0.99951900000000005</v>
      </c>
    </row>
    <row r="1998" spans="1:14" x14ac:dyDescent="0.35">
      <c r="A1998" s="156" t="s">
        <v>542</v>
      </c>
      <c r="B1998" s="52">
        <v>45532</v>
      </c>
      <c r="C1998" s="156" t="s">
        <v>531</v>
      </c>
      <c r="D1998" s="156" t="s">
        <v>531</v>
      </c>
      <c r="E1998">
        <v>1943548</v>
      </c>
      <c r="F1998">
        <v>198942.139</v>
      </c>
      <c r="G1998">
        <v>102.34010000000001</v>
      </c>
      <c r="H1998">
        <v>0.98325600000000002</v>
      </c>
      <c r="I1998">
        <v>1</v>
      </c>
      <c r="J1998" s="156">
        <v>1</v>
      </c>
      <c r="K1998">
        <v>1</v>
      </c>
      <c r="L1998">
        <v>1</v>
      </c>
      <c r="M1998">
        <v>1</v>
      </c>
      <c r="N1998">
        <v>0.98325600000000002</v>
      </c>
    </row>
    <row r="1999" spans="1:14" x14ac:dyDescent="0.35">
      <c r="A1999" s="156" t="s">
        <v>542</v>
      </c>
      <c r="B1999" s="52">
        <v>45533</v>
      </c>
      <c r="C1999" s="156" t="s">
        <v>531</v>
      </c>
      <c r="D1999" s="156" t="s">
        <v>531</v>
      </c>
      <c r="E1999">
        <v>2105989</v>
      </c>
      <c r="F1999">
        <v>219316.64430000001</v>
      </c>
      <c r="G1999">
        <v>104.1067</v>
      </c>
      <c r="H1999">
        <v>1.0130159999999999</v>
      </c>
      <c r="I1999">
        <v>1</v>
      </c>
      <c r="J1999" s="156">
        <v>1</v>
      </c>
      <c r="K1999">
        <v>1</v>
      </c>
      <c r="L1999">
        <v>1</v>
      </c>
      <c r="M1999">
        <v>1</v>
      </c>
      <c r="N1999">
        <v>1.0130159999999999</v>
      </c>
    </row>
    <row r="2000" spans="1:14" x14ac:dyDescent="0.35">
      <c r="A2000" s="156" t="s">
        <v>542</v>
      </c>
      <c r="B2000" s="52">
        <v>45534</v>
      </c>
      <c r="C2000" s="156" t="s">
        <v>531</v>
      </c>
      <c r="D2000" s="156" t="s">
        <v>531</v>
      </c>
      <c r="E2000">
        <v>2143107</v>
      </c>
      <c r="F2000">
        <v>223503.2691</v>
      </c>
      <c r="G2000">
        <v>104.33240000000001</v>
      </c>
      <c r="H2000">
        <v>1.009854</v>
      </c>
      <c r="I2000">
        <v>1</v>
      </c>
      <c r="J2000" s="156">
        <v>1</v>
      </c>
      <c r="K2000">
        <v>1</v>
      </c>
      <c r="L2000">
        <v>1</v>
      </c>
      <c r="M2000">
        <v>1</v>
      </c>
      <c r="N2000">
        <v>1.009854</v>
      </c>
    </row>
    <row r="2001" spans="1:14" x14ac:dyDescent="0.35">
      <c r="A2001" s="156" t="s">
        <v>542</v>
      </c>
      <c r="B2001" s="52">
        <v>45538</v>
      </c>
      <c r="C2001" s="156" t="s">
        <v>531</v>
      </c>
      <c r="D2001" s="156" t="s">
        <v>531</v>
      </c>
      <c r="E2001">
        <v>2762202</v>
      </c>
      <c r="F2001">
        <v>280341.90389999998</v>
      </c>
      <c r="G2001">
        <v>101.47410000000001</v>
      </c>
      <c r="H2001">
        <v>0.965943</v>
      </c>
      <c r="I2001">
        <v>1</v>
      </c>
      <c r="J2001" s="156">
        <v>1</v>
      </c>
      <c r="K2001">
        <v>1</v>
      </c>
      <c r="L2001">
        <v>1</v>
      </c>
      <c r="M2001">
        <v>1</v>
      </c>
      <c r="N2001">
        <v>0.965943</v>
      </c>
    </row>
    <row r="2002" spans="1:14" x14ac:dyDescent="0.35">
      <c r="A2002" s="156" t="s">
        <v>542</v>
      </c>
      <c r="B2002" s="52">
        <v>45539</v>
      </c>
      <c r="C2002" s="156" t="s">
        <v>531</v>
      </c>
      <c r="D2002" s="156" t="s">
        <v>531</v>
      </c>
      <c r="E2002">
        <v>2513262</v>
      </c>
      <c r="F2002">
        <v>256518.7751</v>
      </c>
      <c r="G2002">
        <v>102.0505</v>
      </c>
      <c r="H2002">
        <v>1.003763</v>
      </c>
      <c r="I2002">
        <v>1</v>
      </c>
      <c r="J2002" s="156">
        <v>1</v>
      </c>
      <c r="K2002">
        <v>1</v>
      </c>
      <c r="L2002">
        <v>1</v>
      </c>
      <c r="M2002">
        <v>1</v>
      </c>
      <c r="N2002">
        <v>1.003763</v>
      </c>
    </row>
    <row r="2003" spans="1:14" x14ac:dyDescent="0.35">
      <c r="A2003" s="156" t="s">
        <v>542</v>
      </c>
      <c r="B2003" s="52">
        <v>45540</v>
      </c>
      <c r="C2003" s="156" t="s">
        <v>531</v>
      </c>
      <c r="D2003" s="156" t="s">
        <v>531</v>
      </c>
      <c r="E2003">
        <v>2801664</v>
      </c>
      <c r="F2003">
        <v>287891.66259999998</v>
      </c>
      <c r="G2003">
        <v>102.753</v>
      </c>
      <c r="H2003">
        <v>1.0216080000000001</v>
      </c>
      <c r="I2003">
        <v>1</v>
      </c>
      <c r="J2003" s="156">
        <v>1</v>
      </c>
      <c r="K2003">
        <v>1</v>
      </c>
      <c r="L2003">
        <v>1</v>
      </c>
      <c r="M2003">
        <v>1</v>
      </c>
      <c r="N2003">
        <v>1.0216080000000001</v>
      </c>
    </row>
    <row r="2004" spans="1:14" x14ac:dyDescent="0.35">
      <c r="A2004" s="156" t="s">
        <v>542</v>
      </c>
      <c r="B2004" s="52">
        <v>45541</v>
      </c>
      <c r="C2004" s="156" t="s">
        <v>531</v>
      </c>
      <c r="D2004" s="156" t="s">
        <v>531</v>
      </c>
      <c r="E2004">
        <v>3847254</v>
      </c>
      <c r="F2004">
        <v>387221.85710000002</v>
      </c>
      <c r="G2004">
        <v>100.6409</v>
      </c>
      <c r="H2004">
        <v>0.968804</v>
      </c>
      <c r="I2004">
        <v>1</v>
      </c>
      <c r="J2004" s="156">
        <v>1</v>
      </c>
      <c r="K2004">
        <v>1</v>
      </c>
      <c r="L2004">
        <v>1</v>
      </c>
      <c r="M2004">
        <v>1</v>
      </c>
      <c r="N2004">
        <v>0.968804</v>
      </c>
    </row>
    <row r="2005" spans="1:14" x14ac:dyDescent="0.35">
      <c r="A2005" s="156" t="s">
        <v>542</v>
      </c>
      <c r="B2005" s="52">
        <v>45544</v>
      </c>
      <c r="C2005" s="156" t="s">
        <v>531</v>
      </c>
      <c r="D2005" s="156" t="s">
        <v>531</v>
      </c>
      <c r="E2005">
        <v>3253678</v>
      </c>
      <c r="F2005">
        <v>323818.8101</v>
      </c>
      <c r="G2005">
        <v>99.515500000000003</v>
      </c>
      <c r="H2005">
        <v>0.99013099999999998</v>
      </c>
      <c r="I2005">
        <v>1</v>
      </c>
      <c r="J2005" s="156">
        <v>1</v>
      </c>
      <c r="K2005">
        <v>1</v>
      </c>
      <c r="L2005">
        <v>1</v>
      </c>
      <c r="M2005">
        <v>1</v>
      </c>
      <c r="N2005">
        <v>0.99013099999999998</v>
      </c>
    </row>
    <row r="2006" spans="1:14" x14ac:dyDescent="0.35">
      <c r="A2006" s="156" t="s">
        <v>542</v>
      </c>
      <c r="B2006" s="52">
        <v>45545</v>
      </c>
      <c r="C2006" s="156" t="s">
        <v>531</v>
      </c>
      <c r="D2006" s="156" t="s">
        <v>531</v>
      </c>
      <c r="E2006">
        <v>1940841</v>
      </c>
      <c r="F2006">
        <v>192592.948</v>
      </c>
      <c r="G2006">
        <v>99.241100000000003</v>
      </c>
      <c r="H2006">
        <v>1.003927</v>
      </c>
      <c r="I2006">
        <v>1</v>
      </c>
      <c r="J2006" s="156">
        <v>1</v>
      </c>
      <c r="K2006">
        <v>1</v>
      </c>
      <c r="L2006">
        <v>1</v>
      </c>
      <c r="M2006">
        <v>1</v>
      </c>
      <c r="N2006">
        <v>1.003927</v>
      </c>
    </row>
    <row r="2007" spans="1:14" x14ac:dyDescent="0.35">
      <c r="A2007" s="156" t="s">
        <v>542</v>
      </c>
      <c r="B2007" s="52">
        <v>45546</v>
      </c>
      <c r="C2007" s="156" t="s">
        <v>531</v>
      </c>
      <c r="D2007" s="156" t="s">
        <v>531</v>
      </c>
      <c r="E2007">
        <v>2906349</v>
      </c>
      <c r="F2007">
        <v>293686.46879999997</v>
      </c>
      <c r="G2007">
        <v>101.10250000000001</v>
      </c>
      <c r="H2007">
        <v>1.019055</v>
      </c>
      <c r="I2007">
        <v>1</v>
      </c>
      <c r="J2007" s="156">
        <v>1</v>
      </c>
      <c r="K2007">
        <v>1</v>
      </c>
      <c r="L2007">
        <v>1</v>
      </c>
      <c r="M2007">
        <v>1</v>
      </c>
      <c r="N2007">
        <v>1.019055</v>
      </c>
    </row>
    <row r="2008" spans="1:14" x14ac:dyDescent="0.35">
      <c r="A2008" s="156" t="s">
        <v>542</v>
      </c>
      <c r="B2008" s="52">
        <v>45547</v>
      </c>
      <c r="C2008" s="156" t="s">
        <v>531</v>
      </c>
      <c r="D2008" s="156" t="s">
        <v>531</v>
      </c>
      <c r="E2008">
        <v>2977473</v>
      </c>
      <c r="F2008">
        <v>309334.29009999998</v>
      </c>
      <c r="G2008">
        <v>103.9385</v>
      </c>
      <c r="H2008">
        <v>1.0284420000000001</v>
      </c>
      <c r="I2008">
        <v>1</v>
      </c>
      <c r="J2008" s="156">
        <v>1</v>
      </c>
      <c r="K2008">
        <v>1</v>
      </c>
      <c r="L2008">
        <v>1</v>
      </c>
      <c r="M2008">
        <v>1</v>
      </c>
      <c r="N2008">
        <v>1.0284420000000001</v>
      </c>
    </row>
    <row r="2009" spans="1:14" x14ac:dyDescent="0.35">
      <c r="A2009" s="156" t="s">
        <v>542</v>
      </c>
      <c r="B2009" s="52">
        <v>45548</v>
      </c>
      <c r="C2009" s="156" t="s">
        <v>531</v>
      </c>
      <c r="D2009" s="156" t="s">
        <v>531</v>
      </c>
      <c r="E2009">
        <v>3314724</v>
      </c>
      <c r="F2009">
        <v>353190.31099999999</v>
      </c>
      <c r="G2009">
        <v>106.52889999999999</v>
      </c>
      <c r="H2009">
        <v>1.0149280000000001</v>
      </c>
      <c r="I2009">
        <v>1</v>
      </c>
      <c r="J2009" s="156">
        <v>1</v>
      </c>
      <c r="K2009">
        <v>1</v>
      </c>
      <c r="L2009">
        <v>1</v>
      </c>
      <c r="M2009">
        <v>1</v>
      </c>
      <c r="N2009">
        <v>1.0149280000000001</v>
      </c>
    </row>
    <row r="2010" spans="1:14" x14ac:dyDescent="0.35">
      <c r="A2010" s="156" t="s">
        <v>542</v>
      </c>
      <c r="B2010" s="52">
        <v>45551</v>
      </c>
      <c r="C2010" s="156" t="s">
        <v>531</v>
      </c>
      <c r="D2010" s="156" t="s">
        <v>531</v>
      </c>
      <c r="E2010">
        <v>2147157</v>
      </c>
      <c r="F2010">
        <v>227110.3132</v>
      </c>
      <c r="G2010">
        <v>105.7461</v>
      </c>
      <c r="H2010">
        <v>0.99349399999999999</v>
      </c>
      <c r="I2010">
        <v>1</v>
      </c>
      <c r="J2010" s="156">
        <v>1</v>
      </c>
      <c r="K2010">
        <v>1</v>
      </c>
      <c r="L2010">
        <v>1</v>
      </c>
      <c r="M2010">
        <v>1</v>
      </c>
      <c r="N2010">
        <v>0.99349399999999999</v>
      </c>
    </row>
    <row r="2011" spans="1:14" x14ac:dyDescent="0.35">
      <c r="A2011" s="156" t="s">
        <v>542</v>
      </c>
      <c r="B2011" s="52">
        <v>45552</v>
      </c>
      <c r="C2011" s="156" t="s">
        <v>531</v>
      </c>
      <c r="D2011" s="156" t="s">
        <v>531</v>
      </c>
      <c r="E2011">
        <v>2286359</v>
      </c>
      <c r="F2011">
        <v>242276.43119999999</v>
      </c>
      <c r="G2011">
        <v>105.9657</v>
      </c>
      <c r="H2011">
        <v>1.0044599999999999</v>
      </c>
      <c r="I2011">
        <v>1</v>
      </c>
      <c r="J2011" s="156">
        <v>1</v>
      </c>
      <c r="K2011">
        <v>1</v>
      </c>
      <c r="L2011">
        <v>1</v>
      </c>
      <c r="M2011">
        <v>1</v>
      </c>
      <c r="N2011">
        <v>1.0044599999999999</v>
      </c>
    </row>
    <row r="2012" spans="1:14" x14ac:dyDescent="0.35">
      <c r="A2012" s="156" t="s">
        <v>542</v>
      </c>
      <c r="B2012" s="52">
        <v>45553</v>
      </c>
      <c r="C2012" s="156" t="s">
        <v>531</v>
      </c>
      <c r="D2012" s="156" t="s">
        <v>531</v>
      </c>
      <c r="E2012">
        <v>3786194</v>
      </c>
      <c r="F2012">
        <v>409640.4362</v>
      </c>
      <c r="G2012">
        <v>108.1829</v>
      </c>
      <c r="H2012">
        <v>1.020597</v>
      </c>
      <c r="I2012">
        <v>1</v>
      </c>
      <c r="J2012" s="156">
        <v>1</v>
      </c>
      <c r="K2012">
        <v>1</v>
      </c>
      <c r="L2012">
        <v>1</v>
      </c>
      <c r="M2012">
        <v>1</v>
      </c>
      <c r="N2012">
        <v>1.020597</v>
      </c>
    </row>
    <row r="2013" spans="1:14" x14ac:dyDescent="0.35">
      <c r="A2013" s="156" t="s">
        <v>542</v>
      </c>
      <c r="B2013" s="52">
        <v>45554</v>
      </c>
      <c r="C2013" s="156" t="s">
        <v>531</v>
      </c>
      <c r="D2013" s="156" t="s">
        <v>531</v>
      </c>
      <c r="E2013">
        <v>3166025</v>
      </c>
      <c r="F2013">
        <v>349272.24560000002</v>
      </c>
      <c r="G2013">
        <v>110.33750000000001</v>
      </c>
      <c r="H2013">
        <v>1.0196259999999999</v>
      </c>
      <c r="I2013">
        <v>1</v>
      </c>
      <c r="J2013" s="156">
        <v>1</v>
      </c>
      <c r="K2013">
        <v>1</v>
      </c>
      <c r="L2013">
        <v>1</v>
      </c>
      <c r="M2013">
        <v>1</v>
      </c>
      <c r="N2013">
        <v>1.0196259999999999</v>
      </c>
    </row>
    <row r="2014" spans="1:14" x14ac:dyDescent="0.35">
      <c r="A2014" s="156" t="s">
        <v>542</v>
      </c>
      <c r="B2014" s="52">
        <v>45555</v>
      </c>
      <c r="C2014" s="156" t="s">
        <v>531</v>
      </c>
      <c r="D2014" s="156" t="s">
        <v>531</v>
      </c>
      <c r="E2014">
        <v>3261239</v>
      </c>
      <c r="F2014">
        <v>357048.15980000002</v>
      </c>
      <c r="G2014">
        <v>109.4922</v>
      </c>
      <c r="H2014">
        <v>0.99428000000000005</v>
      </c>
      <c r="I2014">
        <v>1</v>
      </c>
      <c r="J2014" s="156">
        <v>1</v>
      </c>
      <c r="K2014">
        <v>1</v>
      </c>
      <c r="L2014">
        <v>1</v>
      </c>
      <c r="M2014">
        <v>1</v>
      </c>
      <c r="N2014">
        <v>0.99428000000000005</v>
      </c>
    </row>
    <row r="2015" spans="1:14" x14ac:dyDescent="0.35">
      <c r="A2015" s="156" t="s">
        <v>542</v>
      </c>
      <c r="B2015" s="52">
        <v>45558</v>
      </c>
      <c r="C2015" s="156" t="s">
        <v>531</v>
      </c>
      <c r="D2015" s="156" t="s">
        <v>531</v>
      </c>
      <c r="E2015">
        <v>2392245</v>
      </c>
      <c r="F2015">
        <v>259933.23939999999</v>
      </c>
      <c r="G2015">
        <v>108.65560000000001</v>
      </c>
      <c r="H2015">
        <v>0.99105100000000002</v>
      </c>
      <c r="I2015">
        <v>1</v>
      </c>
      <c r="J2015" s="156">
        <v>1</v>
      </c>
      <c r="K2015">
        <v>1</v>
      </c>
      <c r="L2015">
        <v>1</v>
      </c>
      <c r="M2015">
        <v>1</v>
      </c>
      <c r="N2015">
        <v>0.99105100000000002</v>
      </c>
    </row>
    <row r="2016" spans="1:14" x14ac:dyDescent="0.35">
      <c r="A2016" s="156" t="s">
        <v>542</v>
      </c>
      <c r="B2016" s="52">
        <v>45559</v>
      </c>
      <c r="C2016" s="156" t="s">
        <v>531</v>
      </c>
      <c r="D2016" s="156" t="s">
        <v>531</v>
      </c>
      <c r="E2016">
        <v>2383412</v>
      </c>
      <c r="F2016">
        <v>262605.04869999998</v>
      </c>
      <c r="G2016">
        <v>110.194</v>
      </c>
      <c r="H2016">
        <v>1.020824</v>
      </c>
      <c r="I2016">
        <v>1</v>
      </c>
      <c r="J2016" s="156">
        <v>1</v>
      </c>
      <c r="K2016">
        <v>1</v>
      </c>
      <c r="L2016">
        <v>1</v>
      </c>
      <c r="M2016">
        <v>1</v>
      </c>
      <c r="N2016">
        <v>1.020824</v>
      </c>
    </row>
    <row r="2017" spans="1:14" x14ac:dyDescent="0.35">
      <c r="A2017" s="156" t="s">
        <v>542</v>
      </c>
      <c r="B2017" s="52">
        <v>45560</v>
      </c>
      <c r="C2017" s="156" t="s">
        <v>531</v>
      </c>
      <c r="D2017" s="156" t="s">
        <v>531</v>
      </c>
      <c r="E2017">
        <v>2050746</v>
      </c>
      <c r="F2017">
        <v>226822.45869999999</v>
      </c>
      <c r="G2017">
        <v>110.6254</v>
      </c>
      <c r="H2017">
        <v>0.99936800000000003</v>
      </c>
      <c r="I2017">
        <v>1</v>
      </c>
      <c r="J2017" s="156">
        <v>1</v>
      </c>
      <c r="K2017">
        <v>1</v>
      </c>
      <c r="L2017">
        <v>1</v>
      </c>
      <c r="M2017">
        <v>1</v>
      </c>
      <c r="N2017">
        <v>0.99936800000000003</v>
      </c>
    </row>
    <row r="2018" spans="1:14" x14ac:dyDescent="0.35">
      <c r="A2018" s="156" t="s">
        <v>542</v>
      </c>
      <c r="B2018" s="52">
        <v>45561</v>
      </c>
      <c r="C2018" s="156" t="s">
        <v>531</v>
      </c>
      <c r="D2018" s="156" t="s">
        <v>531</v>
      </c>
      <c r="E2018">
        <v>3096024</v>
      </c>
      <c r="F2018">
        <v>338378.97499999998</v>
      </c>
      <c r="G2018">
        <v>109.3186</v>
      </c>
      <c r="H2018">
        <v>0.98771699999999996</v>
      </c>
      <c r="I2018">
        <v>1</v>
      </c>
      <c r="J2018" s="156">
        <v>1</v>
      </c>
      <c r="K2018">
        <v>1</v>
      </c>
      <c r="L2018">
        <v>1</v>
      </c>
      <c r="M2018">
        <v>1</v>
      </c>
      <c r="N2018">
        <v>0.98771699999999996</v>
      </c>
    </row>
    <row r="2019" spans="1:14" x14ac:dyDescent="0.35">
      <c r="A2019" s="156" t="s">
        <v>542</v>
      </c>
      <c r="B2019" s="52">
        <v>45562</v>
      </c>
      <c r="C2019" s="156" t="s">
        <v>531</v>
      </c>
      <c r="D2019" s="156" t="s">
        <v>531</v>
      </c>
      <c r="E2019">
        <v>1700474</v>
      </c>
      <c r="F2019">
        <v>186354.6937</v>
      </c>
      <c r="G2019">
        <v>109.58069999999999</v>
      </c>
      <c r="H2019">
        <v>1.000823</v>
      </c>
      <c r="I2019">
        <v>1</v>
      </c>
      <c r="J2019" s="156">
        <v>1</v>
      </c>
      <c r="K2019">
        <v>1</v>
      </c>
      <c r="L2019">
        <v>1</v>
      </c>
      <c r="M2019">
        <v>1</v>
      </c>
      <c r="N2019">
        <v>1.000823</v>
      </c>
    </row>
    <row r="2020" spans="1:14" x14ac:dyDescent="0.35">
      <c r="A2020" s="156" t="s">
        <v>542</v>
      </c>
      <c r="B2020" s="52">
        <v>45565</v>
      </c>
      <c r="C2020" s="156" t="s">
        <v>531</v>
      </c>
      <c r="D2020" s="156" t="s">
        <v>531</v>
      </c>
      <c r="E2020">
        <v>2154655</v>
      </c>
      <c r="F2020">
        <v>235351.4363</v>
      </c>
      <c r="G2020">
        <v>109.2565</v>
      </c>
      <c r="H2020">
        <v>1.001827</v>
      </c>
      <c r="I2020">
        <v>1</v>
      </c>
      <c r="J2020" s="156">
        <v>1</v>
      </c>
      <c r="K2020">
        <v>1</v>
      </c>
      <c r="L2020">
        <v>1</v>
      </c>
      <c r="M2020">
        <v>1</v>
      </c>
      <c r="N2020">
        <v>1.001827</v>
      </c>
    </row>
    <row r="2021" spans="1:14" x14ac:dyDescent="0.35">
      <c r="A2021" s="156" t="s">
        <v>542</v>
      </c>
      <c r="B2021" s="52">
        <v>45566</v>
      </c>
      <c r="C2021" s="156" t="s">
        <v>531</v>
      </c>
      <c r="D2021" s="156" t="s">
        <v>531</v>
      </c>
      <c r="E2021">
        <v>2306905</v>
      </c>
      <c r="F2021">
        <v>250139.95939999999</v>
      </c>
      <c r="G2021">
        <v>108.4727</v>
      </c>
      <c r="H2021">
        <v>0.99151800000000001</v>
      </c>
      <c r="I2021">
        <v>1</v>
      </c>
      <c r="J2021" s="156">
        <v>1</v>
      </c>
      <c r="K2021">
        <v>1</v>
      </c>
      <c r="L2021">
        <v>1</v>
      </c>
      <c r="M2021">
        <v>1</v>
      </c>
      <c r="N2021">
        <v>0.99151800000000001</v>
      </c>
    </row>
    <row r="2022" spans="1:14" x14ac:dyDescent="0.35">
      <c r="A2022" s="156" t="s">
        <v>542</v>
      </c>
      <c r="B2022" s="52">
        <v>45567</v>
      </c>
      <c r="C2022" s="156" t="s">
        <v>531</v>
      </c>
      <c r="D2022" s="156" t="s">
        <v>531</v>
      </c>
      <c r="E2022">
        <v>1715689</v>
      </c>
      <c r="F2022">
        <v>186636.11180000001</v>
      </c>
      <c r="G2022">
        <v>108.78400000000001</v>
      </c>
      <c r="H2022">
        <v>0.99990800000000002</v>
      </c>
      <c r="I2022">
        <v>1</v>
      </c>
      <c r="J2022" s="156">
        <v>1</v>
      </c>
      <c r="K2022">
        <v>1</v>
      </c>
      <c r="L2022">
        <v>1</v>
      </c>
      <c r="M2022">
        <v>1</v>
      </c>
      <c r="N2022">
        <v>0.99990800000000002</v>
      </c>
    </row>
    <row r="2023" spans="1:14" x14ac:dyDescent="0.35">
      <c r="A2023" s="156" t="s">
        <v>542</v>
      </c>
      <c r="B2023" s="52">
        <v>45568</v>
      </c>
      <c r="C2023" s="156" t="s">
        <v>531</v>
      </c>
      <c r="D2023" s="156" t="s">
        <v>531</v>
      </c>
      <c r="E2023">
        <v>2258911</v>
      </c>
      <c r="F2023">
        <v>249698.48610000001</v>
      </c>
      <c r="G2023">
        <v>110.5908</v>
      </c>
      <c r="H2023">
        <v>1.0252969999999999</v>
      </c>
      <c r="I2023">
        <v>1</v>
      </c>
      <c r="J2023" s="156">
        <v>1</v>
      </c>
      <c r="K2023">
        <v>1</v>
      </c>
      <c r="L2023">
        <v>1</v>
      </c>
      <c r="M2023">
        <v>1</v>
      </c>
      <c r="N2023">
        <v>1.0252969999999999</v>
      </c>
    </row>
    <row r="2024" spans="1:14" x14ac:dyDescent="0.35">
      <c r="A2024" s="156" t="s">
        <v>542</v>
      </c>
      <c r="B2024" s="52">
        <v>45569</v>
      </c>
      <c r="C2024" s="156" t="s">
        <v>531</v>
      </c>
      <c r="D2024" s="156" t="s">
        <v>531</v>
      </c>
      <c r="E2024">
        <v>2937743</v>
      </c>
      <c r="F2024">
        <v>332052.21179999999</v>
      </c>
      <c r="G2024">
        <v>113.03870000000001</v>
      </c>
      <c r="H2024">
        <v>1.013817</v>
      </c>
      <c r="I2024">
        <v>1</v>
      </c>
      <c r="J2024" s="156">
        <v>1</v>
      </c>
      <c r="K2024">
        <v>1</v>
      </c>
      <c r="L2024">
        <v>1</v>
      </c>
      <c r="M2024">
        <v>1</v>
      </c>
      <c r="N2024">
        <v>1.013817</v>
      </c>
    </row>
    <row r="2025" spans="1:14" x14ac:dyDescent="0.35">
      <c r="A2025" s="156" t="s">
        <v>542</v>
      </c>
      <c r="B2025" s="52">
        <v>45572</v>
      </c>
      <c r="C2025" s="156" t="s">
        <v>531</v>
      </c>
      <c r="D2025" s="156" t="s">
        <v>531</v>
      </c>
      <c r="E2025">
        <v>2112819</v>
      </c>
      <c r="F2025">
        <v>237161.05249999999</v>
      </c>
      <c r="G2025">
        <v>112.2041</v>
      </c>
      <c r="H2025">
        <v>0.98938099999999995</v>
      </c>
      <c r="I2025">
        <v>1</v>
      </c>
      <c r="J2025" s="156">
        <v>1</v>
      </c>
      <c r="K2025">
        <v>1</v>
      </c>
      <c r="L2025">
        <v>1</v>
      </c>
      <c r="M2025">
        <v>1</v>
      </c>
      <c r="N2025">
        <v>0.98938099999999995</v>
      </c>
    </row>
    <row r="2026" spans="1:14" x14ac:dyDescent="0.35">
      <c r="A2026" s="156" t="s">
        <v>542</v>
      </c>
      <c r="B2026" s="52">
        <v>45573</v>
      </c>
      <c r="C2026" s="156" t="s">
        <v>531</v>
      </c>
      <c r="D2026" s="156" t="s">
        <v>531</v>
      </c>
      <c r="E2026">
        <v>2411117</v>
      </c>
      <c r="F2026">
        <v>274855.63809999998</v>
      </c>
      <c r="G2026">
        <v>114.0363</v>
      </c>
      <c r="H2026">
        <v>1.024419</v>
      </c>
      <c r="I2026">
        <v>1</v>
      </c>
      <c r="J2026" s="156">
        <v>1</v>
      </c>
      <c r="K2026">
        <v>1</v>
      </c>
      <c r="L2026">
        <v>1</v>
      </c>
      <c r="M2026">
        <v>1</v>
      </c>
      <c r="N2026">
        <v>1.024419</v>
      </c>
    </row>
    <row r="2027" spans="1:14" x14ac:dyDescent="0.35">
      <c r="A2027" s="156" t="s">
        <v>542</v>
      </c>
      <c r="B2027" s="52">
        <v>45574</v>
      </c>
      <c r="C2027" s="156" t="s">
        <v>531</v>
      </c>
      <c r="D2027" s="156" t="s">
        <v>531</v>
      </c>
      <c r="E2027">
        <v>2544444</v>
      </c>
      <c r="F2027">
        <v>293830.00469999999</v>
      </c>
      <c r="G2027">
        <v>115.46810000000001</v>
      </c>
      <c r="H2027">
        <v>1.0090809999999999</v>
      </c>
      <c r="I2027">
        <v>1</v>
      </c>
      <c r="J2027" s="156">
        <v>1</v>
      </c>
      <c r="K2027">
        <v>1</v>
      </c>
      <c r="L2027">
        <v>1</v>
      </c>
      <c r="M2027">
        <v>1</v>
      </c>
      <c r="N2027">
        <v>1.0090809999999999</v>
      </c>
    </row>
    <row r="2028" spans="1:14" x14ac:dyDescent="0.35">
      <c r="A2028" s="156" t="s">
        <v>542</v>
      </c>
      <c r="B2028" s="52">
        <v>45575</v>
      </c>
      <c r="C2028" s="156" t="s">
        <v>531</v>
      </c>
      <c r="D2028" s="156" t="s">
        <v>531</v>
      </c>
      <c r="E2028">
        <v>2025261</v>
      </c>
      <c r="F2028">
        <v>234626.13440000001</v>
      </c>
      <c r="G2028">
        <v>115.84690000000001</v>
      </c>
      <c r="H2028">
        <v>1.0012110000000001</v>
      </c>
      <c r="I2028">
        <v>1</v>
      </c>
      <c r="J2028" s="156">
        <v>1</v>
      </c>
      <c r="K2028">
        <v>1</v>
      </c>
      <c r="L2028">
        <v>1</v>
      </c>
      <c r="M2028">
        <v>1</v>
      </c>
      <c r="N2028">
        <v>1.0012110000000001</v>
      </c>
    </row>
    <row r="2029" spans="1:14" x14ac:dyDescent="0.35">
      <c r="A2029" s="156" t="s">
        <v>542</v>
      </c>
      <c r="B2029" s="52">
        <v>45576</v>
      </c>
      <c r="C2029" s="156" t="s">
        <v>531</v>
      </c>
      <c r="D2029" s="156" t="s">
        <v>531</v>
      </c>
      <c r="E2029">
        <v>2712819</v>
      </c>
      <c r="F2029">
        <v>318035.73420000001</v>
      </c>
      <c r="G2029">
        <v>117.3377</v>
      </c>
      <c r="H2029">
        <v>1.0189269999999999</v>
      </c>
      <c r="I2029">
        <v>1</v>
      </c>
      <c r="J2029" s="156">
        <v>1</v>
      </c>
      <c r="K2029">
        <v>1</v>
      </c>
      <c r="L2029">
        <v>1</v>
      </c>
      <c r="M2029">
        <v>1</v>
      </c>
      <c r="N2029">
        <v>1.0189269999999999</v>
      </c>
    </row>
    <row r="2030" spans="1:14" x14ac:dyDescent="0.35">
      <c r="A2030" s="156" t="s">
        <v>542</v>
      </c>
      <c r="B2030" s="52">
        <v>45579</v>
      </c>
      <c r="C2030" s="156" t="s">
        <v>531</v>
      </c>
      <c r="D2030" s="156" t="s">
        <v>531</v>
      </c>
      <c r="E2030">
        <v>2641162</v>
      </c>
      <c r="F2030">
        <v>311058.21519999998</v>
      </c>
      <c r="G2030">
        <v>117.77379999999999</v>
      </c>
      <c r="H2030">
        <v>1.000594</v>
      </c>
      <c r="I2030">
        <v>1</v>
      </c>
      <c r="J2030" s="156">
        <v>1</v>
      </c>
      <c r="K2030">
        <v>1</v>
      </c>
      <c r="L2030">
        <v>1</v>
      </c>
      <c r="M2030">
        <v>1</v>
      </c>
      <c r="N2030">
        <v>1.000594</v>
      </c>
    </row>
    <row r="2031" spans="1:14" x14ac:dyDescent="0.35">
      <c r="A2031" s="156" t="s">
        <v>542</v>
      </c>
      <c r="B2031" s="52">
        <v>45580</v>
      </c>
      <c r="C2031" s="156" t="s">
        <v>531</v>
      </c>
      <c r="D2031" s="156" t="s">
        <v>531</v>
      </c>
      <c r="E2031">
        <v>2352801</v>
      </c>
      <c r="F2031">
        <v>276639.06030000001</v>
      </c>
      <c r="G2031">
        <v>117.58580000000001</v>
      </c>
      <c r="H2031">
        <v>0.99754200000000004</v>
      </c>
      <c r="I2031">
        <v>1</v>
      </c>
      <c r="J2031" s="156">
        <v>1</v>
      </c>
      <c r="K2031">
        <v>1</v>
      </c>
      <c r="L2031">
        <v>1</v>
      </c>
      <c r="M2031">
        <v>1</v>
      </c>
      <c r="N2031">
        <v>0.99754200000000004</v>
      </c>
    </row>
    <row r="2032" spans="1:14" x14ac:dyDescent="0.35">
      <c r="A2032" s="156" t="s">
        <v>542</v>
      </c>
      <c r="B2032" s="52">
        <v>45581</v>
      </c>
      <c r="C2032" s="156" t="s">
        <v>531</v>
      </c>
      <c r="D2032" s="156" t="s">
        <v>531</v>
      </c>
      <c r="E2032">
        <v>1288907</v>
      </c>
      <c r="F2032">
        <v>151619.2787</v>
      </c>
      <c r="G2032">
        <v>117.6635</v>
      </c>
      <c r="H2032">
        <v>1.0022089999999999</v>
      </c>
      <c r="I2032">
        <v>1</v>
      </c>
      <c r="J2032" s="156">
        <v>1</v>
      </c>
      <c r="K2032">
        <v>1</v>
      </c>
      <c r="L2032">
        <v>1</v>
      </c>
      <c r="M2032">
        <v>1</v>
      </c>
      <c r="N2032">
        <v>1.0022089999999999</v>
      </c>
    </row>
    <row r="2033" spans="1:14" x14ac:dyDescent="0.35">
      <c r="A2033" s="156" t="s">
        <v>542</v>
      </c>
      <c r="B2033" s="52">
        <v>45582</v>
      </c>
      <c r="C2033" s="156" t="s">
        <v>531</v>
      </c>
      <c r="D2033" s="156" t="s">
        <v>531</v>
      </c>
      <c r="E2033">
        <v>1635454</v>
      </c>
      <c r="F2033">
        <v>192813.7286</v>
      </c>
      <c r="G2033">
        <v>117.884</v>
      </c>
      <c r="H2033">
        <v>0.99737200000000004</v>
      </c>
      <c r="I2033">
        <v>1</v>
      </c>
      <c r="J2033" s="156">
        <v>1</v>
      </c>
      <c r="K2033">
        <v>1</v>
      </c>
      <c r="L2033">
        <v>1</v>
      </c>
      <c r="M2033">
        <v>1</v>
      </c>
      <c r="N2033">
        <v>0.99737200000000004</v>
      </c>
    </row>
    <row r="2034" spans="1:14" x14ac:dyDescent="0.35">
      <c r="A2034" s="156" t="s">
        <v>542</v>
      </c>
      <c r="B2034" s="52">
        <v>45583</v>
      </c>
      <c r="C2034" s="156" t="s">
        <v>531</v>
      </c>
      <c r="D2034" s="156" t="s">
        <v>531</v>
      </c>
      <c r="E2034">
        <v>2627551</v>
      </c>
      <c r="F2034">
        <v>311077.64549999998</v>
      </c>
      <c r="G2034">
        <v>118.3498</v>
      </c>
      <c r="H2034">
        <v>1.009606</v>
      </c>
      <c r="I2034">
        <v>1</v>
      </c>
      <c r="J2034" s="156">
        <v>1</v>
      </c>
      <c r="K2034">
        <v>1</v>
      </c>
      <c r="L2034">
        <v>1</v>
      </c>
      <c r="M2034">
        <v>1</v>
      </c>
      <c r="N2034">
        <v>1.009606</v>
      </c>
    </row>
    <row r="2035" spans="1:14" x14ac:dyDescent="0.35">
      <c r="A2035" s="156" t="s">
        <v>542</v>
      </c>
      <c r="B2035" s="52">
        <v>45586</v>
      </c>
      <c r="C2035" s="156" t="s">
        <v>531</v>
      </c>
      <c r="D2035" s="156" t="s">
        <v>531</v>
      </c>
      <c r="E2035">
        <v>1916371</v>
      </c>
      <c r="F2035">
        <v>226351.44459999999</v>
      </c>
      <c r="G2035">
        <v>118.13079999999999</v>
      </c>
      <c r="H2035">
        <v>0.99536899999999995</v>
      </c>
      <c r="I2035">
        <v>1</v>
      </c>
      <c r="J2035" s="156">
        <v>1</v>
      </c>
      <c r="K2035">
        <v>1</v>
      </c>
      <c r="L2035">
        <v>1</v>
      </c>
      <c r="M2035">
        <v>1</v>
      </c>
      <c r="N2035">
        <v>0.99536899999999995</v>
      </c>
    </row>
    <row r="2036" spans="1:14" x14ac:dyDescent="0.35">
      <c r="A2036" s="156" t="s">
        <v>542</v>
      </c>
      <c r="B2036" s="52">
        <v>45587</v>
      </c>
      <c r="C2036" s="156" t="s">
        <v>531</v>
      </c>
      <c r="D2036" s="156" t="s">
        <v>531</v>
      </c>
      <c r="E2036">
        <v>2859206</v>
      </c>
      <c r="F2036">
        <v>340703.20510000002</v>
      </c>
      <c r="G2036">
        <v>119.16630000000001</v>
      </c>
      <c r="H2036">
        <v>1.006175</v>
      </c>
      <c r="I2036">
        <v>1</v>
      </c>
      <c r="J2036" s="156">
        <v>1</v>
      </c>
      <c r="K2036">
        <v>1</v>
      </c>
      <c r="L2036">
        <v>1</v>
      </c>
      <c r="M2036">
        <v>1</v>
      </c>
      <c r="N2036">
        <v>1.006175</v>
      </c>
    </row>
    <row r="2037" spans="1:14" x14ac:dyDescent="0.35">
      <c r="A2037" s="156" t="s">
        <v>542</v>
      </c>
      <c r="B2037" s="52">
        <v>45588</v>
      </c>
      <c r="C2037" s="156" t="s">
        <v>531</v>
      </c>
      <c r="D2037" s="156" t="s">
        <v>531</v>
      </c>
      <c r="E2037">
        <v>2177610</v>
      </c>
      <c r="F2037">
        <v>255688.69469999999</v>
      </c>
      <c r="G2037">
        <v>117.44629999999999</v>
      </c>
      <c r="H2037">
        <v>0.98511899999999997</v>
      </c>
      <c r="I2037">
        <v>1</v>
      </c>
      <c r="J2037" s="156">
        <v>1</v>
      </c>
      <c r="K2037">
        <v>1</v>
      </c>
      <c r="L2037">
        <v>1</v>
      </c>
      <c r="M2037">
        <v>1</v>
      </c>
      <c r="N2037">
        <v>0.98511899999999997</v>
      </c>
    </row>
    <row r="2038" spans="1:14" x14ac:dyDescent="0.35">
      <c r="A2038" s="156" t="s">
        <v>542</v>
      </c>
      <c r="B2038" s="52">
        <v>45589</v>
      </c>
      <c r="C2038" s="156" t="s">
        <v>531</v>
      </c>
      <c r="D2038" s="156" t="s">
        <v>531</v>
      </c>
      <c r="E2038">
        <v>1372932</v>
      </c>
      <c r="F2038">
        <v>161889.97010000001</v>
      </c>
      <c r="G2038">
        <v>117.9357</v>
      </c>
      <c r="H2038">
        <v>1.0088760000000001</v>
      </c>
      <c r="I2038">
        <v>1</v>
      </c>
      <c r="J2038" s="156">
        <v>1</v>
      </c>
      <c r="K2038">
        <v>1</v>
      </c>
      <c r="L2038">
        <v>1</v>
      </c>
      <c r="M2038">
        <v>1</v>
      </c>
      <c r="N2038">
        <v>1.0088760000000001</v>
      </c>
    </row>
    <row r="2039" spans="1:14" x14ac:dyDescent="0.35">
      <c r="A2039" s="156" t="s">
        <v>542</v>
      </c>
      <c r="B2039" s="52">
        <v>45590</v>
      </c>
      <c r="C2039" s="156" t="s">
        <v>531</v>
      </c>
      <c r="D2039" s="156" t="s">
        <v>531</v>
      </c>
      <c r="E2039">
        <v>2881124</v>
      </c>
      <c r="F2039">
        <v>345253.76520000002</v>
      </c>
      <c r="G2039">
        <v>119.84569999999999</v>
      </c>
      <c r="H2039">
        <v>1.010659</v>
      </c>
      <c r="I2039">
        <v>1</v>
      </c>
      <c r="J2039" s="156">
        <v>1</v>
      </c>
      <c r="K2039">
        <v>1</v>
      </c>
      <c r="L2039">
        <v>1</v>
      </c>
      <c r="M2039">
        <v>1</v>
      </c>
      <c r="N2039">
        <v>1.010659</v>
      </c>
    </row>
    <row r="2040" spans="1:14" x14ac:dyDescent="0.35">
      <c r="A2040" s="156" t="s">
        <v>542</v>
      </c>
      <c r="B2040" s="52">
        <v>45593</v>
      </c>
      <c r="C2040" s="156" t="s">
        <v>531</v>
      </c>
      <c r="D2040" s="156" t="s">
        <v>531</v>
      </c>
      <c r="E2040">
        <v>3063604</v>
      </c>
      <c r="F2040">
        <v>365379.19309999997</v>
      </c>
      <c r="G2040">
        <v>119.2343</v>
      </c>
      <c r="H2040">
        <v>0.99589899999999998</v>
      </c>
      <c r="I2040">
        <v>1</v>
      </c>
      <c r="J2040" s="156">
        <v>1</v>
      </c>
      <c r="K2040">
        <v>1</v>
      </c>
      <c r="L2040">
        <v>1</v>
      </c>
      <c r="M2040">
        <v>1</v>
      </c>
      <c r="N2040">
        <v>0.99589899999999998</v>
      </c>
    </row>
    <row r="2041" spans="1:14" x14ac:dyDescent="0.35">
      <c r="A2041" s="156" t="s">
        <v>542</v>
      </c>
      <c r="B2041" s="52">
        <v>45594</v>
      </c>
      <c r="C2041" s="156" t="s">
        <v>531</v>
      </c>
      <c r="D2041" s="156" t="s">
        <v>531</v>
      </c>
      <c r="E2041">
        <v>3042090</v>
      </c>
      <c r="F2041">
        <v>367964.4117</v>
      </c>
      <c r="G2041">
        <v>120.9439</v>
      </c>
      <c r="H2041">
        <v>1.022189</v>
      </c>
      <c r="I2041">
        <v>1</v>
      </c>
      <c r="J2041" s="156">
        <v>1</v>
      </c>
      <c r="K2041">
        <v>1</v>
      </c>
      <c r="L2041">
        <v>1</v>
      </c>
      <c r="M2041">
        <v>1</v>
      </c>
      <c r="N2041">
        <v>1.022189</v>
      </c>
    </row>
    <row r="2042" spans="1:14" x14ac:dyDescent="0.35">
      <c r="A2042" s="156" t="s">
        <v>542</v>
      </c>
      <c r="B2042" s="52">
        <v>45595</v>
      </c>
      <c r="C2042" s="156" t="s">
        <v>531</v>
      </c>
      <c r="D2042" s="156" t="s">
        <v>531</v>
      </c>
      <c r="E2042">
        <v>2602053</v>
      </c>
      <c r="F2042">
        <v>318865.60200000001</v>
      </c>
      <c r="G2042">
        <v>122.4817</v>
      </c>
      <c r="H2042">
        <v>1.0029600000000001</v>
      </c>
      <c r="I2042">
        <v>1</v>
      </c>
      <c r="J2042" s="156">
        <v>1</v>
      </c>
      <c r="K2042">
        <v>1</v>
      </c>
      <c r="L2042">
        <v>1</v>
      </c>
      <c r="M2042">
        <v>1</v>
      </c>
      <c r="N2042">
        <v>1.0029600000000001</v>
      </c>
    </row>
    <row r="2043" spans="1:14" x14ac:dyDescent="0.35">
      <c r="A2043" s="156" t="s">
        <v>542</v>
      </c>
      <c r="B2043" s="52">
        <v>45596</v>
      </c>
      <c r="C2043" s="156" t="s">
        <v>531</v>
      </c>
      <c r="D2043" s="156" t="s">
        <v>531</v>
      </c>
      <c r="E2043">
        <v>3454819</v>
      </c>
      <c r="F2043">
        <v>413568.9817</v>
      </c>
      <c r="G2043">
        <v>119.7321</v>
      </c>
      <c r="H2043">
        <v>0.98548899999999995</v>
      </c>
      <c r="I2043">
        <v>1</v>
      </c>
      <c r="J2043" s="156">
        <v>1</v>
      </c>
      <c r="K2043">
        <v>1</v>
      </c>
      <c r="L2043">
        <v>1</v>
      </c>
      <c r="M2043">
        <v>1</v>
      </c>
      <c r="N2043">
        <v>0.98548899999999995</v>
      </c>
    </row>
    <row r="2044" spans="1:14" x14ac:dyDescent="0.35">
      <c r="A2044" s="156" t="s">
        <v>542</v>
      </c>
      <c r="B2044" s="52">
        <v>45597</v>
      </c>
      <c r="C2044" s="156" t="s">
        <v>531</v>
      </c>
      <c r="D2044" s="156" t="s">
        <v>531</v>
      </c>
      <c r="E2044">
        <v>3334318</v>
      </c>
      <c r="F2044">
        <v>398864.62030000001</v>
      </c>
      <c r="G2044">
        <v>119.59780000000001</v>
      </c>
      <c r="H2044">
        <v>0.99151500000000004</v>
      </c>
      <c r="I2044">
        <v>1</v>
      </c>
      <c r="J2044" s="156">
        <v>1</v>
      </c>
      <c r="K2044">
        <v>1</v>
      </c>
      <c r="L2044">
        <v>1</v>
      </c>
      <c r="M2044">
        <v>1</v>
      </c>
      <c r="N2044">
        <v>0.99151500000000004</v>
      </c>
    </row>
    <row r="2045" spans="1:14" x14ac:dyDescent="0.35">
      <c r="A2045" s="156" t="s">
        <v>542</v>
      </c>
      <c r="B2045" s="52">
        <v>45600</v>
      </c>
      <c r="C2045" s="156" t="s">
        <v>531</v>
      </c>
      <c r="D2045" s="156" t="s">
        <v>531</v>
      </c>
      <c r="E2045">
        <v>3397232</v>
      </c>
      <c r="F2045">
        <v>404224.93329999998</v>
      </c>
      <c r="G2045">
        <v>118.9444</v>
      </c>
      <c r="H2045">
        <v>0.99228099999999997</v>
      </c>
      <c r="I2045">
        <v>1</v>
      </c>
      <c r="J2045" s="156">
        <v>1</v>
      </c>
      <c r="K2045">
        <v>1</v>
      </c>
      <c r="L2045">
        <v>1</v>
      </c>
      <c r="M2045">
        <v>1</v>
      </c>
      <c r="N2045">
        <v>0.99228099999999997</v>
      </c>
    </row>
    <row r="2046" spans="1:14" x14ac:dyDescent="0.35">
      <c r="A2046" s="156" t="s">
        <v>542</v>
      </c>
      <c r="B2046" s="52">
        <v>45601</v>
      </c>
      <c r="C2046" s="156" t="s">
        <v>531</v>
      </c>
      <c r="D2046" s="156" t="s">
        <v>531</v>
      </c>
      <c r="E2046">
        <v>2243752</v>
      </c>
      <c r="F2046">
        <v>268559.78240000003</v>
      </c>
      <c r="G2046">
        <v>119.697</v>
      </c>
      <c r="H2046">
        <v>1.0141199999999999</v>
      </c>
      <c r="I2046">
        <v>1</v>
      </c>
      <c r="J2046" s="156">
        <v>1</v>
      </c>
      <c r="K2046">
        <v>1</v>
      </c>
      <c r="L2046">
        <v>1</v>
      </c>
      <c r="M2046">
        <v>1</v>
      </c>
      <c r="N2046">
        <v>1.0141199999999999</v>
      </c>
    </row>
    <row r="2047" spans="1:14" x14ac:dyDescent="0.35">
      <c r="A2047" s="156" t="s">
        <v>542</v>
      </c>
      <c r="B2047" s="52">
        <v>45602</v>
      </c>
      <c r="C2047" s="156" t="s">
        <v>531</v>
      </c>
      <c r="D2047" s="156" t="s">
        <v>531</v>
      </c>
      <c r="E2047">
        <v>3891103</v>
      </c>
      <c r="F2047">
        <v>482943.15909999999</v>
      </c>
      <c r="G2047">
        <v>124.1707</v>
      </c>
      <c r="H2047">
        <v>1.0406040000000001</v>
      </c>
      <c r="I2047">
        <v>1</v>
      </c>
      <c r="J2047" s="156">
        <v>1</v>
      </c>
      <c r="K2047">
        <v>1</v>
      </c>
      <c r="L2047">
        <v>1</v>
      </c>
      <c r="M2047">
        <v>1</v>
      </c>
      <c r="N2047">
        <v>1.0406040000000001</v>
      </c>
    </row>
    <row r="2048" spans="1:14" x14ac:dyDescent="0.35">
      <c r="A2048" s="156" t="s">
        <v>542</v>
      </c>
      <c r="B2048" s="52">
        <v>45603</v>
      </c>
      <c r="C2048" s="156" t="s">
        <v>531</v>
      </c>
      <c r="D2048" s="156" t="s">
        <v>531</v>
      </c>
      <c r="E2048">
        <v>8526493</v>
      </c>
      <c r="F2048">
        <v>1106192.1359000001</v>
      </c>
      <c r="G2048">
        <v>129.62979999999999</v>
      </c>
      <c r="H2048">
        <v>1.0618540000000001</v>
      </c>
      <c r="I2048">
        <v>1</v>
      </c>
      <c r="J2048" s="156">
        <v>1</v>
      </c>
      <c r="K2048">
        <v>1</v>
      </c>
      <c r="L2048">
        <v>1</v>
      </c>
      <c r="M2048">
        <v>1</v>
      </c>
      <c r="N2048">
        <v>1.0618540000000001</v>
      </c>
    </row>
    <row r="2049" spans="1:14" x14ac:dyDescent="0.35">
      <c r="A2049" s="156" t="s">
        <v>542</v>
      </c>
      <c r="B2049" s="52">
        <v>45604</v>
      </c>
      <c r="C2049" s="156" t="s">
        <v>531</v>
      </c>
      <c r="D2049" s="156" t="s">
        <v>531</v>
      </c>
      <c r="E2049">
        <v>13646214</v>
      </c>
      <c r="F2049">
        <v>1670942.1344999999</v>
      </c>
      <c r="G2049">
        <v>122.3997</v>
      </c>
      <c r="H2049">
        <v>0.944164</v>
      </c>
      <c r="I2049">
        <v>1</v>
      </c>
      <c r="J2049" s="156">
        <v>1</v>
      </c>
      <c r="K2049">
        <v>1</v>
      </c>
      <c r="L2049">
        <v>1</v>
      </c>
      <c r="M2049">
        <v>1</v>
      </c>
      <c r="N2049">
        <v>0.944164</v>
      </c>
    </row>
    <row r="2050" spans="1:14" x14ac:dyDescent="0.35">
      <c r="A2050" s="156" t="s">
        <v>542</v>
      </c>
      <c r="B2050" s="52">
        <v>45607</v>
      </c>
      <c r="C2050" s="156" t="s">
        <v>531</v>
      </c>
      <c r="D2050" s="156" t="s">
        <v>531</v>
      </c>
      <c r="E2050">
        <v>6755611</v>
      </c>
      <c r="F2050">
        <v>870994.84160000004</v>
      </c>
      <c r="G2050">
        <v>128.91720000000001</v>
      </c>
      <c r="H2050">
        <v>1.0336449999999999</v>
      </c>
      <c r="I2050">
        <v>1</v>
      </c>
      <c r="J2050" s="156">
        <v>1</v>
      </c>
      <c r="K2050">
        <v>1</v>
      </c>
      <c r="L2050">
        <v>1</v>
      </c>
      <c r="M2050">
        <v>1</v>
      </c>
      <c r="N2050">
        <v>1.0336449999999999</v>
      </c>
    </row>
    <row r="2051" spans="1:14" x14ac:dyDescent="0.35">
      <c r="A2051" s="156" t="s">
        <v>542</v>
      </c>
      <c r="B2051" s="52">
        <v>45608</v>
      </c>
      <c r="C2051" s="156" t="s">
        <v>531</v>
      </c>
      <c r="D2051" s="156" t="s">
        <v>531</v>
      </c>
      <c r="E2051">
        <v>3241130</v>
      </c>
      <c r="F2051">
        <v>422989.80450000003</v>
      </c>
      <c r="G2051">
        <v>130.548</v>
      </c>
      <c r="H2051">
        <v>1.014381</v>
      </c>
      <c r="I2051">
        <v>1</v>
      </c>
      <c r="J2051" s="156">
        <v>1</v>
      </c>
      <c r="K2051">
        <v>1</v>
      </c>
      <c r="L2051">
        <v>1</v>
      </c>
      <c r="M2051">
        <v>1</v>
      </c>
      <c r="N2051">
        <v>1.014381</v>
      </c>
    </row>
    <row r="2052" spans="1:14" x14ac:dyDescent="0.35">
      <c r="A2052" s="156" t="s">
        <v>542</v>
      </c>
      <c r="B2052" s="52">
        <v>45609</v>
      </c>
      <c r="C2052" s="156" t="s">
        <v>531</v>
      </c>
      <c r="D2052" s="156" t="s">
        <v>531</v>
      </c>
      <c r="E2052">
        <v>4263464</v>
      </c>
      <c r="F2052">
        <v>550193.03619999997</v>
      </c>
      <c r="G2052">
        <v>128.9896</v>
      </c>
      <c r="H2052">
        <v>0.96989300000000001</v>
      </c>
      <c r="I2052">
        <v>1</v>
      </c>
      <c r="J2052" s="156">
        <v>1</v>
      </c>
      <c r="K2052">
        <v>1</v>
      </c>
      <c r="L2052">
        <v>1</v>
      </c>
      <c r="M2052">
        <v>1</v>
      </c>
      <c r="N2052">
        <v>0.96989300000000001</v>
      </c>
    </row>
    <row r="2053" spans="1:14" x14ac:dyDescent="0.35">
      <c r="A2053" s="156" t="s">
        <v>542</v>
      </c>
      <c r="B2053" s="52">
        <v>45610</v>
      </c>
      <c r="C2053" s="156" t="s">
        <v>531</v>
      </c>
      <c r="D2053" s="156" t="s">
        <v>531</v>
      </c>
      <c r="E2053">
        <v>2680509</v>
      </c>
      <c r="F2053">
        <v>336478.3248</v>
      </c>
      <c r="G2053">
        <v>125.5271</v>
      </c>
      <c r="H2053">
        <v>0.98923399999999995</v>
      </c>
      <c r="I2053">
        <v>1</v>
      </c>
      <c r="J2053" s="156">
        <v>1</v>
      </c>
      <c r="K2053">
        <v>1</v>
      </c>
      <c r="L2053">
        <v>1</v>
      </c>
      <c r="M2053">
        <v>1</v>
      </c>
      <c r="N2053">
        <v>0.98923399999999995</v>
      </c>
    </row>
    <row r="2054" spans="1:14" x14ac:dyDescent="0.35">
      <c r="A2054" s="156" t="s">
        <v>542</v>
      </c>
      <c r="B2054" s="52">
        <v>45611</v>
      </c>
      <c r="C2054" s="156" t="s">
        <v>531</v>
      </c>
      <c r="D2054" s="156" t="s">
        <v>531</v>
      </c>
      <c r="E2054">
        <v>5125070</v>
      </c>
      <c r="F2054">
        <v>612055.46959999995</v>
      </c>
      <c r="G2054">
        <v>119.438</v>
      </c>
      <c r="H2054">
        <v>0.93859199999999998</v>
      </c>
      <c r="I2054">
        <v>1</v>
      </c>
      <c r="J2054" s="156">
        <v>1</v>
      </c>
      <c r="K2054">
        <v>1</v>
      </c>
      <c r="L2054">
        <v>1</v>
      </c>
      <c r="M2054">
        <v>1</v>
      </c>
      <c r="N2054">
        <v>0.93859199999999998</v>
      </c>
    </row>
    <row r="2055" spans="1:14" x14ac:dyDescent="0.35">
      <c r="A2055" s="156" t="s">
        <v>542</v>
      </c>
      <c r="B2055" s="52">
        <v>45614</v>
      </c>
      <c r="C2055" s="156" t="s">
        <v>531</v>
      </c>
      <c r="D2055" s="156" t="s">
        <v>531</v>
      </c>
      <c r="E2055">
        <v>4681551</v>
      </c>
      <c r="F2055">
        <v>549917.61129999999</v>
      </c>
      <c r="G2055">
        <v>117.4589</v>
      </c>
      <c r="H2055">
        <v>0.99246699999999999</v>
      </c>
      <c r="I2055">
        <v>1</v>
      </c>
      <c r="J2055" s="156">
        <v>1</v>
      </c>
      <c r="K2055">
        <v>1</v>
      </c>
      <c r="L2055">
        <v>1</v>
      </c>
      <c r="M2055">
        <v>1</v>
      </c>
      <c r="N2055">
        <v>0.99246699999999999</v>
      </c>
    </row>
    <row r="2056" spans="1:14" x14ac:dyDescent="0.35">
      <c r="A2056" s="156" t="s">
        <v>542</v>
      </c>
      <c r="B2056" s="52">
        <v>45615</v>
      </c>
      <c r="C2056" s="156" t="s">
        <v>531</v>
      </c>
      <c r="D2056" s="156" t="s">
        <v>531</v>
      </c>
      <c r="E2056">
        <v>3757797</v>
      </c>
      <c r="F2056">
        <v>446169.7476</v>
      </c>
      <c r="G2056">
        <v>118.7007</v>
      </c>
      <c r="H2056">
        <v>1.018421</v>
      </c>
      <c r="I2056">
        <v>1</v>
      </c>
      <c r="J2056" s="156">
        <v>1</v>
      </c>
      <c r="K2056">
        <v>1</v>
      </c>
      <c r="L2056">
        <v>1</v>
      </c>
      <c r="M2056">
        <v>1</v>
      </c>
      <c r="N2056">
        <v>1.018421</v>
      </c>
    </row>
    <row r="2057" spans="1:14" x14ac:dyDescent="0.35">
      <c r="A2057" s="156" t="s">
        <v>542</v>
      </c>
      <c r="B2057" s="52">
        <v>45616</v>
      </c>
      <c r="C2057" s="156" t="s">
        <v>531</v>
      </c>
      <c r="D2057" s="156" t="s">
        <v>531</v>
      </c>
      <c r="E2057">
        <v>5988391</v>
      </c>
      <c r="F2057">
        <v>741411.51199999999</v>
      </c>
      <c r="G2057">
        <v>123.7914</v>
      </c>
      <c r="H2057">
        <v>1.037515</v>
      </c>
      <c r="I2057">
        <v>1</v>
      </c>
      <c r="J2057" s="156">
        <v>1</v>
      </c>
      <c r="K2057">
        <v>1</v>
      </c>
      <c r="L2057">
        <v>1</v>
      </c>
      <c r="M2057">
        <v>1</v>
      </c>
      <c r="N2057">
        <v>1.037515</v>
      </c>
    </row>
    <row r="2058" spans="1:14" x14ac:dyDescent="0.35">
      <c r="A2058" s="156" t="s">
        <v>542</v>
      </c>
      <c r="B2058" s="52">
        <v>45617</v>
      </c>
      <c r="C2058" s="156" t="s">
        <v>531</v>
      </c>
      <c r="D2058" s="156" t="s">
        <v>531</v>
      </c>
      <c r="E2058">
        <v>4378121</v>
      </c>
      <c r="F2058">
        <v>554344.06099999999</v>
      </c>
      <c r="G2058">
        <v>126.6011</v>
      </c>
      <c r="H2058">
        <v>1.0278449999999999</v>
      </c>
      <c r="I2058">
        <v>1</v>
      </c>
      <c r="J2058" s="156">
        <v>1</v>
      </c>
      <c r="K2058">
        <v>1</v>
      </c>
      <c r="L2058">
        <v>1</v>
      </c>
      <c r="M2058">
        <v>1</v>
      </c>
      <c r="N2058">
        <v>1.0278449999999999</v>
      </c>
    </row>
    <row r="2059" spans="1:14" x14ac:dyDescent="0.35">
      <c r="A2059" s="156" t="s">
        <v>542</v>
      </c>
      <c r="B2059" s="52">
        <v>45618</v>
      </c>
      <c r="C2059" s="156" t="s">
        <v>531</v>
      </c>
      <c r="D2059" s="156" t="s">
        <v>531</v>
      </c>
      <c r="E2059">
        <v>3683440</v>
      </c>
      <c r="F2059">
        <v>473599.28029999998</v>
      </c>
      <c r="G2059">
        <v>128.5839</v>
      </c>
      <c r="H2059">
        <v>1.0184530000000001</v>
      </c>
      <c r="I2059">
        <v>1</v>
      </c>
      <c r="J2059" s="156">
        <v>1</v>
      </c>
      <c r="K2059">
        <v>1</v>
      </c>
      <c r="L2059">
        <v>1</v>
      </c>
      <c r="M2059">
        <v>1</v>
      </c>
      <c r="N2059">
        <v>1.0184530000000001</v>
      </c>
    </row>
    <row r="2060" spans="1:14" x14ac:dyDescent="0.35">
      <c r="A2060" s="156" t="s">
        <v>542</v>
      </c>
      <c r="B2060" s="52">
        <v>45621</v>
      </c>
      <c r="C2060" s="156" t="s">
        <v>531</v>
      </c>
      <c r="D2060" s="156" t="s">
        <v>531</v>
      </c>
      <c r="E2060">
        <v>5323217</v>
      </c>
      <c r="F2060">
        <v>690573.52399999998</v>
      </c>
      <c r="G2060">
        <v>129.72790000000001</v>
      </c>
      <c r="H2060">
        <v>0.99730099999999999</v>
      </c>
      <c r="I2060">
        <v>1</v>
      </c>
      <c r="J2060" s="156">
        <v>1</v>
      </c>
      <c r="K2060">
        <v>1</v>
      </c>
      <c r="L2060">
        <v>1</v>
      </c>
      <c r="M2060">
        <v>1</v>
      </c>
      <c r="N2060">
        <v>0.99730099999999999</v>
      </c>
    </row>
    <row r="2061" spans="1:14" x14ac:dyDescent="0.35">
      <c r="A2061" s="156" t="s">
        <v>542</v>
      </c>
      <c r="B2061" s="52">
        <v>45622</v>
      </c>
      <c r="C2061" s="156" t="s">
        <v>531</v>
      </c>
      <c r="D2061" s="156" t="s">
        <v>531</v>
      </c>
      <c r="E2061">
        <v>3505521</v>
      </c>
      <c r="F2061">
        <v>455440.56060000003</v>
      </c>
      <c r="G2061">
        <v>129.93360000000001</v>
      </c>
      <c r="H2061">
        <v>0.99714000000000003</v>
      </c>
      <c r="I2061">
        <v>1</v>
      </c>
      <c r="J2061" s="156">
        <v>1</v>
      </c>
      <c r="K2061">
        <v>1</v>
      </c>
      <c r="L2061">
        <v>1</v>
      </c>
      <c r="M2061">
        <v>1</v>
      </c>
      <c r="N2061">
        <v>0.99714000000000003</v>
      </c>
    </row>
    <row r="2062" spans="1:14" x14ac:dyDescent="0.35">
      <c r="A2062" s="156" t="s">
        <v>542</v>
      </c>
      <c r="B2062" s="52">
        <v>45623</v>
      </c>
      <c r="C2062" s="156" t="s">
        <v>531</v>
      </c>
      <c r="D2062" s="156" t="s">
        <v>531</v>
      </c>
      <c r="E2062">
        <v>2944994</v>
      </c>
      <c r="F2062">
        <v>374471.21389999997</v>
      </c>
      <c r="G2062">
        <v>127.14919999999999</v>
      </c>
      <c r="H2062">
        <v>0.99356500000000003</v>
      </c>
      <c r="I2062">
        <v>1</v>
      </c>
      <c r="J2062" s="156">
        <v>1</v>
      </c>
      <c r="K2062">
        <v>1</v>
      </c>
      <c r="L2062">
        <v>1</v>
      </c>
      <c r="M2062">
        <v>1</v>
      </c>
      <c r="N2062">
        <v>0.99356500000000003</v>
      </c>
    </row>
    <row r="2063" spans="1:14" x14ac:dyDescent="0.35">
      <c r="A2063" s="156" t="s">
        <v>542</v>
      </c>
      <c r="B2063" s="52">
        <v>45625</v>
      </c>
      <c r="C2063" s="156" t="s">
        <v>531</v>
      </c>
      <c r="D2063" s="156" t="s">
        <v>531</v>
      </c>
      <c r="E2063">
        <v>2214242</v>
      </c>
      <c r="F2063">
        <v>284471.21669999999</v>
      </c>
      <c r="G2063">
        <v>128.4795</v>
      </c>
      <c r="H2063">
        <v>1.0031209999999999</v>
      </c>
      <c r="I2063">
        <v>1</v>
      </c>
      <c r="J2063" s="156">
        <v>1</v>
      </c>
      <c r="K2063">
        <v>1</v>
      </c>
      <c r="L2063">
        <v>1</v>
      </c>
      <c r="M2063">
        <v>1</v>
      </c>
      <c r="N2063">
        <v>1.0031209999999999</v>
      </c>
    </row>
    <row r="2064" spans="1:14" x14ac:dyDescent="0.35">
      <c r="A2064" s="156" t="s">
        <v>542</v>
      </c>
      <c r="B2064" s="52">
        <v>45628</v>
      </c>
      <c r="C2064" s="156" t="s">
        <v>531</v>
      </c>
      <c r="D2064" s="156" t="s">
        <v>531</v>
      </c>
      <c r="E2064">
        <v>5673488</v>
      </c>
      <c r="F2064">
        <v>760710.88540000003</v>
      </c>
      <c r="G2064">
        <v>134.11439999999999</v>
      </c>
      <c r="H2064">
        <v>1.05142</v>
      </c>
      <c r="I2064">
        <v>1</v>
      </c>
      <c r="J2064" s="156">
        <v>1</v>
      </c>
      <c r="K2064">
        <v>1</v>
      </c>
      <c r="L2064">
        <v>1</v>
      </c>
      <c r="M2064">
        <v>1</v>
      </c>
      <c r="N2064">
        <v>1.05142</v>
      </c>
    </row>
    <row r="2065" spans="1:14" x14ac:dyDescent="0.35">
      <c r="A2065" s="156" t="s">
        <v>542</v>
      </c>
      <c r="B2065" s="52">
        <v>45629</v>
      </c>
      <c r="C2065" s="156" t="s">
        <v>531</v>
      </c>
      <c r="D2065" s="156" t="s">
        <v>531</v>
      </c>
      <c r="E2065">
        <v>3908293</v>
      </c>
      <c r="F2065">
        <v>538239.17249999999</v>
      </c>
      <c r="G2065">
        <v>137.77709999999999</v>
      </c>
      <c r="H2065">
        <v>1.029595</v>
      </c>
      <c r="I2065">
        <v>1</v>
      </c>
      <c r="J2065" s="156">
        <v>1</v>
      </c>
      <c r="K2065">
        <v>1</v>
      </c>
      <c r="L2065">
        <v>1</v>
      </c>
      <c r="M2065">
        <v>1</v>
      </c>
      <c r="N2065">
        <v>1.029595</v>
      </c>
    </row>
    <row r="2066" spans="1:14" x14ac:dyDescent="0.35">
      <c r="A2066" s="156" t="s">
        <v>542</v>
      </c>
      <c r="B2066" s="52">
        <v>45630</v>
      </c>
      <c r="C2066" s="156" t="s">
        <v>531</v>
      </c>
      <c r="D2066" s="156" t="s">
        <v>531</v>
      </c>
      <c r="E2066">
        <v>2940570</v>
      </c>
      <c r="F2066">
        <v>411270.77889999998</v>
      </c>
      <c r="G2066">
        <v>139.84309999999999</v>
      </c>
      <c r="H2066">
        <v>1.002515</v>
      </c>
      <c r="I2066">
        <v>1</v>
      </c>
      <c r="J2066" s="156">
        <v>1</v>
      </c>
      <c r="K2066">
        <v>1</v>
      </c>
      <c r="L2066">
        <v>1</v>
      </c>
      <c r="M2066">
        <v>1</v>
      </c>
      <c r="N2066">
        <v>1.002515</v>
      </c>
    </row>
    <row r="2067" spans="1:14" x14ac:dyDescent="0.35">
      <c r="A2067" s="156" t="s">
        <v>542</v>
      </c>
      <c r="B2067" s="52">
        <v>45631</v>
      </c>
      <c r="C2067" s="156" t="s">
        <v>531</v>
      </c>
      <c r="D2067" s="156" t="s">
        <v>531</v>
      </c>
      <c r="E2067">
        <v>3763983</v>
      </c>
      <c r="F2067">
        <v>515433.16690000001</v>
      </c>
      <c r="G2067">
        <v>136.88489999999999</v>
      </c>
      <c r="H2067">
        <v>0.97742099999999998</v>
      </c>
      <c r="I2067">
        <v>1</v>
      </c>
      <c r="J2067" s="156">
        <v>1</v>
      </c>
      <c r="K2067">
        <v>1</v>
      </c>
      <c r="L2067">
        <v>1</v>
      </c>
      <c r="M2067">
        <v>1</v>
      </c>
      <c r="N2067">
        <v>0.97742099999999998</v>
      </c>
    </row>
    <row r="2068" spans="1:14" x14ac:dyDescent="0.35">
      <c r="A2068" s="156" t="s">
        <v>542</v>
      </c>
      <c r="B2068" s="52">
        <v>45632</v>
      </c>
      <c r="C2068" s="156" t="s">
        <v>531</v>
      </c>
      <c r="D2068" s="156" t="s">
        <v>531</v>
      </c>
      <c r="E2068">
        <v>3242071</v>
      </c>
      <c r="F2068">
        <v>448719.18320000003</v>
      </c>
      <c r="G2068">
        <v>138.4479</v>
      </c>
      <c r="H2068">
        <v>1.020167</v>
      </c>
      <c r="I2068">
        <v>1</v>
      </c>
      <c r="J2068" s="156">
        <v>1</v>
      </c>
      <c r="K2068">
        <v>1</v>
      </c>
      <c r="L2068">
        <v>1</v>
      </c>
      <c r="M2068">
        <v>1</v>
      </c>
      <c r="N2068">
        <v>1.020167</v>
      </c>
    </row>
    <row r="2069" spans="1:14" x14ac:dyDescent="0.35">
      <c r="A2069" s="156" t="s">
        <v>542</v>
      </c>
      <c r="B2069" s="52">
        <v>45635</v>
      </c>
      <c r="C2069" s="156" t="s">
        <v>531</v>
      </c>
      <c r="D2069" s="156" t="s">
        <v>531</v>
      </c>
      <c r="E2069">
        <v>4523724</v>
      </c>
      <c r="F2069">
        <v>608889.68929999997</v>
      </c>
      <c r="G2069">
        <v>134.6448</v>
      </c>
      <c r="H2069">
        <v>0.96880200000000005</v>
      </c>
      <c r="I2069">
        <v>1</v>
      </c>
      <c r="J2069" s="156">
        <v>1</v>
      </c>
      <c r="K2069">
        <v>1</v>
      </c>
      <c r="L2069">
        <v>1</v>
      </c>
      <c r="M2069">
        <v>1</v>
      </c>
      <c r="N2069">
        <v>0.96880200000000005</v>
      </c>
    </row>
    <row r="2070" spans="1:14" x14ac:dyDescent="0.35">
      <c r="A2070" s="156" t="s">
        <v>542</v>
      </c>
      <c r="B2070" s="52">
        <v>45636</v>
      </c>
      <c r="C2070" s="156" t="s">
        <v>531</v>
      </c>
      <c r="D2070" s="156" t="s">
        <v>531</v>
      </c>
      <c r="E2070">
        <v>3869020</v>
      </c>
      <c r="F2070">
        <v>514380.1764</v>
      </c>
      <c r="G2070">
        <v>132.91059999999999</v>
      </c>
      <c r="H2070">
        <v>0.984344</v>
      </c>
      <c r="I2070">
        <v>1</v>
      </c>
      <c r="J2070" s="156">
        <v>1</v>
      </c>
      <c r="K2070">
        <v>1</v>
      </c>
      <c r="L2070">
        <v>1</v>
      </c>
      <c r="M2070">
        <v>1</v>
      </c>
      <c r="N2070">
        <v>0.984344</v>
      </c>
    </row>
    <row r="2071" spans="1:14" x14ac:dyDescent="0.35">
      <c r="A2071" s="156" t="s">
        <v>542</v>
      </c>
      <c r="B2071" s="52">
        <v>45637</v>
      </c>
      <c r="C2071" s="156" t="s">
        <v>531</v>
      </c>
      <c r="D2071" s="156" t="s">
        <v>531</v>
      </c>
      <c r="E2071">
        <v>2743713</v>
      </c>
      <c r="F2071">
        <v>368004.424</v>
      </c>
      <c r="G2071">
        <v>134.12870000000001</v>
      </c>
      <c r="H2071">
        <v>1.0108550000000001</v>
      </c>
      <c r="I2071">
        <v>1</v>
      </c>
      <c r="J2071" s="156">
        <v>1</v>
      </c>
      <c r="K2071">
        <v>1</v>
      </c>
      <c r="L2071">
        <v>1</v>
      </c>
      <c r="M2071">
        <v>1</v>
      </c>
      <c r="N2071">
        <v>1.0108550000000001</v>
      </c>
    </row>
    <row r="2072" spans="1:14" x14ac:dyDescent="0.35">
      <c r="A2072" s="156" t="s">
        <v>542</v>
      </c>
      <c r="B2072" s="52">
        <v>45638</v>
      </c>
      <c r="C2072" s="156" t="s">
        <v>531</v>
      </c>
      <c r="D2072" s="156" t="s">
        <v>531</v>
      </c>
      <c r="E2072">
        <v>2663982</v>
      </c>
      <c r="F2072">
        <v>356145.2181</v>
      </c>
      <c r="G2072">
        <v>133.6858</v>
      </c>
      <c r="H2072">
        <v>0.99604800000000004</v>
      </c>
      <c r="I2072">
        <v>1</v>
      </c>
      <c r="J2072" s="156">
        <v>1</v>
      </c>
      <c r="K2072">
        <v>1</v>
      </c>
      <c r="L2072">
        <v>1</v>
      </c>
      <c r="M2072">
        <v>1</v>
      </c>
      <c r="N2072">
        <v>0.99604800000000004</v>
      </c>
    </row>
    <row r="2073" spans="1:14" x14ac:dyDescent="0.35">
      <c r="A2073" s="156" t="s">
        <v>542</v>
      </c>
      <c r="B2073" s="52">
        <v>45639</v>
      </c>
      <c r="C2073" s="156" t="s">
        <v>531</v>
      </c>
      <c r="D2073" s="156" t="s">
        <v>531</v>
      </c>
      <c r="E2073">
        <v>3166496</v>
      </c>
      <c r="F2073">
        <v>419677.5197</v>
      </c>
      <c r="G2073">
        <v>132.53219999999999</v>
      </c>
      <c r="H2073">
        <v>0.99138999999999999</v>
      </c>
      <c r="I2073">
        <v>1</v>
      </c>
      <c r="J2073" s="156">
        <v>1</v>
      </c>
      <c r="K2073">
        <v>1</v>
      </c>
      <c r="L2073">
        <v>1</v>
      </c>
      <c r="M2073">
        <v>1</v>
      </c>
      <c r="N2073">
        <v>0.99138999999999999</v>
      </c>
    </row>
    <row r="2074" spans="1:14" x14ac:dyDescent="0.35">
      <c r="A2074" s="156" t="s">
        <v>542</v>
      </c>
      <c r="B2074" s="52">
        <v>45642</v>
      </c>
      <c r="C2074" s="156" t="s">
        <v>531</v>
      </c>
      <c r="D2074" s="156" t="s">
        <v>531</v>
      </c>
      <c r="E2074">
        <v>3731677</v>
      </c>
      <c r="F2074">
        <v>494447.6519</v>
      </c>
      <c r="G2074">
        <v>132.5172</v>
      </c>
      <c r="H2074">
        <v>1.0017370000000001</v>
      </c>
      <c r="I2074">
        <v>1</v>
      </c>
      <c r="J2074" s="156">
        <v>1</v>
      </c>
      <c r="K2074">
        <v>1</v>
      </c>
      <c r="L2074">
        <v>1</v>
      </c>
      <c r="M2074">
        <v>1</v>
      </c>
      <c r="N2074">
        <v>1.0017370000000001</v>
      </c>
    </row>
    <row r="2075" spans="1:14" x14ac:dyDescent="0.35">
      <c r="A2075" s="156" t="s">
        <v>542</v>
      </c>
      <c r="B2075" s="52">
        <v>45643</v>
      </c>
      <c r="C2075" s="156" t="s">
        <v>531</v>
      </c>
      <c r="D2075" s="156" t="s">
        <v>531</v>
      </c>
      <c r="E2075">
        <v>4719630</v>
      </c>
      <c r="F2075">
        <v>634968.87300000002</v>
      </c>
      <c r="G2075">
        <v>134.51650000000001</v>
      </c>
      <c r="H2075">
        <v>1.0178670000000001</v>
      </c>
      <c r="I2075">
        <v>1</v>
      </c>
      <c r="J2075" s="156">
        <v>1</v>
      </c>
      <c r="K2075">
        <v>1</v>
      </c>
      <c r="L2075">
        <v>1</v>
      </c>
      <c r="M2075">
        <v>1</v>
      </c>
      <c r="N2075">
        <v>1.0178670000000001</v>
      </c>
    </row>
    <row r="2076" spans="1:14" x14ac:dyDescent="0.35">
      <c r="A2076" s="156" t="s">
        <v>542</v>
      </c>
      <c r="B2076" s="52">
        <v>45644</v>
      </c>
      <c r="C2076" s="156" t="s">
        <v>531</v>
      </c>
      <c r="D2076" s="156" t="s">
        <v>531</v>
      </c>
      <c r="E2076">
        <v>5437954</v>
      </c>
      <c r="F2076">
        <v>706466.527</v>
      </c>
      <c r="G2076">
        <v>129.60480000000001</v>
      </c>
      <c r="H2076">
        <v>0.94748900000000003</v>
      </c>
      <c r="I2076">
        <v>1</v>
      </c>
      <c r="J2076" s="156">
        <v>1</v>
      </c>
      <c r="K2076">
        <v>1</v>
      </c>
      <c r="L2076">
        <v>1</v>
      </c>
      <c r="M2076">
        <v>1</v>
      </c>
      <c r="N2076">
        <v>0.94748900000000003</v>
      </c>
    </row>
    <row r="2077" spans="1:14" x14ac:dyDescent="0.35">
      <c r="A2077" s="156" t="s">
        <v>542</v>
      </c>
      <c r="B2077" s="52">
        <v>45645</v>
      </c>
      <c r="C2077" s="156" t="s">
        <v>531</v>
      </c>
      <c r="D2077" s="156" t="s">
        <v>531</v>
      </c>
      <c r="E2077">
        <v>4225211</v>
      </c>
      <c r="F2077">
        <v>536854.34380000003</v>
      </c>
      <c r="G2077">
        <v>126.9986</v>
      </c>
      <c r="H2077">
        <v>0.986711</v>
      </c>
      <c r="I2077">
        <v>1</v>
      </c>
      <c r="J2077" s="156">
        <v>1</v>
      </c>
      <c r="K2077">
        <v>1</v>
      </c>
      <c r="L2077">
        <v>1</v>
      </c>
      <c r="M2077">
        <v>1</v>
      </c>
      <c r="N2077">
        <v>0.986711</v>
      </c>
    </row>
    <row r="2078" spans="1:14" x14ac:dyDescent="0.35">
      <c r="A2078" s="156" t="s">
        <v>542</v>
      </c>
      <c r="B2078" s="52">
        <v>45646</v>
      </c>
      <c r="C2078" s="156" t="s">
        <v>531</v>
      </c>
      <c r="D2078" s="156" t="s">
        <v>531</v>
      </c>
      <c r="E2078">
        <v>6300585</v>
      </c>
      <c r="F2078">
        <v>787746.75139999995</v>
      </c>
      <c r="G2078">
        <v>124.99679999999999</v>
      </c>
      <c r="H2078">
        <v>0.99033499999999997</v>
      </c>
      <c r="I2078">
        <v>1</v>
      </c>
      <c r="J2078" s="156">
        <v>1</v>
      </c>
      <c r="K2078">
        <v>1</v>
      </c>
      <c r="L2078">
        <v>1</v>
      </c>
      <c r="M2078">
        <v>1</v>
      </c>
      <c r="N2078">
        <v>0.99033499999999997</v>
      </c>
    </row>
    <row r="2079" spans="1:14" x14ac:dyDescent="0.35">
      <c r="A2079" s="156" t="s">
        <v>542</v>
      </c>
      <c r="B2079" s="52">
        <v>45649</v>
      </c>
      <c r="C2079" s="156" t="s">
        <v>531</v>
      </c>
      <c r="D2079" s="156" t="s">
        <v>531</v>
      </c>
      <c r="E2079">
        <v>2803554</v>
      </c>
      <c r="F2079">
        <v>343104.9277</v>
      </c>
      <c r="G2079">
        <v>122.34050000000001</v>
      </c>
      <c r="H2079">
        <v>0.97328199999999998</v>
      </c>
      <c r="I2079">
        <v>1</v>
      </c>
      <c r="J2079" s="156">
        <v>1</v>
      </c>
      <c r="K2079">
        <v>1</v>
      </c>
      <c r="L2079">
        <v>1</v>
      </c>
      <c r="M2079">
        <v>1</v>
      </c>
      <c r="N2079">
        <v>0.97328199999999998</v>
      </c>
    </row>
    <row r="2080" spans="1:14" x14ac:dyDescent="0.35">
      <c r="A2080" s="156" t="s">
        <v>542</v>
      </c>
      <c r="B2080" s="52">
        <v>45650</v>
      </c>
      <c r="C2080" s="156" t="s">
        <v>531</v>
      </c>
      <c r="D2080" s="156" t="s">
        <v>531</v>
      </c>
      <c r="E2080">
        <v>1388678</v>
      </c>
      <c r="F2080">
        <v>170860.60339999999</v>
      </c>
      <c r="G2080">
        <v>123.08580000000001</v>
      </c>
      <c r="H2080">
        <v>1.018821</v>
      </c>
      <c r="I2080">
        <v>1</v>
      </c>
      <c r="J2080" s="156">
        <v>1</v>
      </c>
      <c r="K2080">
        <v>1</v>
      </c>
      <c r="L2080">
        <v>1</v>
      </c>
      <c r="M2080">
        <v>1</v>
      </c>
      <c r="N2080">
        <v>1.018821</v>
      </c>
    </row>
    <row r="2081" spans="1:14" x14ac:dyDescent="0.35">
      <c r="A2081" s="156" t="s">
        <v>542</v>
      </c>
      <c r="B2081" s="52">
        <v>45652</v>
      </c>
      <c r="C2081" s="156" t="s">
        <v>531</v>
      </c>
      <c r="D2081" s="156" t="s">
        <v>531</v>
      </c>
      <c r="E2081">
        <v>1315263</v>
      </c>
      <c r="F2081">
        <v>162579.84580000001</v>
      </c>
      <c r="G2081">
        <v>123.5844</v>
      </c>
      <c r="H2081">
        <v>0.99596600000000002</v>
      </c>
      <c r="I2081">
        <v>1</v>
      </c>
      <c r="J2081" s="156">
        <v>1</v>
      </c>
      <c r="K2081">
        <v>1</v>
      </c>
      <c r="L2081">
        <v>1</v>
      </c>
      <c r="M2081">
        <v>1</v>
      </c>
      <c r="N2081">
        <v>0.99596600000000002</v>
      </c>
    </row>
    <row r="2082" spans="1:14" x14ac:dyDescent="0.35">
      <c r="A2082" s="156" t="s">
        <v>542</v>
      </c>
      <c r="B2082" s="52">
        <v>45653</v>
      </c>
      <c r="C2082" s="156" t="s">
        <v>531</v>
      </c>
      <c r="D2082" s="156" t="s">
        <v>531</v>
      </c>
      <c r="E2082">
        <v>2125899</v>
      </c>
      <c r="F2082">
        <v>257274.3841</v>
      </c>
      <c r="G2082">
        <v>121.04170000000001</v>
      </c>
      <c r="H2082">
        <v>0.98323300000000002</v>
      </c>
      <c r="I2082">
        <v>1</v>
      </c>
      <c r="J2082" s="156">
        <v>1</v>
      </c>
      <c r="K2082">
        <v>1</v>
      </c>
      <c r="L2082">
        <v>1</v>
      </c>
      <c r="M2082">
        <v>1</v>
      </c>
      <c r="N2082">
        <v>0.98323300000000002</v>
      </c>
    </row>
    <row r="2083" spans="1:14" x14ac:dyDescent="0.35">
      <c r="A2083" s="156" t="s">
        <v>542</v>
      </c>
      <c r="B2083" s="52">
        <v>45656</v>
      </c>
      <c r="C2083" s="156" t="s">
        <v>531</v>
      </c>
      <c r="D2083" s="156" t="s">
        <v>531</v>
      </c>
      <c r="E2083">
        <v>2499069</v>
      </c>
      <c r="F2083">
        <v>299838.04979999998</v>
      </c>
      <c r="G2083">
        <v>119.98269999999999</v>
      </c>
      <c r="H2083">
        <v>0.98995</v>
      </c>
      <c r="I2083">
        <v>1</v>
      </c>
      <c r="J2083" s="156">
        <v>1</v>
      </c>
      <c r="K2083">
        <v>1</v>
      </c>
      <c r="L2083">
        <v>1</v>
      </c>
      <c r="M2083">
        <v>1</v>
      </c>
      <c r="N2083">
        <v>0.98995</v>
      </c>
    </row>
    <row r="2084" spans="1:14" x14ac:dyDescent="0.35">
      <c r="A2084" s="156" t="s">
        <v>542</v>
      </c>
      <c r="B2084" s="52">
        <v>45657</v>
      </c>
      <c r="C2084" s="156" t="s">
        <v>531</v>
      </c>
      <c r="D2084" s="156" t="s">
        <v>531</v>
      </c>
      <c r="E2084">
        <v>2423333</v>
      </c>
      <c r="F2084">
        <v>285905.18229999999</v>
      </c>
      <c r="G2084">
        <v>117.9327</v>
      </c>
      <c r="H2084">
        <v>0.97803099999999998</v>
      </c>
      <c r="I2084">
        <v>1</v>
      </c>
      <c r="J2084" s="156">
        <v>1</v>
      </c>
      <c r="K2084">
        <v>1</v>
      </c>
      <c r="L2084">
        <v>1</v>
      </c>
      <c r="M2084">
        <v>1</v>
      </c>
      <c r="N2084">
        <v>0.97803099999999998</v>
      </c>
    </row>
    <row r="2085" spans="1:14" x14ac:dyDescent="0.35">
      <c r="A2085" s="156" t="s">
        <v>542</v>
      </c>
      <c r="B2085" s="52">
        <v>45659</v>
      </c>
      <c r="C2085" s="156" t="s">
        <v>531</v>
      </c>
      <c r="D2085" s="156" t="s">
        <v>531</v>
      </c>
      <c r="E2085">
        <v>2244627</v>
      </c>
      <c r="F2085">
        <v>264767.78889999999</v>
      </c>
      <c r="G2085">
        <v>117.9539</v>
      </c>
      <c r="H2085">
        <v>1.0017020000000001</v>
      </c>
      <c r="I2085">
        <v>1</v>
      </c>
      <c r="J2085" s="156">
        <v>1</v>
      </c>
      <c r="K2085">
        <v>1</v>
      </c>
      <c r="L2085">
        <v>1</v>
      </c>
      <c r="M2085">
        <v>1</v>
      </c>
      <c r="N2085">
        <v>1.0017020000000001</v>
      </c>
    </row>
    <row r="2086" spans="1:14" x14ac:dyDescent="0.35">
      <c r="A2086" s="156" t="s">
        <v>542</v>
      </c>
      <c r="B2086" s="52">
        <v>45660</v>
      </c>
      <c r="C2086" s="156" t="s">
        <v>531</v>
      </c>
      <c r="D2086" s="156" t="s">
        <v>531</v>
      </c>
      <c r="E2086">
        <v>2499351</v>
      </c>
      <c r="F2086">
        <v>302383.01630000002</v>
      </c>
      <c r="G2086">
        <v>121.0492</v>
      </c>
      <c r="H2086">
        <v>1.03491</v>
      </c>
      <c r="I2086">
        <v>1</v>
      </c>
      <c r="J2086" s="156">
        <v>1</v>
      </c>
      <c r="K2086">
        <v>1</v>
      </c>
      <c r="L2086">
        <v>1</v>
      </c>
      <c r="M2086">
        <v>1</v>
      </c>
      <c r="N2086">
        <v>1.03491</v>
      </c>
    </row>
    <row r="2087" spans="1:14" x14ac:dyDescent="0.35">
      <c r="A2087" s="156" t="s">
        <v>542</v>
      </c>
      <c r="B2087" s="52">
        <v>45663</v>
      </c>
      <c r="C2087" s="156" t="s">
        <v>531</v>
      </c>
      <c r="D2087" s="156" t="s">
        <v>531</v>
      </c>
      <c r="E2087">
        <v>3901665</v>
      </c>
      <c r="F2087">
        <v>493084.90159999998</v>
      </c>
      <c r="G2087">
        <v>126.3587</v>
      </c>
      <c r="H2087">
        <v>1.0389029999999999</v>
      </c>
      <c r="I2087">
        <v>1</v>
      </c>
      <c r="J2087" s="156">
        <v>1</v>
      </c>
      <c r="K2087">
        <v>1</v>
      </c>
      <c r="L2087">
        <v>1</v>
      </c>
      <c r="M2087">
        <v>1</v>
      </c>
      <c r="N2087">
        <v>1.0389029999999999</v>
      </c>
    </row>
    <row r="2088" spans="1:14" x14ac:dyDescent="0.35">
      <c r="A2088" s="156" t="s">
        <v>542</v>
      </c>
      <c r="B2088" s="52">
        <v>45664</v>
      </c>
      <c r="C2088" s="156" t="s">
        <v>531</v>
      </c>
      <c r="D2088" s="156" t="s">
        <v>531</v>
      </c>
      <c r="E2088">
        <v>4164324</v>
      </c>
      <c r="F2088">
        <v>507348.15769999998</v>
      </c>
      <c r="G2088">
        <v>121.81489999999999</v>
      </c>
      <c r="H2088">
        <v>0.95915600000000001</v>
      </c>
      <c r="I2088">
        <v>1</v>
      </c>
      <c r="J2088" s="156">
        <v>1</v>
      </c>
      <c r="K2088">
        <v>1</v>
      </c>
      <c r="L2088">
        <v>1</v>
      </c>
      <c r="M2088">
        <v>1</v>
      </c>
      <c r="N2088">
        <v>0.95915600000000001</v>
      </c>
    </row>
    <row r="2089" spans="1:14" x14ac:dyDescent="0.35">
      <c r="A2089" s="156" t="s">
        <v>542</v>
      </c>
      <c r="B2089" s="52">
        <v>45665</v>
      </c>
      <c r="C2089" s="156" t="s">
        <v>531</v>
      </c>
      <c r="D2089" s="156" t="s">
        <v>531</v>
      </c>
      <c r="E2089">
        <v>2833879</v>
      </c>
      <c r="F2089">
        <v>344454.48550000001</v>
      </c>
      <c r="G2089">
        <v>121.54730000000001</v>
      </c>
      <c r="H2089">
        <v>1.0009060000000001</v>
      </c>
      <c r="I2089">
        <v>1</v>
      </c>
      <c r="J2089" s="156">
        <v>1</v>
      </c>
      <c r="K2089">
        <v>1</v>
      </c>
      <c r="L2089">
        <v>1</v>
      </c>
      <c r="M2089">
        <v>1</v>
      </c>
      <c r="N2089">
        <v>1.0009060000000001</v>
      </c>
    </row>
    <row r="2090" spans="1:14" x14ac:dyDescent="0.35">
      <c r="A2090" s="156" t="s">
        <v>542</v>
      </c>
      <c r="B2090" s="52">
        <v>45667</v>
      </c>
      <c r="C2090" s="156" t="s">
        <v>531</v>
      </c>
      <c r="D2090" s="156" t="s">
        <v>531</v>
      </c>
      <c r="E2090">
        <v>2926046</v>
      </c>
      <c r="F2090">
        <v>347715.7597</v>
      </c>
      <c r="G2090">
        <v>118.8463</v>
      </c>
      <c r="H2090">
        <v>0.97761699999999996</v>
      </c>
      <c r="I2090">
        <v>1</v>
      </c>
      <c r="J2090" s="156">
        <v>1</v>
      </c>
      <c r="K2090">
        <v>1</v>
      </c>
      <c r="L2090">
        <v>1</v>
      </c>
      <c r="M2090">
        <v>1</v>
      </c>
      <c r="N2090">
        <v>0.97761699999999996</v>
      </c>
    </row>
    <row r="2091" spans="1:14" x14ac:dyDescent="0.35">
      <c r="A2091" s="156" t="s">
        <v>542</v>
      </c>
      <c r="B2091" s="52">
        <v>45670</v>
      </c>
      <c r="C2091" s="156" t="s">
        <v>531</v>
      </c>
      <c r="D2091" s="156" t="s">
        <v>531</v>
      </c>
      <c r="E2091">
        <v>2708518</v>
      </c>
      <c r="F2091">
        <v>319534.4498</v>
      </c>
      <c r="G2091">
        <v>117.9739</v>
      </c>
      <c r="H2091">
        <v>0.99234</v>
      </c>
      <c r="I2091">
        <v>1</v>
      </c>
      <c r="J2091" s="156">
        <v>1</v>
      </c>
      <c r="K2091">
        <v>1</v>
      </c>
      <c r="L2091">
        <v>1</v>
      </c>
      <c r="M2091">
        <v>1</v>
      </c>
      <c r="N2091">
        <v>0.99234</v>
      </c>
    </row>
    <row r="2092" spans="1:14" x14ac:dyDescent="0.35">
      <c r="A2092" s="156" t="s">
        <v>542</v>
      </c>
      <c r="B2092" s="52">
        <v>45671</v>
      </c>
      <c r="C2092" s="156" t="s">
        <v>531</v>
      </c>
      <c r="D2092" s="156" t="s">
        <v>531</v>
      </c>
      <c r="E2092">
        <v>2558742</v>
      </c>
      <c r="F2092">
        <v>300738.489</v>
      </c>
      <c r="G2092">
        <v>117.5448</v>
      </c>
      <c r="H2092">
        <v>0.99041500000000005</v>
      </c>
      <c r="I2092">
        <v>1</v>
      </c>
      <c r="J2092" s="156">
        <v>1</v>
      </c>
      <c r="K2092">
        <v>1</v>
      </c>
      <c r="L2092">
        <v>1</v>
      </c>
      <c r="M2092">
        <v>1</v>
      </c>
      <c r="N2092">
        <v>0.99041500000000005</v>
      </c>
    </row>
    <row r="2093" spans="1:14" x14ac:dyDescent="0.35">
      <c r="A2093" s="156" t="s">
        <v>542</v>
      </c>
      <c r="B2093" s="52">
        <v>45672</v>
      </c>
      <c r="C2093" s="156" t="s">
        <v>531</v>
      </c>
      <c r="D2093" s="156" t="s">
        <v>531</v>
      </c>
      <c r="E2093">
        <v>3693624</v>
      </c>
      <c r="F2093">
        <v>441475.09009999997</v>
      </c>
      <c r="G2093">
        <v>119.5282</v>
      </c>
      <c r="H2093">
        <v>1.0250090000000001</v>
      </c>
      <c r="I2093">
        <v>1</v>
      </c>
      <c r="J2093" s="156">
        <v>1</v>
      </c>
      <c r="K2093">
        <v>1</v>
      </c>
      <c r="L2093">
        <v>1</v>
      </c>
      <c r="M2093">
        <v>1</v>
      </c>
      <c r="N2093">
        <v>1.0250090000000001</v>
      </c>
    </row>
    <row r="2094" spans="1:14" x14ac:dyDescent="0.35">
      <c r="A2094" s="156" t="s">
        <v>542</v>
      </c>
      <c r="B2094" s="52">
        <v>45673</v>
      </c>
      <c r="C2094" s="156" t="s">
        <v>531</v>
      </c>
      <c r="D2094" s="156" t="s">
        <v>531</v>
      </c>
      <c r="E2094">
        <v>2547199</v>
      </c>
      <c r="F2094">
        <v>309325.04470000003</v>
      </c>
      <c r="G2094">
        <v>121.3994</v>
      </c>
      <c r="H2094">
        <v>1.009693</v>
      </c>
      <c r="I2094">
        <v>1</v>
      </c>
      <c r="J2094" s="156">
        <v>1</v>
      </c>
      <c r="K2094">
        <v>1</v>
      </c>
      <c r="L2094">
        <v>1</v>
      </c>
      <c r="M2094">
        <v>1</v>
      </c>
      <c r="N2094">
        <v>1.009693</v>
      </c>
    </row>
    <row r="2095" spans="1:14" x14ac:dyDescent="0.35">
      <c r="A2095" s="156" t="s">
        <v>542</v>
      </c>
      <c r="B2095" s="52">
        <v>45674</v>
      </c>
      <c r="C2095" s="156" t="s">
        <v>531</v>
      </c>
      <c r="D2095" s="156" t="s">
        <v>531</v>
      </c>
      <c r="E2095">
        <v>3094835</v>
      </c>
      <c r="F2095">
        <v>384542.07919999998</v>
      </c>
      <c r="G2095">
        <v>124.2778</v>
      </c>
      <c r="H2095">
        <v>1.0296259999999999</v>
      </c>
      <c r="I2095">
        <v>1</v>
      </c>
      <c r="J2095" s="156">
        <v>1</v>
      </c>
      <c r="K2095">
        <v>1</v>
      </c>
      <c r="L2095">
        <v>1</v>
      </c>
      <c r="M2095">
        <v>1</v>
      </c>
      <c r="N2095">
        <v>1.0296259999999999</v>
      </c>
    </row>
    <row r="2096" spans="1:14" x14ac:dyDescent="0.35">
      <c r="A2096" s="156" t="s">
        <v>542</v>
      </c>
      <c r="B2096" s="52">
        <v>45678</v>
      </c>
      <c r="C2096" s="156" t="s">
        <v>531</v>
      </c>
      <c r="D2096" s="156" t="s">
        <v>531</v>
      </c>
      <c r="E2096">
        <v>4083827</v>
      </c>
      <c r="F2096">
        <v>508910.31780000002</v>
      </c>
      <c r="G2096">
        <v>124.6283</v>
      </c>
      <c r="H2096">
        <v>1.0006429999999999</v>
      </c>
      <c r="I2096">
        <v>1</v>
      </c>
      <c r="J2096" s="156">
        <v>1</v>
      </c>
      <c r="K2096">
        <v>1</v>
      </c>
      <c r="L2096">
        <v>1</v>
      </c>
      <c r="M2096">
        <v>1</v>
      </c>
      <c r="N2096">
        <v>1.0006429999999999</v>
      </c>
    </row>
    <row r="2097" spans="1:14" x14ac:dyDescent="0.35">
      <c r="A2097" s="156" t="s">
        <v>542</v>
      </c>
      <c r="B2097" s="52">
        <v>45679</v>
      </c>
      <c r="C2097" s="156" t="s">
        <v>531</v>
      </c>
      <c r="D2097" s="156" t="s">
        <v>531</v>
      </c>
      <c r="E2097">
        <v>4642607</v>
      </c>
      <c r="F2097">
        <v>565485.09600000002</v>
      </c>
      <c r="G2097">
        <v>121.7968</v>
      </c>
      <c r="H2097">
        <v>0.96939799999999998</v>
      </c>
      <c r="I2097">
        <v>1</v>
      </c>
      <c r="J2097" s="156">
        <v>1</v>
      </c>
      <c r="K2097">
        <v>1</v>
      </c>
      <c r="L2097">
        <v>1</v>
      </c>
      <c r="M2097">
        <v>1</v>
      </c>
      <c r="N2097">
        <v>0.96939799999999998</v>
      </c>
    </row>
    <row r="2098" spans="1:14" x14ac:dyDescent="0.35">
      <c r="A2098" s="156" t="s">
        <v>542</v>
      </c>
      <c r="B2098" s="52">
        <v>45680</v>
      </c>
      <c r="C2098" s="156" t="s">
        <v>531</v>
      </c>
      <c r="D2098" s="156" t="s">
        <v>531</v>
      </c>
      <c r="E2098">
        <v>5641253</v>
      </c>
      <c r="F2098">
        <v>668224.46640000003</v>
      </c>
      <c r="G2098">
        <v>118.4777</v>
      </c>
      <c r="H2098">
        <v>0.98715699999999995</v>
      </c>
      <c r="I2098">
        <v>1</v>
      </c>
      <c r="J2098" s="156">
        <v>1</v>
      </c>
      <c r="K2098">
        <v>1</v>
      </c>
      <c r="L2098">
        <v>1</v>
      </c>
      <c r="M2098">
        <v>1</v>
      </c>
      <c r="N2098">
        <v>0.98715699999999995</v>
      </c>
    </row>
    <row r="2099" spans="1:14" x14ac:dyDescent="0.35">
      <c r="A2099" s="156" t="s">
        <v>542</v>
      </c>
      <c r="B2099" s="52">
        <v>45681</v>
      </c>
      <c r="C2099" s="156" t="s">
        <v>531</v>
      </c>
      <c r="D2099" s="156" t="s">
        <v>531</v>
      </c>
      <c r="E2099">
        <v>3609122</v>
      </c>
      <c r="F2099">
        <v>433124.0196</v>
      </c>
      <c r="G2099">
        <v>120.0072</v>
      </c>
      <c r="H2099">
        <v>1.006883</v>
      </c>
      <c r="I2099">
        <v>1</v>
      </c>
      <c r="J2099" s="156">
        <v>1</v>
      </c>
      <c r="K2099">
        <v>1</v>
      </c>
      <c r="L2099">
        <v>1</v>
      </c>
      <c r="M2099">
        <v>1</v>
      </c>
      <c r="N2099">
        <v>1.006883</v>
      </c>
    </row>
    <row r="2100" spans="1:14" x14ac:dyDescent="0.35">
      <c r="A2100" s="156" t="s">
        <v>542</v>
      </c>
      <c r="B2100" s="52">
        <v>45684</v>
      </c>
      <c r="C2100" s="156" t="s">
        <v>531</v>
      </c>
      <c r="D2100" s="156" t="s">
        <v>531</v>
      </c>
      <c r="E2100">
        <v>3501432</v>
      </c>
      <c r="F2100">
        <v>415178.57270000002</v>
      </c>
      <c r="G2100">
        <v>118.5985</v>
      </c>
      <c r="H2100">
        <v>0.99283100000000002</v>
      </c>
      <c r="I2100">
        <v>1</v>
      </c>
      <c r="J2100" s="156">
        <v>1</v>
      </c>
      <c r="K2100">
        <v>1</v>
      </c>
      <c r="L2100">
        <v>1</v>
      </c>
      <c r="M2100">
        <v>1</v>
      </c>
      <c r="N2100">
        <v>0.99283100000000002</v>
      </c>
    </row>
    <row r="2101" spans="1:14" x14ac:dyDescent="0.35">
      <c r="A2101" s="156" t="s">
        <v>542</v>
      </c>
      <c r="B2101" s="52">
        <v>45685</v>
      </c>
      <c r="C2101" s="156" t="s">
        <v>531</v>
      </c>
      <c r="D2101" s="156" t="s">
        <v>531</v>
      </c>
      <c r="E2101">
        <v>4597387</v>
      </c>
      <c r="F2101">
        <v>554413.01190000004</v>
      </c>
      <c r="G2101">
        <v>120.581</v>
      </c>
      <c r="H2101">
        <v>1.012259</v>
      </c>
      <c r="I2101">
        <v>1</v>
      </c>
      <c r="J2101" s="156">
        <v>1</v>
      </c>
      <c r="K2101">
        <v>1</v>
      </c>
      <c r="L2101">
        <v>1</v>
      </c>
      <c r="M2101">
        <v>1</v>
      </c>
      <c r="N2101">
        <v>1.012259</v>
      </c>
    </row>
    <row r="2102" spans="1:14" x14ac:dyDescent="0.35">
      <c r="A2102" s="156" t="s">
        <v>542</v>
      </c>
      <c r="B2102" s="52">
        <v>45686</v>
      </c>
      <c r="C2102" s="156" t="s">
        <v>531</v>
      </c>
      <c r="D2102" s="156" t="s">
        <v>531</v>
      </c>
      <c r="E2102">
        <v>3597192</v>
      </c>
      <c r="F2102">
        <v>438738.72639999999</v>
      </c>
      <c r="G2102">
        <v>121.9426</v>
      </c>
      <c r="H2102">
        <v>1.0168379999999999</v>
      </c>
      <c r="I2102">
        <v>1</v>
      </c>
      <c r="J2102" s="156">
        <v>1</v>
      </c>
      <c r="K2102">
        <v>1</v>
      </c>
      <c r="L2102">
        <v>1</v>
      </c>
      <c r="M2102">
        <v>1</v>
      </c>
      <c r="N2102">
        <v>1.0168379999999999</v>
      </c>
    </row>
    <row r="2103" spans="1:14" x14ac:dyDescent="0.35">
      <c r="A2103" s="156" t="s">
        <v>542</v>
      </c>
      <c r="B2103" s="52">
        <v>45687</v>
      </c>
      <c r="C2103" s="156" t="s">
        <v>531</v>
      </c>
      <c r="D2103" s="156" t="s">
        <v>531</v>
      </c>
      <c r="E2103">
        <v>3206999</v>
      </c>
      <c r="F2103">
        <v>385721.06800000003</v>
      </c>
      <c r="G2103">
        <v>120.264</v>
      </c>
      <c r="H2103">
        <v>0.97022600000000003</v>
      </c>
      <c r="I2103">
        <v>1</v>
      </c>
      <c r="J2103" s="156">
        <v>1</v>
      </c>
      <c r="K2103">
        <v>1</v>
      </c>
      <c r="L2103">
        <v>1</v>
      </c>
      <c r="M2103">
        <v>1</v>
      </c>
      <c r="N2103">
        <v>0.97022600000000003</v>
      </c>
    </row>
    <row r="2104" spans="1:14" x14ac:dyDescent="0.35">
      <c r="A2104" s="156" t="s">
        <v>542</v>
      </c>
      <c r="B2104" s="52">
        <v>45688</v>
      </c>
      <c r="C2104" s="156" t="s">
        <v>531</v>
      </c>
      <c r="D2104" s="156" t="s">
        <v>531</v>
      </c>
      <c r="E2104">
        <v>3101798</v>
      </c>
      <c r="F2104">
        <v>370737.04139999999</v>
      </c>
      <c r="G2104">
        <v>119.44670000000001</v>
      </c>
      <c r="H2104">
        <v>0.99781399999999998</v>
      </c>
      <c r="I2104">
        <v>1</v>
      </c>
      <c r="J2104" s="156">
        <v>1</v>
      </c>
      <c r="K2104">
        <v>1</v>
      </c>
      <c r="L2104">
        <v>1</v>
      </c>
      <c r="M2104">
        <v>1</v>
      </c>
      <c r="N2104">
        <v>0.99781399999999998</v>
      </c>
    </row>
    <row r="2105" spans="1:14" x14ac:dyDescent="0.35">
      <c r="A2105" s="156" t="s">
        <v>542</v>
      </c>
      <c r="B2105" s="52">
        <v>45691</v>
      </c>
      <c r="C2105" s="156" t="s">
        <v>531</v>
      </c>
      <c r="D2105" s="156" t="s">
        <v>531</v>
      </c>
      <c r="E2105">
        <v>3545055</v>
      </c>
      <c r="F2105">
        <v>418454.35090000002</v>
      </c>
      <c r="G2105">
        <v>117.9928</v>
      </c>
      <c r="H2105">
        <v>0.99376500000000001</v>
      </c>
      <c r="I2105">
        <v>1</v>
      </c>
      <c r="J2105" s="156">
        <v>1</v>
      </c>
      <c r="K2105">
        <v>1</v>
      </c>
      <c r="L2105">
        <v>1</v>
      </c>
      <c r="M2105">
        <v>1</v>
      </c>
      <c r="N2105">
        <v>0.99376500000000001</v>
      </c>
    </row>
    <row r="2106" spans="1:14" x14ac:dyDescent="0.35">
      <c r="A2106" s="156" t="s">
        <v>542</v>
      </c>
      <c r="B2106" s="52">
        <v>45692</v>
      </c>
      <c r="C2106" s="156" t="s">
        <v>531</v>
      </c>
      <c r="D2106" s="156" t="s">
        <v>531</v>
      </c>
      <c r="E2106">
        <v>6181334</v>
      </c>
      <c r="F2106">
        <v>703734.67420000001</v>
      </c>
      <c r="G2106">
        <v>113.8496</v>
      </c>
      <c r="H2106">
        <v>0.96269300000000002</v>
      </c>
      <c r="I2106">
        <v>1</v>
      </c>
      <c r="J2106" s="156">
        <v>1</v>
      </c>
      <c r="K2106">
        <v>1</v>
      </c>
      <c r="L2106">
        <v>1</v>
      </c>
      <c r="M2106">
        <v>1</v>
      </c>
      <c r="N2106">
        <v>0.96269300000000002</v>
      </c>
    </row>
    <row r="2107" spans="1:14" x14ac:dyDescent="0.35">
      <c r="A2107" s="156" t="s">
        <v>542</v>
      </c>
      <c r="B2107" s="52">
        <v>45693</v>
      </c>
      <c r="C2107" s="156" t="s">
        <v>531</v>
      </c>
      <c r="D2107" s="156" t="s">
        <v>531</v>
      </c>
      <c r="E2107">
        <v>4498179</v>
      </c>
      <c r="F2107">
        <v>512009.36739999999</v>
      </c>
      <c r="G2107">
        <v>113.8419</v>
      </c>
      <c r="H2107">
        <v>1.0070460000000001</v>
      </c>
      <c r="I2107">
        <v>1</v>
      </c>
      <c r="J2107" s="156">
        <v>1</v>
      </c>
      <c r="K2107">
        <v>1</v>
      </c>
      <c r="L2107">
        <v>1</v>
      </c>
      <c r="M2107">
        <v>1</v>
      </c>
      <c r="N2107">
        <v>1.0070460000000001</v>
      </c>
    </row>
    <row r="2108" spans="1:14" x14ac:dyDescent="0.35">
      <c r="A2108" s="156" t="s">
        <v>542</v>
      </c>
      <c r="B2108" s="52">
        <v>45694</v>
      </c>
      <c r="C2108" s="156" t="s">
        <v>531</v>
      </c>
      <c r="D2108" s="156" t="s">
        <v>531</v>
      </c>
      <c r="E2108">
        <v>3378466</v>
      </c>
      <c r="F2108">
        <v>387468.62160000001</v>
      </c>
      <c r="G2108">
        <v>114.6678</v>
      </c>
      <c r="H2108">
        <v>1.0027109999999999</v>
      </c>
      <c r="I2108">
        <v>1</v>
      </c>
      <c r="J2108" s="156">
        <v>1</v>
      </c>
      <c r="K2108">
        <v>1</v>
      </c>
      <c r="L2108">
        <v>1</v>
      </c>
      <c r="M2108">
        <v>1</v>
      </c>
      <c r="N2108">
        <v>1.0027109999999999</v>
      </c>
    </row>
    <row r="2109" spans="1:14" x14ac:dyDescent="0.35">
      <c r="A2109" s="156" t="s">
        <v>542</v>
      </c>
      <c r="B2109" s="52">
        <v>45695</v>
      </c>
      <c r="C2109" s="156" t="s">
        <v>531</v>
      </c>
      <c r="D2109" s="156" t="s">
        <v>531</v>
      </c>
      <c r="E2109">
        <v>4548212</v>
      </c>
      <c r="F2109">
        <v>530370.20499999996</v>
      </c>
      <c r="G2109">
        <v>116.62090000000001</v>
      </c>
      <c r="H2109">
        <v>1.0230269999999999</v>
      </c>
      <c r="I2109">
        <v>1</v>
      </c>
      <c r="J2109" s="156">
        <v>1</v>
      </c>
      <c r="K2109">
        <v>1</v>
      </c>
      <c r="L2109">
        <v>1</v>
      </c>
      <c r="M2109">
        <v>1</v>
      </c>
      <c r="N2109">
        <v>1.0230269999999999</v>
      </c>
    </row>
    <row r="2110" spans="1:14" x14ac:dyDescent="0.35">
      <c r="A2110" s="156" t="s">
        <v>542</v>
      </c>
      <c r="B2110" s="52">
        <v>45698</v>
      </c>
      <c r="C2110" s="156" t="s">
        <v>531</v>
      </c>
      <c r="D2110" s="156" t="s">
        <v>531</v>
      </c>
      <c r="E2110">
        <v>6186674</v>
      </c>
      <c r="F2110">
        <v>763289.47600000002</v>
      </c>
      <c r="G2110">
        <v>123.2852</v>
      </c>
      <c r="H2110">
        <v>1.0447610000000001</v>
      </c>
      <c r="I2110">
        <v>1</v>
      </c>
      <c r="J2110" s="156">
        <v>1</v>
      </c>
      <c r="K2110">
        <v>1</v>
      </c>
      <c r="L2110">
        <v>1</v>
      </c>
      <c r="M2110">
        <v>1</v>
      </c>
      <c r="N2110">
        <v>1.0447610000000001</v>
      </c>
    </row>
    <row r="2111" spans="1:14" x14ac:dyDescent="0.35">
      <c r="A2111" s="156" t="s">
        <v>542</v>
      </c>
      <c r="B2111" s="52">
        <v>45699</v>
      </c>
      <c r="C2111" s="156" t="s">
        <v>531</v>
      </c>
      <c r="D2111" s="156" t="s">
        <v>531</v>
      </c>
      <c r="E2111">
        <v>4968679</v>
      </c>
      <c r="F2111">
        <v>598490.75569999998</v>
      </c>
      <c r="G2111">
        <v>120.4431</v>
      </c>
      <c r="H2111">
        <v>0.98098600000000002</v>
      </c>
      <c r="I2111">
        <v>1</v>
      </c>
      <c r="J2111" s="156">
        <v>1</v>
      </c>
      <c r="K2111">
        <v>1</v>
      </c>
      <c r="L2111">
        <v>1</v>
      </c>
      <c r="M2111">
        <v>1</v>
      </c>
      <c r="N2111">
        <v>0.98098600000000002</v>
      </c>
    </row>
    <row r="2112" spans="1:14" x14ac:dyDescent="0.35">
      <c r="A2112" s="156" t="s">
        <v>542</v>
      </c>
      <c r="B2112" s="52">
        <v>45700</v>
      </c>
      <c r="C2112" s="156" t="s">
        <v>531</v>
      </c>
      <c r="D2112" s="156" t="s">
        <v>531</v>
      </c>
      <c r="E2112">
        <v>11504231</v>
      </c>
      <c r="F2112">
        <v>1227841.4217999999</v>
      </c>
      <c r="G2112">
        <v>106.5056</v>
      </c>
      <c r="H2112">
        <v>1.016804</v>
      </c>
      <c r="I2112">
        <v>1</v>
      </c>
      <c r="J2112" s="156">
        <v>1</v>
      </c>
      <c r="K2112">
        <v>1</v>
      </c>
      <c r="L2112">
        <v>1</v>
      </c>
      <c r="M2112">
        <v>1</v>
      </c>
      <c r="N2112">
        <v>1.016804</v>
      </c>
    </row>
    <row r="2113" spans="1:14" x14ac:dyDescent="0.35">
      <c r="A2113" s="156" t="s">
        <v>542</v>
      </c>
      <c r="B2113" s="52">
        <v>45701</v>
      </c>
      <c r="C2113" s="156" t="s">
        <v>531</v>
      </c>
      <c r="D2113" s="156" t="s">
        <v>531</v>
      </c>
      <c r="E2113">
        <v>56005978</v>
      </c>
      <c r="F2113">
        <v>4648943.0965999998</v>
      </c>
      <c r="G2113">
        <v>82.9983</v>
      </c>
      <c r="H2113">
        <v>0.67021200000000003</v>
      </c>
      <c r="I2113">
        <v>1</v>
      </c>
      <c r="J2113" s="156">
        <v>1</v>
      </c>
      <c r="K2113">
        <v>1</v>
      </c>
      <c r="L2113">
        <v>1</v>
      </c>
      <c r="M2113">
        <v>1</v>
      </c>
      <c r="N2113">
        <v>0.67021200000000003</v>
      </c>
    </row>
    <row r="2114" spans="1:14" x14ac:dyDescent="0.35">
      <c r="A2114" s="156" t="s">
        <v>542</v>
      </c>
      <c r="B2114" s="52">
        <v>45702</v>
      </c>
      <c r="C2114" s="156" t="s">
        <v>531</v>
      </c>
      <c r="D2114" s="156" t="s">
        <v>531</v>
      </c>
      <c r="E2114">
        <v>19341755</v>
      </c>
      <c r="F2114">
        <v>1570325.4265000001</v>
      </c>
      <c r="G2114">
        <v>81.201099999999997</v>
      </c>
      <c r="H2114">
        <v>0.97851600000000005</v>
      </c>
      <c r="I2114">
        <v>1</v>
      </c>
      <c r="J2114" s="156">
        <v>1</v>
      </c>
      <c r="K2114">
        <v>1</v>
      </c>
      <c r="L2114">
        <v>1</v>
      </c>
      <c r="M2114">
        <v>1</v>
      </c>
      <c r="N2114">
        <v>0.97851600000000005</v>
      </c>
    </row>
    <row r="2115" spans="1:14" x14ac:dyDescent="0.35">
      <c r="A2115" s="156" t="s">
        <v>542</v>
      </c>
      <c r="B2115" s="52">
        <v>45706</v>
      </c>
      <c r="C2115" s="156" t="s">
        <v>531</v>
      </c>
      <c r="D2115" s="156" t="s">
        <v>531</v>
      </c>
      <c r="E2115">
        <v>16258057</v>
      </c>
      <c r="F2115">
        <v>1285724.621</v>
      </c>
      <c r="G2115">
        <v>79.090500000000006</v>
      </c>
      <c r="H2115">
        <v>0.99837799999999999</v>
      </c>
      <c r="I2115">
        <v>1</v>
      </c>
      <c r="J2115" s="156">
        <v>1</v>
      </c>
      <c r="K2115">
        <v>1</v>
      </c>
      <c r="L2115">
        <v>1</v>
      </c>
      <c r="M2115">
        <v>1</v>
      </c>
      <c r="N2115">
        <v>0.99837799999999999</v>
      </c>
    </row>
    <row r="2116" spans="1:14" x14ac:dyDescent="0.35">
      <c r="A2116" s="156" t="s">
        <v>542</v>
      </c>
      <c r="B2116" s="52">
        <v>45707</v>
      </c>
      <c r="C2116" s="156" t="s">
        <v>531</v>
      </c>
      <c r="D2116" s="156" t="s">
        <v>531</v>
      </c>
      <c r="E2116">
        <v>14396691</v>
      </c>
      <c r="F2116">
        <v>1120099.152</v>
      </c>
      <c r="G2116">
        <v>77.796899999999994</v>
      </c>
      <c r="H2116">
        <v>0.95901499999999995</v>
      </c>
      <c r="I2116">
        <v>1</v>
      </c>
      <c r="J2116" s="156">
        <v>1</v>
      </c>
      <c r="K2116">
        <v>1</v>
      </c>
      <c r="L2116">
        <v>1</v>
      </c>
      <c r="M2116">
        <v>1</v>
      </c>
      <c r="N2116">
        <v>0.95901499999999995</v>
      </c>
    </row>
    <row r="2117" spans="1:14" x14ac:dyDescent="0.35">
      <c r="A2117" s="156" t="s">
        <v>542</v>
      </c>
      <c r="B2117" s="52">
        <v>45708</v>
      </c>
      <c r="C2117" s="156" t="s">
        <v>531</v>
      </c>
      <c r="D2117" s="156" t="s">
        <v>531</v>
      </c>
      <c r="E2117">
        <v>13591698</v>
      </c>
      <c r="F2117">
        <v>1020840.784</v>
      </c>
      <c r="G2117">
        <v>75.131699999999995</v>
      </c>
      <c r="H2117">
        <v>0.98670999999999998</v>
      </c>
      <c r="I2117">
        <v>1</v>
      </c>
      <c r="J2117" s="156">
        <v>1</v>
      </c>
      <c r="K2117">
        <v>1</v>
      </c>
      <c r="L2117">
        <v>1</v>
      </c>
      <c r="M2117">
        <v>1</v>
      </c>
      <c r="N2117">
        <v>0.98670999999999998</v>
      </c>
    </row>
    <row r="2118" spans="1:14" x14ac:dyDescent="0.35">
      <c r="A2118" s="156" t="s">
        <v>542</v>
      </c>
      <c r="B2118" s="52">
        <v>45709</v>
      </c>
      <c r="C2118" s="156" t="s">
        <v>531</v>
      </c>
      <c r="D2118" s="156" t="s">
        <v>531</v>
      </c>
      <c r="E2118">
        <v>12869959</v>
      </c>
      <c r="F2118">
        <v>940485.90520000004</v>
      </c>
      <c r="G2118">
        <v>73.0899</v>
      </c>
      <c r="H2118">
        <v>0.95153799999999999</v>
      </c>
      <c r="I2118">
        <v>1</v>
      </c>
      <c r="J2118" s="156">
        <v>1</v>
      </c>
      <c r="K2118">
        <v>1</v>
      </c>
      <c r="L2118">
        <v>1</v>
      </c>
      <c r="M2118">
        <v>1</v>
      </c>
      <c r="N2118">
        <v>0.95153799999999999</v>
      </c>
    </row>
    <row r="2119" spans="1:14" x14ac:dyDescent="0.35">
      <c r="A2119" s="156" t="s">
        <v>542</v>
      </c>
      <c r="B2119" s="52">
        <v>45712</v>
      </c>
      <c r="C2119" s="156" t="s">
        <v>531</v>
      </c>
      <c r="D2119" s="156" t="s">
        <v>531</v>
      </c>
      <c r="E2119">
        <v>13954906</v>
      </c>
      <c r="F2119">
        <v>1024489.8014999999</v>
      </c>
      <c r="G2119">
        <v>73.417100000000005</v>
      </c>
      <c r="H2119">
        <v>1.0296970000000001</v>
      </c>
      <c r="I2119">
        <v>1</v>
      </c>
      <c r="J2119" s="156">
        <v>1</v>
      </c>
      <c r="K2119">
        <v>1</v>
      </c>
      <c r="L2119">
        <v>1</v>
      </c>
      <c r="M2119">
        <v>1</v>
      </c>
      <c r="N2119">
        <v>1.0296970000000001</v>
      </c>
    </row>
    <row r="2120" spans="1:14" x14ac:dyDescent="0.35">
      <c r="A2120" s="156" t="s">
        <v>542</v>
      </c>
      <c r="B2120" s="52">
        <v>45713</v>
      </c>
      <c r="C2120" s="156" t="s">
        <v>531</v>
      </c>
      <c r="D2120" s="156" t="s">
        <v>531</v>
      </c>
      <c r="E2120">
        <v>11113183</v>
      </c>
      <c r="F2120">
        <v>824102.35459999996</v>
      </c>
      <c r="G2120">
        <v>74.1755</v>
      </c>
      <c r="H2120">
        <v>1.0105120000000001</v>
      </c>
      <c r="I2120">
        <v>1</v>
      </c>
      <c r="J2120" s="156">
        <v>1</v>
      </c>
      <c r="K2120">
        <v>1</v>
      </c>
      <c r="L2120">
        <v>1</v>
      </c>
      <c r="M2120">
        <v>1</v>
      </c>
      <c r="N2120">
        <v>1.0105120000000001</v>
      </c>
    </row>
    <row r="2121" spans="1:14" x14ac:dyDescent="0.35">
      <c r="A2121" s="156" t="s">
        <v>542</v>
      </c>
      <c r="B2121" s="52">
        <v>45714</v>
      </c>
      <c r="C2121" s="156" t="s">
        <v>531</v>
      </c>
      <c r="D2121" s="156" t="s">
        <v>531</v>
      </c>
      <c r="E2121">
        <v>9138442</v>
      </c>
      <c r="F2121">
        <v>670326.72</v>
      </c>
      <c r="G2121">
        <v>73.352999999999994</v>
      </c>
      <c r="H2121">
        <v>0.96599100000000004</v>
      </c>
      <c r="I2121">
        <v>1</v>
      </c>
      <c r="J2121" s="156">
        <v>1</v>
      </c>
      <c r="K2121">
        <v>1</v>
      </c>
      <c r="L2121">
        <v>1</v>
      </c>
      <c r="M2121">
        <v>1</v>
      </c>
      <c r="N2121">
        <v>0.96599100000000004</v>
      </c>
    </row>
    <row r="2122" spans="1:14" x14ac:dyDescent="0.35">
      <c r="A2122" s="156" t="s">
        <v>542</v>
      </c>
      <c r="B2122" s="52">
        <v>45715</v>
      </c>
      <c r="C2122" s="156" t="s">
        <v>531</v>
      </c>
      <c r="D2122" s="156" t="s">
        <v>531</v>
      </c>
      <c r="E2122">
        <v>7538466</v>
      </c>
      <c r="F2122">
        <v>544201.78229999996</v>
      </c>
      <c r="G2122">
        <v>72.181700000000006</v>
      </c>
      <c r="H2122">
        <v>0.98702199999999995</v>
      </c>
      <c r="I2122">
        <v>1</v>
      </c>
      <c r="J2122" s="156">
        <v>1</v>
      </c>
      <c r="K2122">
        <v>1</v>
      </c>
      <c r="L2122">
        <v>1</v>
      </c>
      <c r="M2122">
        <v>1</v>
      </c>
      <c r="N2122">
        <v>0.98702199999999995</v>
      </c>
    </row>
    <row r="2123" spans="1:14" x14ac:dyDescent="0.35">
      <c r="A2123" s="156" t="s">
        <v>542</v>
      </c>
      <c r="B2123" s="52">
        <v>45716</v>
      </c>
      <c r="C2123" s="156" t="s">
        <v>531</v>
      </c>
      <c r="D2123" s="156" t="s">
        <v>531</v>
      </c>
      <c r="E2123">
        <v>10460204</v>
      </c>
      <c r="F2123">
        <v>740216.38089999999</v>
      </c>
      <c r="G2123">
        <v>70.733500000000006</v>
      </c>
      <c r="H2123">
        <v>0.98363400000000001</v>
      </c>
      <c r="I2123">
        <v>1</v>
      </c>
      <c r="J2123" s="156">
        <v>1</v>
      </c>
      <c r="K2123">
        <v>1</v>
      </c>
      <c r="L2123">
        <v>1</v>
      </c>
      <c r="M2123">
        <v>1</v>
      </c>
      <c r="N2123">
        <v>0.98363400000000001</v>
      </c>
    </row>
    <row r="2124" spans="1:14" x14ac:dyDescent="0.35">
      <c r="A2124" s="156" t="s">
        <v>542</v>
      </c>
      <c r="B2124" s="52">
        <v>45719</v>
      </c>
      <c r="C2124" s="156" t="s">
        <v>531</v>
      </c>
      <c r="D2124" s="156" t="s">
        <v>531</v>
      </c>
      <c r="E2124">
        <v>11719501</v>
      </c>
      <c r="F2124">
        <v>803985.42819999997</v>
      </c>
      <c r="G2124">
        <v>68.597200000000001</v>
      </c>
      <c r="H2124">
        <v>0.95520499999999997</v>
      </c>
      <c r="I2124">
        <v>1</v>
      </c>
      <c r="J2124" s="156">
        <v>1</v>
      </c>
      <c r="K2124">
        <v>1</v>
      </c>
      <c r="L2124">
        <v>1</v>
      </c>
      <c r="M2124">
        <v>1</v>
      </c>
      <c r="N2124">
        <v>0.95520499999999997</v>
      </c>
    </row>
    <row r="2125" spans="1:14" x14ac:dyDescent="0.35">
      <c r="A2125" s="156" t="s">
        <v>542</v>
      </c>
      <c r="B2125" s="52">
        <v>45720</v>
      </c>
      <c r="C2125" s="156" t="s">
        <v>531</v>
      </c>
      <c r="D2125" s="156" t="s">
        <v>531</v>
      </c>
      <c r="E2125">
        <v>12833245</v>
      </c>
      <c r="F2125">
        <v>856198.82479999994</v>
      </c>
      <c r="G2125">
        <v>66.689800000000005</v>
      </c>
      <c r="H2125">
        <v>1.006402</v>
      </c>
      <c r="I2125">
        <v>1</v>
      </c>
      <c r="J2125" s="156">
        <v>1</v>
      </c>
      <c r="K2125">
        <v>1</v>
      </c>
      <c r="L2125">
        <v>1</v>
      </c>
      <c r="M2125">
        <v>1</v>
      </c>
      <c r="N2125">
        <v>1.006402</v>
      </c>
    </row>
    <row r="2126" spans="1:14" x14ac:dyDescent="0.35">
      <c r="A2126" s="156" t="s">
        <v>542</v>
      </c>
      <c r="B2126" s="52">
        <v>45721</v>
      </c>
      <c r="C2126" s="156" t="s">
        <v>531</v>
      </c>
      <c r="D2126" s="156" t="s">
        <v>531</v>
      </c>
      <c r="E2126">
        <v>11006717</v>
      </c>
      <c r="F2126">
        <v>726901.51029999997</v>
      </c>
      <c r="G2126">
        <v>66.061400000000006</v>
      </c>
      <c r="H2126">
        <v>0.98431999999999997</v>
      </c>
      <c r="I2126">
        <v>1</v>
      </c>
      <c r="J2126" s="156">
        <v>1</v>
      </c>
      <c r="K2126">
        <v>1</v>
      </c>
      <c r="L2126">
        <v>1</v>
      </c>
      <c r="M2126">
        <v>1</v>
      </c>
      <c r="N2126">
        <v>0.98431999999999997</v>
      </c>
    </row>
    <row r="2127" spans="1:14" x14ac:dyDescent="0.35">
      <c r="A2127" s="156" t="s">
        <v>542</v>
      </c>
      <c r="B2127" s="52">
        <v>45722</v>
      </c>
      <c r="C2127" s="156" t="s">
        <v>531</v>
      </c>
      <c r="D2127" s="156" t="s">
        <v>531</v>
      </c>
      <c r="E2127">
        <v>9677695</v>
      </c>
      <c r="F2127">
        <v>633621.87990000006</v>
      </c>
      <c r="G2127">
        <v>65.467600000000004</v>
      </c>
      <c r="H2127">
        <v>0.97655499999999995</v>
      </c>
      <c r="I2127">
        <v>1</v>
      </c>
      <c r="J2127" s="156">
        <v>1</v>
      </c>
      <c r="K2127">
        <v>1</v>
      </c>
      <c r="L2127">
        <v>1</v>
      </c>
      <c r="M2127">
        <v>1</v>
      </c>
      <c r="N2127">
        <v>0.97655499999999995</v>
      </c>
    </row>
    <row r="2128" spans="1:14" x14ac:dyDescent="0.35">
      <c r="A2128" s="156" t="s">
        <v>542</v>
      </c>
      <c r="B2128" s="52">
        <v>45723</v>
      </c>
      <c r="C2128" s="156" t="s">
        <v>531</v>
      </c>
      <c r="D2128" s="156" t="s">
        <v>531</v>
      </c>
      <c r="E2128">
        <v>11486718</v>
      </c>
      <c r="F2128">
        <v>747831.09149999998</v>
      </c>
      <c r="G2128">
        <v>65.130899999999997</v>
      </c>
      <c r="H2128">
        <v>0.99892300000000001</v>
      </c>
      <c r="I2128">
        <v>1</v>
      </c>
      <c r="J2128" s="156">
        <v>1</v>
      </c>
      <c r="K2128">
        <v>1</v>
      </c>
      <c r="L2128">
        <v>1</v>
      </c>
      <c r="M2128">
        <v>1</v>
      </c>
      <c r="N2128">
        <v>0.99892300000000001</v>
      </c>
    </row>
    <row r="2129" spans="1:14" x14ac:dyDescent="0.35">
      <c r="A2129" s="156" t="s">
        <v>542</v>
      </c>
      <c r="B2129" s="52">
        <v>45726</v>
      </c>
      <c r="C2129" s="156" t="s">
        <v>531</v>
      </c>
      <c r="D2129" s="156" t="s">
        <v>531</v>
      </c>
      <c r="E2129">
        <v>13483019</v>
      </c>
      <c r="F2129">
        <v>833191.30680000002</v>
      </c>
      <c r="G2129">
        <v>61.774099999999997</v>
      </c>
      <c r="H2129">
        <v>0.92913299999999999</v>
      </c>
      <c r="I2129">
        <v>1</v>
      </c>
      <c r="J2129" s="156">
        <v>1</v>
      </c>
      <c r="K2129">
        <v>1</v>
      </c>
      <c r="L2129">
        <v>1</v>
      </c>
      <c r="M2129">
        <v>1</v>
      </c>
      <c r="N2129">
        <v>0.92913299999999999</v>
      </c>
    </row>
    <row r="2130" spans="1:14" x14ac:dyDescent="0.35">
      <c r="A2130" s="156" t="s">
        <v>542</v>
      </c>
      <c r="B2130" s="52">
        <v>45727</v>
      </c>
      <c r="C2130" s="156" t="s">
        <v>531</v>
      </c>
      <c r="D2130" s="156" t="s">
        <v>531</v>
      </c>
      <c r="E2130">
        <v>16122228</v>
      </c>
      <c r="F2130">
        <v>961680.17449999996</v>
      </c>
      <c r="G2130">
        <v>59.636099999999999</v>
      </c>
      <c r="H2130">
        <v>0.97562599999999999</v>
      </c>
      <c r="I2130">
        <v>1</v>
      </c>
      <c r="J2130" s="156">
        <v>1</v>
      </c>
      <c r="K2130">
        <v>1</v>
      </c>
      <c r="L2130">
        <v>1</v>
      </c>
      <c r="M2130">
        <v>1</v>
      </c>
      <c r="N2130">
        <v>0.97562599999999999</v>
      </c>
    </row>
    <row r="2131" spans="1:14" x14ac:dyDescent="0.35">
      <c r="A2131" s="156" t="s">
        <v>542</v>
      </c>
      <c r="B2131" s="52">
        <v>45728</v>
      </c>
      <c r="C2131" s="156" t="s">
        <v>531</v>
      </c>
      <c r="D2131" s="156" t="s">
        <v>531</v>
      </c>
      <c r="E2131">
        <v>12516773</v>
      </c>
      <c r="F2131">
        <v>745464.41749999998</v>
      </c>
      <c r="G2131">
        <v>59.581899999999997</v>
      </c>
      <c r="H2131">
        <v>1.0231140000000001</v>
      </c>
      <c r="I2131">
        <v>1</v>
      </c>
      <c r="J2131" s="156">
        <v>1</v>
      </c>
      <c r="K2131">
        <v>1</v>
      </c>
      <c r="L2131">
        <v>1</v>
      </c>
      <c r="M2131">
        <v>1</v>
      </c>
      <c r="N2131">
        <v>1.0231140000000001</v>
      </c>
    </row>
    <row r="2132" spans="1:14" x14ac:dyDescent="0.35">
      <c r="A2132" s="156" t="s">
        <v>542</v>
      </c>
      <c r="B2132" s="52">
        <v>45729</v>
      </c>
      <c r="C2132" s="156" t="s">
        <v>531</v>
      </c>
      <c r="D2132" s="156" t="s">
        <v>531</v>
      </c>
      <c r="E2132">
        <v>20891394</v>
      </c>
      <c r="F2132">
        <v>1165584.2512000001</v>
      </c>
      <c r="G2132">
        <v>55.775300000000001</v>
      </c>
      <c r="H2132">
        <v>0.89501699999999995</v>
      </c>
      <c r="I2132">
        <v>1</v>
      </c>
      <c r="J2132" s="156">
        <v>1</v>
      </c>
      <c r="K2132">
        <v>1</v>
      </c>
      <c r="L2132">
        <v>1</v>
      </c>
      <c r="M2132">
        <v>1</v>
      </c>
      <c r="N2132">
        <v>0.89501699999999995</v>
      </c>
    </row>
    <row r="2133" spans="1:14" x14ac:dyDescent="0.35">
      <c r="A2133" s="156" t="s">
        <v>542</v>
      </c>
      <c r="B2133" s="52">
        <v>45730</v>
      </c>
      <c r="C2133" s="156" t="s">
        <v>531</v>
      </c>
      <c r="D2133" s="156" t="s">
        <v>531</v>
      </c>
      <c r="E2133">
        <v>22269797</v>
      </c>
      <c r="F2133">
        <v>1206420.1492000001</v>
      </c>
      <c r="G2133">
        <v>54.177300000000002</v>
      </c>
      <c r="H2133">
        <v>1.0011140000000001</v>
      </c>
      <c r="I2133">
        <v>1</v>
      </c>
      <c r="J2133" s="156">
        <v>1</v>
      </c>
      <c r="K2133">
        <v>1</v>
      </c>
      <c r="L2133">
        <v>1</v>
      </c>
      <c r="M2133">
        <v>1</v>
      </c>
      <c r="N2133">
        <v>1.0011140000000001</v>
      </c>
    </row>
    <row r="2134" spans="1:14" x14ac:dyDescent="0.35">
      <c r="A2134" s="156" t="s">
        <v>542</v>
      </c>
      <c r="B2134" s="52">
        <v>45733</v>
      </c>
      <c r="C2134" s="156" t="s">
        <v>531</v>
      </c>
      <c r="D2134" s="156" t="s">
        <v>531</v>
      </c>
      <c r="E2134">
        <v>17828234</v>
      </c>
      <c r="F2134">
        <v>990666.82160000002</v>
      </c>
      <c r="G2134">
        <v>55.542000000000002</v>
      </c>
      <c r="H2134">
        <v>1.0474600000000001</v>
      </c>
      <c r="I2134">
        <v>1</v>
      </c>
      <c r="J2134" s="156">
        <v>1</v>
      </c>
      <c r="K2134">
        <v>1</v>
      </c>
      <c r="L2134">
        <v>1</v>
      </c>
      <c r="M2134">
        <v>1</v>
      </c>
      <c r="N2134">
        <v>1.0474600000000001</v>
      </c>
    </row>
    <row r="2135" spans="1:14" x14ac:dyDescent="0.35">
      <c r="A2135" s="156" t="s">
        <v>542</v>
      </c>
      <c r="B2135" s="52">
        <v>45734</v>
      </c>
      <c r="C2135" s="156" t="s">
        <v>531</v>
      </c>
      <c r="D2135" s="156" t="s">
        <v>531</v>
      </c>
      <c r="E2135">
        <v>11594191</v>
      </c>
      <c r="F2135">
        <v>627435.22919999994</v>
      </c>
      <c r="G2135">
        <v>54.100200000000001</v>
      </c>
      <c r="H2135">
        <v>0.94849600000000001</v>
      </c>
      <c r="I2135">
        <v>1</v>
      </c>
      <c r="J2135" s="156">
        <v>1</v>
      </c>
      <c r="K2135">
        <v>1</v>
      </c>
      <c r="L2135">
        <v>1</v>
      </c>
      <c r="M2135">
        <v>1</v>
      </c>
      <c r="N2135">
        <v>0.94849600000000001</v>
      </c>
    </row>
    <row r="2136" spans="1:14" x14ac:dyDescent="0.35">
      <c r="A2136" s="156" t="s">
        <v>542</v>
      </c>
      <c r="B2136" s="52">
        <v>45735</v>
      </c>
      <c r="C2136" s="156" t="s">
        <v>531</v>
      </c>
      <c r="D2136" s="156" t="s">
        <v>531</v>
      </c>
      <c r="E2136">
        <v>9520750</v>
      </c>
      <c r="F2136">
        <v>526080.4963</v>
      </c>
      <c r="G2136">
        <v>55.258000000000003</v>
      </c>
      <c r="H2136">
        <v>1.0322819999999999</v>
      </c>
      <c r="I2136">
        <v>1</v>
      </c>
      <c r="J2136" s="156">
        <v>1</v>
      </c>
      <c r="K2136">
        <v>1</v>
      </c>
      <c r="L2136">
        <v>1</v>
      </c>
      <c r="M2136">
        <v>1</v>
      </c>
      <c r="N2136">
        <v>1.0322819999999999</v>
      </c>
    </row>
    <row r="2137" spans="1:14" x14ac:dyDescent="0.35">
      <c r="A2137" s="156" t="s">
        <v>542</v>
      </c>
      <c r="B2137" s="52">
        <v>45736</v>
      </c>
      <c r="C2137" s="156" t="s">
        <v>531</v>
      </c>
      <c r="D2137" s="156" t="s">
        <v>531</v>
      </c>
      <c r="E2137">
        <v>8171246</v>
      </c>
      <c r="F2137">
        <v>459286.96350000001</v>
      </c>
      <c r="G2137">
        <v>56.202399999999997</v>
      </c>
      <c r="H2137">
        <v>1.0095810000000001</v>
      </c>
      <c r="I2137">
        <v>1</v>
      </c>
      <c r="J2137" s="156">
        <v>1</v>
      </c>
      <c r="K2137">
        <v>1</v>
      </c>
      <c r="L2137">
        <v>1</v>
      </c>
      <c r="M2137">
        <v>1</v>
      </c>
      <c r="N2137">
        <v>1.0095810000000001</v>
      </c>
    </row>
    <row r="2138" spans="1:14" x14ac:dyDescent="0.35">
      <c r="A2138" s="156" t="s">
        <v>542</v>
      </c>
      <c r="B2138" s="52">
        <v>45737</v>
      </c>
      <c r="C2138" s="156" t="s">
        <v>531</v>
      </c>
      <c r="D2138" s="156" t="s">
        <v>531</v>
      </c>
      <c r="E2138">
        <v>9045625</v>
      </c>
      <c r="F2138">
        <v>506568.33909999998</v>
      </c>
      <c r="G2138">
        <v>56.009099999999997</v>
      </c>
      <c r="H2138">
        <v>1.0082359999999999</v>
      </c>
      <c r="I2138">
        <v>1</v>
      </c>
      <c r="J2138" s="156">
        <v>1</v>
      </c>
      <c r="K2138">
        <v>1</v>
      </c>
      <c r="L2138">
        <v>1</v>
      </c>
      <c r="M2138">
        <v>1</v>
      </c>
      <c r="N2138">
        <v>1.0082359999999999</v>
      </c>
    </row>
    <row r="2139" spans="1:14" x14ac:dyDescent="0.35">
      <c r="A2139" s="156" t="s">
        <v>542</v>
      </c>
      <c r="B2139" s="52">
        <v>45740</v>
      </c>
      <c r="C2139" s="156" t="s">
        <v>531</v>
      </c>
      <c r="D2139" s="156" t="s">
        <v>531</v>
      </c>
      <c r="E2139">
        <v>10048377</v>
      </c>
      <c r="F2139">
        <v>587335.48049999995</v>
      </c>
      <c r="G2139">
        <v>58.451300000000003</v>
      </c>
      <c r="H2139">
        <v>1.053809</v>
      </c>
      <c r="I2139">
        <v>1</v>
      </c>
      <c r="J2139" s="156">
        <v>1</v>
      </c>
      <c r="K2139">
        <v>1</v>
      </c>
      <c r="L2139">
        <v>1</v>
      </c>
      <c r="M2139">
        <v>1</v>
      </c>
      <c r="N2139">
        <v>1.053809</v>
      </c>
    </row>
    <row r="2140" spans="1:14" x14ac:dyDescent="0.35">
      <c r="A2140" s="156" t="s">
        <v>542</v>
      </c>
      <c r="B2140" s="52">
        <v>45741</v>
      </c>
      <c r="C2140" s="156" t="s">
        <v>531</v>
      </c>
      <c r="D2140" s="156" t="s">
        <v>531</v>
      </c>
      <c r="E2140">
        <v>12831666</v>
      </c>
      <c r="F2140">
        <v>786029.87049999996</v>
      </c>
      <c r="G2140">
        <v>61.2714</v>
      </c>
      <c r="H2140">
        <v>1.044826</v>
      </c>
      <c r="I2140">
        <v>1</v>
      </c>
      <c r="J2140" s="156">
        <v>1</v>
      </c>
      <c r="K2140">
        <v>1</v>
      </c>
      <c r="L2140">
        <v>1</v>
      </c>
      <c r="M2140">
        <v>1</v>
      </c>
      <c r="N2140">
        <v>1.044826</v>
      </c>
    </row>
    <row r="2141" spans="1:14" x14ac:dyDescent="0.35">
      <c r="A2141" s="156" t="s">
        <v>542</v>
      </c>
      <c r="B2141" s="52">
        <v>45742</v>
      </c>
      <c r="C2141" s="156" t="s">
        <v>531</v>
      </c>
      <c r="D2141" s="156" t="s">
        <v>531</v>
      </c>
      <c r="E2141">
        <v>10530528</v>
      </c>
      <c r="F2141">
        <v>629109.38359999994</v>
      </c>
      <c r="G2141">
        <v>59.778700000000001</v>
      </c>
      <c r="H2141">
        <v>0.94838699999999998</v>
      </c>
      <c r="I2141">
        <v>1</v>
      </c>
      <c r="J2141" s="156">
        <v>1</v>
      </c>
      <c r="K2141">
        <v>1</v>
      </c>
      <c r="L2141">
        <v>1</v>
      </c>
      <c r="M2141">
        <v>1</v>
      </c>
      <c r="N2141">
        <v>0.94838699999999998</v>
      </c>
    </row>
    <row r="2142" spans="1:14" x14ac:dyDescent="0.35">
      <c r="A2142" s="156" t="s">
        <v>542</v>
      </c>
      <c r="B2142" s="52">
        <v>45743</v>
      </c>
      <c r="C2142" s="156" t="s">
        <v>531</v>
      </c>
      <c r="D2142" s="156" t="s">
        <v>531</v>
      </c>
      <c r="E2142">
        <v>6746763</v>
      </c>
      <c r="F2142">
        <v>391083.53210000001</v>
      </c>
      <c r="G2142">
        <v>57.954799999999999</v>
      </c>
      <c r="H2142">
        <v>0.97380999999999995</v>
      </c>
      <c r="I2142">
        <v>1</v>
      </c>
      <c r="J2142" s="156">
        <v>1</v>
      </c>
      <c r="K2142">
        <v>1</v>
      </c>
      <c r="L2142">
        <v>1</v>
      </c>
      <c r="M2142">
        <v>1</v>
      </c>
      <c r="N2142">
        <v>0.97380999999999995</v>
      </c>
    </row>
    <row r="2143" spans="1:14" x14ac:dyDescent="0.35">
      <c r="A2143" s="156" t="s">
        <v>542</v>
      </c>
      <c r="B2143" s="52">
        <v>45744</v>
      </c>
      <c r="C2143" s="156" t="s">
        <v>531</v>
      </c>
      <c r="D2143" s="156" t="s">
        <v>531</v>
      </c>
      <c r="E2143">
        <v>6445570</v>
      </c>
      <c r="F2143">
        <v>362804.94</v>
      </c>
      <c r="G2143">
        <v>56.288800000000002</v>
      </c>
      <c r="H2143">
        <v>0.97537499999999999</v>
      </c>
      <c r="I2143">
        <v>1</v>
      </c>
      <c r="J2143" s="156">
        <v>1</v>
      </c>
      <c r="K2143">
        <v>1</v>
      </c>
      <c r="L2143">
        <v>1</v>
      </c>
      <c r="M2143">
        <v>1</v>
      </c>
      <c r="N2143">
        <v>0.97537499999999999</v>
      </c>
    </row>
    <row r="2144" spans="1:14" x14ac:dyDescent="0.35">
      <c r="A2144" s="156" t="s">
        <v>542</v>
      </c>
      <c r="B2144" s="52">
        <v>45747</v>
      </c>
      <c r="C2144" s="156" t="s">
        <v>531</v>
      </c>
      <c r="D2144" s="156" t="s">
        <v>531</v>
      </c>
      <c r="E2144">
        <v>8359265</v>
      </c>
      <c r="F2144">
        <v>453167.32640000002</v>
      </c>
      <c r="G2144">
        <v>54.228200000000001</v>
      </c>
      <c r="H2144">
        <v>0.97976700000000005</v>
      </c>
      <c r="I2144">
        <v>1</v>
      </c>
      <c r="J2144" s="156">
        <v>1</v>
      </c>
      <c r="K2144">
        <v>1</v>
      </c>
      <c r="L2144">
        <v>1</v>
      </c>
      <c r="M2144">
        <v>1</v>
      </c>
      <c r="N2144">
        <v>0.97976700000000005</v>
      </c>
    </row>
    <row r="2145" spans="1:14" x14ac:dyDescent="0.35">
      <c r="A2145" s="156" t="s">
        <v>542</v>
      </c>
      <c r="B2145" s="52">
        <v>45748</v>
      </c>
      <c r="C2145" s="156" t="s">
        <v>531</v>
      </c>
      <c r="D2145" s="156" t="s">
        <v>531</v>
      </c>
      <c r="E2145">
        <v>9738801</v>
      </c>
      <c r="F2145">
        <v>551953.04790000001</v>
      </c>
      <c r="G2145">
        <v>56.689700000000002</v>
      </c>
      <c r="H2145">
        <v>1.0434939999999999</v>
      </c>
      <c r="I2145">
        <v>1</v>
      </c>
      <c r="J2145" s="156">
        <v>1</v>
      </c>
      <c r="K2145">
        <v>1</v>
      </c>
      <c r="L2145">
        <v>1</v>
      </c>
      <c r="M2145">
        <v>1</v>
      </c>
      <c r="N2145">
        <v>1.0434939999999999</v>
      </c>
    </row>
    <row r="2146" spans="1:14" x14ac:dyDescent="0.35">
      <c r="A2146" s="156" t="s">
        <v>542</v>
      </c>
      <c r="B2146" s="52">
        <v>45749</v>
      </c>
      <c r="C2146" s="156" t="s">
        <v>531</v>
      </c>
      <c r="D2146" s="156" t="s">
        <v>531</v>
      </c>
      <c r="E2146">
        <v>10036325</v>
      </c>
      <c r="F2146">
        <v>567661.09050000005</v>
      </c>
      <c r="G2146">
        <v>56.523000000000003</v>
      </c>
      <c r="H2146">
        <v>0.985989</v>
      </c>
      <c r="I2146">
        <v>1</v>
      </c>
      <c r="J2146" s="156">
        <v>1</v>
      </c>
      <c r="K2146">
        <v>1</v>
      </c>
      <c r="L2146">
        <v>1</v>
      </c>
      <c r="M2146">
        <v>1</v>
      </c>
      <c r="N2146">
        <v>0.985989</v>
      </c>
    </row>
    <row r="2147" spans="1:14" x14ac:dyDescent="0.35">
      <c r="A2147" s="156" t="s">
        <v>542</v>
      </c>
      <c r="B2147" s="52">
        <v>45750</v>
      </c>
      <c r="C2147" s="156" t="s">
        <v>531</v>
      </c>
      <c r="D2147" s="156" t="s">
        <v>531</v>
      </c>
      <c r="E2147">
        <v>15236272</v>
      </c>
      <c r="F2147">
        <v>762427.652</v>
      </c>
      <c r="G2147">
        <v>49.943100000000001</v>
      </c>
      <c r="H2147">
        <v>0.87175800000000003</v>
      </c>
      <c r="I2147">
        <v>1</v>
      </c>
      <c r="J2147" s="156">
        <v>1</v>
      </c>
      <c r="K2147">
        <v>1</v>
      </c>
      <c r="L2147">
        <v>1</v>
      </c>
      <c r="M2147">
        <v>1</v>
      </c>
      <c r="N2147">
        <v>0.87175800000000003</v>
      </c>
    </row>
    <row r="2148" spans="1:14" x14ac:dyDescent="0.35">
      <c r="A2148" s="156" t="s">
        <v>542</v>
      </c>
      <c r="B2148" s="52">
        <v>45751</v>
      </c>
      <c r="C2148" s="156" t="s">
        <v>531</v>
      </c>
      <c r="D2148" s="156" t="s">
        <v>531</v>
      </c>
      <c r="E2148">
        <v>15320614</v>
      </c>
      <c r="F2148">
        <v>713402.59660000005</v>
      </c>
      <c r="G2148">
        <v>46.548099999999998</v>
      </c>
      <c r="H2148">
        <v>0.94213499999999994</v>
      </c>
      <c r="I2148">
        <v>1</v>
      </c>
      <c r="J2148" s="156">
        <v>1</v>
      </c>
      <c r="K2148">
        <v>1</v>
      </c>
      <c r="L2148">
        <v>1</v>
      </c>
      <c r="M2148">
        <v>1</v>
      </c>
      <c r="N2148">
        <v>0.94213499999999994</v>
      </c>
    </row>
    <row r="2149" spans="1:14" x14ac:dyDescent="0.35">
      <c r="A2149" s="156" t="s">
        <v>542</v>
      </c>
      <c r="B2149" s="52">
        <v>45754</v>
      </c>
      <c r="C2149" s="156" t="s">
        <v>531</v>
      </c>
      <c r="D2149" s="156" t="s">
        <v>531</v>
      </c>
      <c r="E2149">
        <v>15371304</v>
      </c>
      <c r="F2149">
        <v>706586.91480000003</v>
      </c>
      <c r="G2149">
        <v>45.966200000000001</v>
      </c>
      <c r="H2149">
        <v>1.0021629999999999</v>
      </c>
      <c r="I2149">
        <v>1</v>
      </c>
      <c r="J2149" s="156">
        <v>1</v>
      </c>
      <c r="K2149">
        <v>1</v>
      </c>
      <c r="L2149">
        <v>1</v>
      </c>
      <c r="M2149">
        <v>1</v>
      </c>
      <c r="N2149">
        <v>1.0021629999999999</v>
      </c>
    </row>
    <row r="2150" spans="1:14" x14ac:dyDescent="0.35">
      <c r="A2150" s="156" t="s">
        <v>542</v>
      </c>
      <c r="B2150" s="52">
        <v>45755</v>
      </c>
      <c r="C2150" s="156" t="s">
        <v>531</v>
      </c>
      <c r="D2150" s="156" t="s">
        <v>531</v>
      </c>
      <c r="E2150">
        <v>11143479</v>
      </c>
      <c r="F2150">
        <v>518126.33480000001</v>
      </c>
      <c r="G2150">
        <v>46.581299999999999</v>
      </c>
      <c r="H2150">
        <v>0.97690999999999995</v>
      </c>
      <c r="I2150">
        <v>1</v>
      </c>
      <c r="J2150" s="156">
        <v>1</v>
      </c>
      <c r="K2150">
        <v>1</v>
      </c>
      <c r="L2150">
        <v>1</v>
      </c>
      <c r="M2150">
        <v>1</v>
      </c>
      <c r="N2150">
        <v>0.97690999999999995</v>
      </c>
    </row>
    <row r="2151" spans="1:14" x14ac:dyDescent="0.35">
      <c r="A2151" s="156" t="s">
        <v>542</v>
      </c>
      <c r="B2151" s="52">
        <v>45756</v>
      </c>
      <c r="C2151" s="156" t="s">
        <v>531</v>
      </c>
      <c r="D2151" s="156" t="s">
        <v>531</v>
      </c>
      <c r="E2151">
        <v>16387212</v>
      </c>
      <c r="F2151">
        <v>844830.51159999997</v>
      </c>
      <c r="G2151">
        <v>51.635199999999998</v>
      </c>
      <c r="H2151">
        <v>1.1954940000000001</v>
      </c>
      <c r="I2151">
        <v>1</v>
      </c>
      <c r="J2151" s="156">
        <v>1</v>
      </c>
      <c r="K2151">
        <v>1</v>
      </c>
      <c r="L2151">
        <v>1</v>
      </c>
      <c r="M2151">
        <v>1</v>
      </c>
      <c r="N2151">
        <v>1.1954940000000001</v>
      </c>
    </row>
    <row r="2152" spans="1:14" x14ac:dyDescent="0.35">
      <c r="A2152" s="156" t="s">
        <v>542</v>
      </c>
      <c r="B2152" s="52">
        <v>45757</v>
      </c>
      <c r="C2152" s="156" t="s">
        <v>531</v>
      </c>
      <c r="D2152" s="156" t="s">
        <v>531</v>
      </c>
      <c r="E2152">
        <v>11727374</v>
      </c>
      <c r="F2152">
        <v>588740.27009999997</v>
      </c>
      <c r="G2152">
        <v>49.949800000000003</v>
      </c>
      <c r="H2152">
        <v>0.91038399999999997</v>
      </c>
      <c r="I2152">
        <v>1</v>
      </c>
      <c r="J2152" s="156">
        <v>1</v>
      </c>
      <c r="K2152">
        <v>1</v>
      </c>
      <c r="L2152">
        <v>1</v>
      </c>
      <c r="M2152">
        <v>1</v>
      </c>
      <c r="N2152">
        <v>0.91038399999999997</v>
      </c>
    </row>
    <row r="2153" spans="1:14" x14ac:dyDescent="0.35">
      <c r="A2153" s="156" t="s">
        <v>542</v>
      </c>
      <c r="B2153" s="52">
        <v>45758</v>
      </c>
      <c r="C2153" s="156" t="s">
        <v>531</v>
      </c>
      <c r="D2153" s="156" t="s">
        <v>531</v>
      </c>
      <c r="E2153">
        <v>7147182</v>
      </c>
      <c r="F2153">
        <v>351742.7697</v>
      </c>
      <c r="G2153">
        <v>49.2256</v>
      </c>
      <c r="H2153">
        <v>1.010351</v>
      </c>
      <c r="I2153">
        <v>1</v>
      </c>
      <c r="J2153" s="156">
        <v>1</v>
      </c>
      <c r="K2153">
        <v>1</v>
      </c>
      <c r="L2153">
        <v>1</v>
      </c>
      <c r="M2153">
        <v>1</v>
      </c>
      <c r="N2153">
        <v>1.010351</v>
      </c>
    </row>
    <row r="2154" spans="1:14" x14ac:dyDescent="0.35">
      <c r="A2154" s="156" t="s">
        <v>542</v>
      </c>
      <c r="B2154" s="52">
        <v>45761</v>
      </c>
      <c r="C2154" s="156" t="s">
        <v>531</v>
      </c>
      <c r="D2154" s="156" t="s">
        <v>531</v>
      </c>
      <c r="E2154">
        <v>11666796</v>
      </c>
      <c r="F2154">
        <v>572267.28460000001</v>
      </c>
      <c r="G2154">
        <v>49.073099999999997</v>
      </c>
      <c r="H2154">
        <v>0.97709900000000005</v>
      </c>
      <c r="I2154">
        <v>1</v>
      </c>
      <c r="J2154" s="156">
        <v>1</v>
      </c>
      <c r="K2154">
        <v>1</v>
      </c>
      <c r="L2154">
        <v>1</v>
      </c>
      <c r="M2154">
        <v>1</v>
      </c>
      <c r="N2154">
        <v>0.97709900000000005</v>
      </c>
    </row>
    <row r="2155" spans="1:14" x14ac:dyDescent="0.35">
      <c r="A2155" s="156" t="s">
        <v>542</v>
      </c>
      <c r="B2155" s="52">
        <v>45762</v>
      </c>
      <c r="C2155" s="156" t="s">
        <v>531</v>
      </c>
      <c r="D2155" s="156" t="s">
        <v>531</v>
      </c>
      <c r="E2155">
        <v>9762636</v>
      </c>
      <c r="F2155">
        <v>474790.45699999999</v>
      </c>
      <c r="G2155">
        <v>48.614100000000001</v>
      </c>
      <c r="H2155">
        <v>1.0123359999999999</v>
      </c>
      <c r="I2155">
        <v>1</v>
      </c>
      <c r="J2155" s="156">
        <v>1</v>
      </c>
      <c r="K2155">
        <v>1</v>
      </c>
      <c r="L2155">
        <v>1</v>
      </c>
      <c r="M2155">
        <v>1</v>
      </c>
      <c r="N2155">
        <v>1.0123359999999999</v>
      </c>
    </row>
    <row r="2156" spans="1:14" x14ac:dyDescent="0.35">
      <c r="A2156" s="156" t="s">
        <v>542</v>
      </c>
      <c r="B2156" s="52">
        <v>45763</v>
      </c>
      <c r="C2156" s="156" t="s">
        <v>531</v>
      </c>
      <c r="D2156" s="156" t="s">
        <v>531</v>
      </c>
      <c r="E2156">
        <v>6085369</v>
      </c>
      <c r="F2156">
        <v>294764.57459999999</v>
      </c>
      <c r="G2156">
        <v>48.437800000000003</v>
      </c>
      <c r="H2156">
        <v>0.98395600000000005</v>
      </c>
      <c r="I2156">
        <v>1</v>
      </c>
      <c r="J2156" s="156">
        <v>1</v>
      </c>
      <c r="K2156">
        <v>1</v>
      </c>
      <c r="L2156">
        <v>1</v>
      </c>
      <c r="M2156">
        <v>1</v>
      </c>
      <c r="N2156">
        <v>0.98395600000000005</v>
      </c>
    </row>
    <row r="2157" spans="1:14" x14ac:dyDescent="0.35">
      <c r="A2157" s="156" t="s">
        <v>542</v>
      </c>
      <c r="B2157" s="52">
        <v>45764</v>
      </c>
      <c r="C2157" s="156" t="s">
        <v>531</v>
      </c>
      <c r="D2157" s="156" t="s">
        <v>531</v>
      </c>
      <c r="E2157">
        <v>13961648</v>
      </c>
      <c r="F2157">
        <v>697697.42020000005</v>
      </c>
      <c r="G2157">
        <v>50.025599999999997</v>
      </c>
      <c r="H2157">
        <v>1.037358</v>
      </c>
      <c r="I2157">
        <v>1</v>
      </c>
      <c r="J2157" s="156">
        <v>1</v>
      </c>
      <c r="K2157">
        <v>1</v>
      </c>
      <c r="L2157">
        <v>1</v>
      </c>
      <c r="M2157">
        <v>1</v>
      </c>
      <c r="N2157">
        <v>1.037358</v>
      </c>
    </row>
    <row r="2158" spans="1:14" x14ac:dyDescent="0.35">
      <c r="A2158" s="156" t="s">
        <v>542</v>
      </c>
      <c r="B2158" s="52">
        <v>45768</v>
      </c>
      <c r="C2158" s="156" t="s">
        <v>531</v>
      </c>
      <c r="D2158" s="156" t="s">
        <v>531</v>
      </c>
      <c r="E2158">
        <v>6885001</v>
      </c>
      <c r="F2158">
        <v>327444.20539999998</v>
      </c>
      <c r="G2158">
        <v>47.569699999999997</v>
      </c>
      <c r="H2158">
        <v>0.94627899999999998</v>
      </c>
      <c r="I2158">
        <v>1</v>
      </c>
      <c r="J2158" s="156">
        <v>1</v>
      </c>
      <c r="K2158">
        <v>1</v>
      </c>
      <c r="L2158">
        <v>1</v>
      </c>
      <c r="M2158">
        <v>1</v>
      </c>
      <c r="N2158">
        <v>0.94627899999999998</v>
      </c>
    </row>
    <row r="2159" spans="1:14" x14ac:dyDescent="0.35">
      <c r="A2159" s="156" t="s">
        <v>542</v>
      </c>
      <c r="B2159" s="52">
        <v>45769</v>
      </c>
      <c r="C2159" s="156" t="s">
        <v>531</v>
      </c>
      <c r="D2159" s="156" t="s">
        <v>531</v>
      </c>
      <c r="E2159">
        <v>8006158</v>
      </c>
      <c r="F2159">
        <v>388649.14600000001</v>
      </c>
      <c r="G2159">
        <v>48.585700000000003</v>
      </c>
      <c r="H2159">
        <v>1.023129</v>
      </c>
      <c r="I2159">
        <v>1</v>
      </c>
      <c r="J2159" s="156">
        <v>1</v>
      </c>
      <c r="K2159">
        <v>1</v>
      </c>
      <c r="L2159">
        <v>1</v>
      </c>
      <c r="M2159">
        <v>1</v>
      </c>
      <c r="N2159">
        <v>1.023129</v>
      </c>
    </row>
    <row r="2160" spans="1:14" x14ac:dyDescent="0.35">
      <c r="A2160" s="156" t="s">
        <v>542</v>
      </c>
      <c r="B2160" s="52">
        <v>45770</v>
      </c>
      <c r="C2160" s="156" t="s">
        <v>531</v>
      </c>
      <c r="D2160" s="156" t="s">
        <v>531</v>
      </c>
      <c r="E2160">
        <v>8850920</v>
      </c>
      <c r="F2160">
        <v>452927.4007</v>
      </c>
      <c r="G2160">
        <v>51.160600000000002</v>
      </c>
      <c r="H2160">
        <v>1.029182</v>
      </c>
      <c r="I2160">
        <v>1</v>
      </c>
      <c r="J2160" s="156">
        <v>1</v>
      </c>
      <c r="K2160">
        <v>1</v>
      </c>
      <c r="L2160">
        <v>1</v>
      </c>
      <c r="M2160">
        <v>1</v>
      </c>
      <c r="N2160">
        <v>1.029182</v>
      </c>
    </row>
    <row r="2161" spans="1:14" x14ac:dyDescent="0.35">
      <c r="A2161" s="156" t="s">
        <v>542</v>
      </c>
      <c r="B2161" s="52">
        <v>45771</v>
      </c>
      <c r="C2161" s="156" t="s">
        <v>531</v>
      </c>
      <c r="D2161" s="156" t="s">
        <v>531</v>
      </c>
      <c r="E2161">
        <v>6880785</v>
      </c>
      <c r="F2161">
        <v>362508.24680000002</v>
      </c>
      <c r="G2161">
        <v>52.703800000000001</v>
      </c>
      <c r="H2161">
        <v>1.063698</v>
      </c>
      <c r="I2161">
        <v>1</v>
      </c>
      <c r="J2161" s="156">
        <v>1</v>
      </c>
      <c r="K2161">
        <v>1</v>
      </c>
      <c r="L2161">
        <v>1</v>
      </c>
      <c r="M2161">
        <v>1</v>
      </c>
      <c r="N2161">
        <v>1.063698</v>
      </c>
    </row>
    <row r="2162" spans="1:14" x14ac:dyDescent="0.35">
      <c r="A2162" s="156" t="s">
        <v>542</v>
      </c>
      <c r="B2162" s="52">
        <v>45772</v>
      </c>
      <c r="C2162" s="156" t="s">
        <v>531</v>
      </c>
      <c r="D2162" s="156" t="s">
        <v>531</v>
      </c>
      <c r="E2162">
        <v>6294376</v>
      </c>
      <c r="F2162">
        <v>338905.64169999998</v>
      </c>
      <c r="G2162">
        <v>53.8309</v>
      </c>
      <c r="H2162">
        <v>1.0131410000000001</v>
      </c>
      <c r="I2162">
        <v>1</v>
      </c>
      <c r="J2162" s="156">
        <v>1</v>
      </c>
      <c r="K2162">
        <v>1</v>
      </c>
      <c r="L2162">
        <v>1</v>
      </c>
      <c r="M2162">
        <v>1</v>
      </c>
      <c r="N2162">
        <v>1.0131410000000001</v>
      </c>
    </row>
    <row r="2163" spans="1:14" x14ac:dyDescent="0.35">
      <c r="A2163" s="156" t="s">
        <v>542</v>
      </c>
      <c r="B2163" s="52">
        <v>45775</v>
      </c>
      <c r="C2163" s="156" t="s">
        <v>531</v>
      </c>
      <c r="D2163" s="156" t="s">
        <v>531</v>
      </c>
      <c r="E2163">
        <v>5186930</v>
      </c>
      <c r="F2163">
        <v>281471.4325</v>
      </c>
      <c r="G2163">
        <v>54.264800000000001</v>
      </c>
      <c r="H2163">
        <v>1.0079670000000001</v>
      </c>
      <c r="I2163">
        <v>1</v>
      </c>
      <c r="J2163" s="156">
        <v>1</v>
      </c>
      <c r="K2163">
        <v>1</v>
      </c>
      <c r="L2163">
        <v>1</v>
      </c>
      <c r="M2163">
        <v>1</v>
      </c>
      <c r="N2163">
        <v>1.0079670000000001</v>
      </c>
    </row>
    <row r="2164" spans="1:14" x14ac:dyDescent="0.35">
      <c r="A2164" s="156" t="s">
        <v>542</v>
      </c>
      <c r="B2164" s="52">
        <v>45776</v>
      </c>
      <c r="C2164" s="156" t="s">
        <v>531</v>
      </c>
      <c r="D2164" s="156" t="s">
        <v>531</v>
      </c>
      <c r="E2164">
        <v>5684410</v>
      </c>
      <c r="F2164">
        <v>310248.97979999997</v>
      </c>
      <c r="G2164">
        <v>54.582700000000003</v>
      </c>
      <c r="H2164">
        <v>1.0049630000000001</v>
      </c>
      <c r="I2164">
        <v>1</v>
      </c>
      <c r="J2164" s="156">
        <v>1</v>
      </c>
      <c r="K2164">
        <v>1</v>
      </c>
      <c r="L2164">
        <v>1</v>
      </c>
      <c r="M2164">
        <v>1</v>
      </c>
      <c r="N2164">
        <v>1.0049630000000001</v>
      </c>
    </row>
    <row r="2165" spans="1:14" x14ac:dyDescent="0.35">
      <c r="A2165" s="156" t="s">
        <v>542</v>
      </c>
      <c r="B2165" s="52">
        <v>45777</v>
      </c>
      <c r="C2165" s="156" t="s">
        <v>531</v>
      </c>
      <c r="D2165" s="156" t="s">
        <v>531</v>
      </c>
      <c r="E2165">
        <v>5451609</v>
      </c>
      <c r="F2165">
        <v>289645.83799999999</v>
      </c>
      <c r="G2165">
        <v>53.138800000000003</v>
      </c>
      <c r="H2165">
        <v>0.98097699999999999</v>
      </c>
      <c r="I2165">
        <v>1</v>
      </c>
      <c r="J2165" s="156">
        <v>1</v>
      </c>
      <c r="K2165">
        <v>1</v>
      </c>
      <c r="L2165">
        <v>1</v>
      </c>
      <c r="M2165">
        <v>1</v>
      </c>
      <c r="N2165">
        <v>0.98097699999999999</v>
      </c>
    </row>
    <row r="2166" spans="1:14" x14ac:dyDescent="0.35">
      <c r="A2166" s="156" t="s">
        <v>542</v>
      </c>
      <c r="B2166" s="52">
        <v>45778</v>
      </c>
      <c r="C2166" s="156" t="s">
        <v>531</v>
      </c>
      <c r="D2166" s="156" t="s">
        <v>531</v>
      </c>
      <c r="E2166">
        <v>8839192</v>
      </c>
      <c r="F2166">
        <v>476009.72480000003</v>
      </c>
      <c r="G2166">
        <v>53.813099999999999</v>
      </c>
      <c r="H2166">
        <v>0.98937200000000003</v>
      </c>
      <c r="I2166">
        <v>1</v>
      </c>
      <c r="J2166" s="156">
        <v>1</v>
      </c>
      <c r="K2166">
        <v>1</v>
      </c>
      <c r="L2166">
        <v>1</v>
      </c>
      <c r="M2166">
        <v>1</v>
      </c>
      <c r="N2166">
        <v>0.98937200000000003</v>
      </c>
    </row>
    <row r="2167" spans="1:14" x14ac:dyDescent="0.35">
      <c r="A2167" s="156" t="s">
        <v>542</v>
      </c>
      <c r="B2167" s="52">
        <v>45779</v>
      </c>
      <c r="C2167" s="156" t="s">
        <v>531</v>
      </c>
      <c r="D2167" s="156" t="s">
        <v>531</v>
      </c>
      <c r="E2167">
        <v>10786422</v>
      </c>
      <c r="F2167">
        <v>585226.41489999997</v>
      </c>
      <c r="G2167">
        <v>54.247799999999998</v>
      </c>
      <c r="H2167">
        <v>1.019412</v>
      </c>
      <c r="I2167">
        <v>1</v>
      </c>
      <c r="J2167" s="156">
        <v>1</v>
      </c>
      <c r="K2167">
        <v>1</v>
      </c>
      <c r="L2167">
        <v>1</v>
      </c>
      <c r="M2167">
        <v>1</v>
      </c>
      <c r="N2167">
        <v>1.019412</v>
      </c>
    </row>
    <row r="2168" spans="1:14" x14ac:dyDescent="0.35">
      <c r="A2168" s="156" t="s">
        <v>542</v>
      </c>
      <c r="B2168" s="52">
        <v>45782</v>
      </c>
      <c r="C2168" s="156" t="s">
        <v>531</v>
      </c>
      <c r="D2168" s="156" t="s">
        <v>531</v>
      </c>
      <c r="E2168">
        <v>11724889</v>
      </c>
      <c r="F2168">
        <v>655503.65769999998</v>
      </c>
      <c r="G2168">
        <v>55.886899999999997</v>
      </c>
      <c r="H2168">
        <v>1.026068</v>
      </c>
      <c r="I2168">
        <v>1</v>
      </c>
      <c r="J2168" s="156">
        <v>1</v>
      </c>
      <c r="K2168">
        <v>1</v>
      </c>
      <c r="L2168">
        <v>1</v>
      </c>
      <c r="M2168">
        <v>1</v>
      </c>
      <c r="N2168">
        <v>1.026068</v>
      </c>
    </row>
    <row r="2169" spans="1:14" x14ac:dyDescent="0.35">
      <c r="A2169" s="156" t="s">
        <v>542</v>
      </c>
      <c r="B2169" s="52">
        <v>45783</v>
      </c>
      <c r="C2169" s="156" t="s">
        <v>531</v>
      </c>
      <c r="D2169" s="156" t="s">
        <v>531</v>
      </c>
      <c r="E2169">
        <v>9570296</v>
      </c>
      <c r="F2169">
        <v>533818.51699999999</v>
      </c>
      <c r="G2169">
        <v>55.8095</v>
      </c>
      <c r="H2169">
        <v>1.0023420000000001</v>
      </c>
      <c r="I2169">
        <v>1</v>
      </c>
      <c r="J2169" s="156">
        <v>1</v>
      </c>
      <c r="K2169">
        <v>1</v>
      </c>
      <c r="L2169">
        <v>1</v>
      </c>
      <c r="M2169">
        <v>1</v>
      </c>
      <c r="N2169">
        <v>1.0023420000000001</v>
      </c>
    </row>
    <row r="2170" spans="1:14" x14ac:dyDescent="0.35">
      <c r="A2170" s="156" t="s">
        <v>542</v>
      </c>
      <c r="B2170" s="52">
        <v>45784</v>
      </c>
      <c r="C2170" s="156" t="s">
        <v>531</v>
      </c>
      <c r="D2170" s="156" t="s">
        <v>531</v>
      </c>
      <c r="E2170">
        <v>8565367</v>
      </c>
      <c r="F2170">
        <v>482068.00650000002</v>
      </c>
      <c r="G2170">
        <v>56.288899999999998</v>
      </c>
      <c r="H2170">
        <v>1.01492</v>
      </c>
      <c r="I2170">
        <v>1</v>
      </c>
      <c r="J2170" s="156">
        <v>1</v>
      </c>
      <c r="K2170">
        <v>1</v>
      </c>
      <c r="L2170">
        <v>1</v>
      </c>
      <c r="M2170">
        <v>1</v>
      </c>
      <c r="N2170">
        <v>1.01492</v>
      </c>
    </row>
    <row r="2171" spans="1:14" x14ac:dyDescent="0.35">
      <c r="A2171" s="156" t="s">
        <v>542</v>
      </c>
      <c r="B2171" s="52">
        <v>45785</v>
      </c>
      <c r="C2171" s="156" t="s">
        <v>531</v>
      </c>
      <c r="D2171" s="156" t="s">
        <v>531</v>
      </c>
      <c r="E2171">
        <v>26501969</v>
      </c>
      <c r="F2171">
        <v>1623453.0157999999</v>
      </c>
      <c r="G2171">
        <v>61.355800000000002</v>
      </c>
      <c r="H2171">
        <v>1.0609280000000001</v>
      </c>
      <c r="I2171">
        <v>1</v>
      </c>
      <c r="J2171" s="156">
        <v>1</v>
      </c>
      <c r="K2171">
        <v>1</v>
      </c>
      <c r="L2171">
        <v>1</v>
      </c>
      <c r="M2171">
        <v>1</v>
      </c>
      <c r="N2171">
        <v>1.0609280000000001</v>
      </c>
    </row>
    <row r="2172" spans="1:14" x14ac:dyDescent="0.35">
      <c r="A2172" s="156" t="s">
        <v>542</v>
      </c>
      <c r="B2172" s="52">
        <v>45786</v>
      </c>
      <c r="C2172" s="156" t="s">
        <v>531</v>
      </c>
      <c r="D2172" s="156" t="s">
        <v>531</v>
      </c>
      <c r="E2172">
        <v>48903743</v>
      </c>
      <c r="F2172">
        <v>3542299.8827</v>
      </c>
      <c r="G2172">
        <v>72.487300000000005</v>
      </c>
      <c r="H2172">
        <v>1.1859770000000001</v>
      </c>
      <c r="I2172">
        <v>1</v>
      </c>
      <c r="J2172" s="156">
        <v>1</v>
      </c>
      <c r="K2172">
        <v>1</v>
      </c>
      <c r="L2172">
        <v>1</v>
      </c>
      <c r="M2172">
        <v>1</v>
      </c>
      <c r="N2172">
        <v>1.1859770000000001</v>
      </c>
    </row>
    <row r="2173" spans="1:14" x14ac:dyDescent="0.35">
      <c r="A2173" s="156" t="s">
        <v>542</v>
      </c>
      <c r="B2173" s="52">
        <v>45789</v>
      </c>
      <c r="C2173" s="156" t="s">
        <v>531</v>
      </c>
      <c r="D2173" s="156" t="s">
        <v>531</v>
      </c>
      <c r="E2173">
        <v>32485885</v>
      </c>
      <c r="F2173">
        <v>2552468.2418999998</v>
      </c>
      <c r="G2173">
        <v>78.729600000000005</v>
      </c>
      <c r="H2173">
        <v>1.11768</v>
      </c>
      <c r="I2173">
        <v>1</v>
      </c>
      <c r="J2173" s="156">
        <v>1</v>
      </c>
      <c r="K2173">
        <v>1</v>
      </c>
      <c r="L2173">
        <v>1</v>
      </c>
      <c r="M2173">
        <v>1</v>
      </c>
      <c r="N2173">
        <v>1.11768</v>
      </c>
    </row>
    <row r="2174" spans="1:14" x14ac:dyDescent="0.35">
      <c r="A2174" s="156" t="s">
        <v>542</v>
      </c>
      <c r="B2174" s="52">
        <v>45790</v>
      </c>
      <c r="C2174" s="156" t="s">
        <v>531</v>
      </c>
      <c r="D2174" s="156" t="s">
        <v>531</v>
      </c>
      <c r="E2174">
        <v>14240780</v>
      </c>
      <c r="F2174">
        <v>1127339.8211000001</v>
      </c>
      <c r="G2174">
        <v>79.138199999999998</v>
      </c>
      <c r="H2174">
        <v>0.98413099999999998</v>
      </c>
      <c r="I2174">
        <v>1</v>
      </c>
      <c r="J2174" s="156">
        <v>1</v>
      </c>
      <c r="K2174">
        <v>1</v>
      </c>
      <c r="L2174">
        <v>1</v>
      </c>
      <c r="M2174">
        <v>1</v>
      </c>
      <c r="N2174">
        <v>0.98413099999999998</v>
      </c>
    </row>
    <row r="2175" spans="1:14" x14ac:dyDescent="0.35">
      <c r="A2175" s="156" t="s">
        <v>542</v>
      </c>
      <c r="B2175" s="52">
        <v>45791</v>
      </c>
      <c r="C2175" s="156" t="s">
        <v>531</v>
      </c>
      <c r="D2175" s="156" t="s">
        <v>531</v>
      </c>
      <c r="E2175">
        <v>11980549</v>
      </c>
      <c r="F2175">
        <v>941391.71710000001</v>
      </c>
      <c r="G2175">
        <v>78.603800000000007</v>
      </c>
      <c r="H2175">
        <v>1.0127980000000001</v>
      </c>
      <c r="I2175">
        <v>1</v>
      </c>
      <c r="J2175" s="156">
        <v>1</v>
      </c>
      <c r="K2175">
        <v>1</v>
      </c>
      <c r="L2175">
        <v>1</v>
      </c>
      <c r="M2175">
        <v>1</v>
      </c>
      <c r="N2175">
        <v>1.0127980000000001</v>
      </c>
    </row>
    <row r="2176" spans="1:14" x14ac:dyDescent="0.35">
      <c r="A2176" s="156" t="s">
        <v>542</v>
      </c>
      <c r="B2176" s="52">
        <v>45792</v>
      </c>
      <c r="C2176" s="156" t="s">
        <v>531</v>
      </c>
      <c r="D2176" s="156" t="s">
        <v>531</v>
      </c>
      <c r="E2176">
        <v>9364042</v>
      </c>
      <c r="F2176">
        <v>717960.71250000002</v>
      </c>
      <c r="G2176">
        <v>76.683999999999997</v>
      </c>
      <c r="H2176">
        <v>0.97927699999999995</v>
      </c>
      <c r="I2176">
        <v>1</v>
      </c>
      <c r="J2176" s="156">
        <v>1</v>
      </c>
      <c r="K2176">
        <v>1</v>
      </c>
      <c r="L2176">
        <v>1</v>
      </c>
      <c r="M2176">
        <v>1</v>
      </c>
      <c r="N2176">
        <v>0.97927699999999995</v>
      </c>
    </row>
    <row r="2177" spans="1:14" x14ac:dyDescent="0.35">
      <c r="A2177" s="156" t="s">
        <v>542</v>
      </c>
      <c r="B2177" s="52">
        <v>45793</v>
      </c>
      <c r="C2177" s="156" t="s">
        <v>531</v>
      </c>
      <c r="D2177" s="156" t="s">
        <v>531</v>
      </c>
      <c r="E2177">
        <v>6568344</v>
      </c>
      <c r="F2177">
        <v>503400.43849999999</v>
      </c>
      <c r="G2177">
        <v>76.623500000000007</v>
      </c>
      <c r="H2177">
        <v>0.98464499999999999</v>
      </c>
      <c r="I2177">
        <v>1</v>
      </c>
      <c r="J2177" s="156">
        <v>1</v>
      </c>
      <c r="K2177">
        <v>1</v>
      </c>
      <c r="L2177">
        <v>1</v>
      </c>
      <c r="M2177">
        <v>1</v>
      </c>
      <c r="N2177">
        <v>0.98464499999999999</v>
      </c>
    </row>
    <row r="2178" spans="1:14" x14ac:dyDescent="0.35">
      <c r="A2178" s="156" t="s">
        <v>542</v>
      </c>
      <c r="B2178" s="52">
        <v>45796</v>
      </c>
      <c r="C2178" s="156" t="s">
        <v>531</v>
      </c>
      <c r="D2178" s="156" t="s">
        <v>531</v>
      </c>
      <c r="E2178">
        <v>4819508</v>
      </c>
      <c r="F2178">
        <v>366984.33159999998</v>
      </c>
      <c r="G2178">
        <v>76.120900000000006</v>
      </c>
      <c r="H2178">
        <v>1.0001310000000001</v>
      </c>
      <c r="I2178">
        <v>1</v>
      </c>
      <c r="J2178" s="156">
        <v>1</v>
      </c>
      <c r="K2178">
        <v>1</v>
      </c>
      <c r="L2178">
        <v>1</v>
      </c>
      <c r="M2178">
        <v>1</v>
      </c>
      <c r="N2178">
        <v>1.0001310000000001</v>
      </c>
    </row>
    <row r="2179" spans="1:14" x14ac:dyDescent="0.35">
      <c r="A2179" s="156" t="s">
        <v>542</v>
      </c>
      <c r="B2179" s="52">
        <v>45797</v>
      </c>
      <c r="C2179" s="156" t="s">
        <v>531</v>
      </c>
      <c r="D2179" s="156" t="s">
        <v>531</v>
      </c>
      <c r="E2179">
        <v>4918944</v>
      </c>
      <c r="F2179">
        <v>377877.69059999997</v>
      </c>
      <c r="G2179">
        <v>76.825999999999993</v>
      </c>
      <c r="H2179">
        <v>1.0096959999999999</v>
      </c>
      <c r="I2179">
        <v>1</v>
      </c>
      <c r="J2179" s="156">
        <v>1</v>
      </c>
      <c r="K2179">
        <v>1</v>
      </c>
      <c r="L2179">
        <v>1</v>
      </c>
      <c r="M2179">
        <v>1</v>
      </c>
      <c r="N2179">
        <v>1.0096959999999999</v>
      </c>
    </row>
    <row r="2180" spans="1:14" x14ac:dyDescent="0.35">
      <c r="A2180" s="156" t="s">
        <v>542</v>
      </c>
      <c r="B2180" s="52">
        <v>45798</v>
      </c>
      <c r="C2180" s="156" t="s">
        <v>531</v>
      </c>
      <c r="D2180" s="156" t="s">
        <v>531</v>
      </c>
      <c r="E2180">
        <v>6322969</v>
      </c>
      <c r="F2180">
        <v>475325.6778</v>
      </c>
      <c r="G2180">
        <v>75.117599999999996</v>
      </c>
      <c r="H2180">
        <v>0.96638999999999997</v>
      </c>
      <c r="I2180">
        <v>1</v>
      </c>
      <c r="J2180" s="156">
        <v>1</v>
      </c>
      <c r="K2180">
        <v>1</v>
      </c>
      <c r="L2180">
        <v>1</v>
      </c>
      <c r="M2180">
        <v>1</v>
      </c>
      <c r="N2180">
        <v>0.96638999999999997</v>
      </c>
    </row>
    <row r="2181" spans="1:14" x14ac:dyDescent="0.35">
      <c r="A2181" s="156" t="s">
        <v>542</v>
      </c>
      <c r="B2181" s="52">
        <v>45799</v>
      </c>
      <c r="C2181" s="156" t="s">
        <v>531</v>
      </c>
      <c r="D2181" s="156" t="s">
        <v>531</v>
      </c>
      <c r="E2181">
        <v>4805713</v>
      </c>
      <c r="F2181">
        <v>358065.3419</v>
      </c>
      <c r="G2181">
        <v>74.493899999999996</v>
      </c>
      <c r="H2181">
        <v>0.99812000000000001</v>
      </c>
      <c r="I2181">
        <v>1</v>
      </c>
      <c r="J2181" s="156">
        <v>1</v>
      </c>
      <c r="K2181">
        <v>1</v>
      </c>
      <c r="L2181">
        <v>1</v>
      </c>
      <c r="M2181">
        <v>1</v>
      </c>
      <c r="N2181">
        <v>0.99812000000000001</v>
      </c>
    </row>
    <row r="2182" spans="1:14" x14ac:dyDescent="0.35">
      <c r="A2182" s="156" t="s">
        <v>542</v>
      </c>
      <c r="B2182" s="52">
        <v>45800</v>
      </c>
      <c r="C2182" s="156" t="s">
        <v>531</v>
      </c>
      <c r="D2182" s="156" t="s">
        <v>531</v>
      </c>
      <c r="E2182">
        <v>4840742</v>
      </c>
      <c r="F2182">
        <v>356443.62180000002</v>
      </c>
      <c r="G2182">
        <v>73.631299999999996</v>
      </c>
      <c r="H2182">
        <v>0.99407999999999996</v>
      </c>
      <c r="I2182">
        <v>1</v>
      </c>
      <c r="J2182" s="156">
        <v>1</v>
      </c>
      <c r="K2182">
        <v>1</v>
      </c>
      <c r="L2182">
        <v>1</v>
      </c>
      <c r="M2182">
        <v>1</v>
      </c>
      <c r="N2182">
        <v>0.99407999999999996</v>
      </c>
    </row>
    <row r="2183" spans="1:14" x14ac:dyDescent="0.35">
      <c r="A2183" s="156" t="s">
        <v>542</v>
      </c>
      <c r="B2183" s="52">
        <v>45804</v>
      </c>
      <c r="C2183" s="156" t="s">
        <v>531</v>
      </c>
      <c r="D2183" s="156" t="s">
        <v>531</v>
      </c>
      <c r="E2183">
        <v>4619482</v>
      </c>
      <c r="F2183">
        <v>350387.2022</v>
      </c>
      <c r="G2183">
        <v>75.855999999999995</v>
      </c>
      <c r="H2183">
        <v>1.0293680000000001</v>
      </c>
      <c r="I2183">
        <v>1</v>
      </c>
      <c r="J2183" s="156">
        <v>1</v>
      </c>
      <c r="K2183">
        <v>1</v>
      </c>
      <c r="L2183">
        <v>1</v>
      </c>
      <c r="M2183">
        <v>1</v>
      </c>
      <c r="N2183">
        <v>1.0293680000000001</v>
      </c>
    </row>
    <row r="2184" spans="1:14" x14ac:dyDescent="0.35">
      <c r="A2184" s="156" t="s">
        <v>542</v>
      </c>
      <c r="B2184" s="52">
        <v>45805</v>
      </c>
      <c r="C2184" s="156" t="s">
        <v>531</v>
      </c>
      <c r="D2184" s="156" t="s">
        <v>531</v>
      </c>
      <c r="E2184">
        <v>6569671</v>
      </c>
      <c r="F2184">
        <v>503378.96639999998</v>
      </c>
      <c r="G2184">
        <v>76.627700000000004</v>
      </c>
      <c r="H2184">
        <v>1.0115700000000001</v>
      </c>
      <c r="I2184">
        <v>1</v>
      </c>
      <c r="J2184" s="156">
        <v>1</v>
      </c>
      <c r="K2184">
        <v>1</v>
      </c>
      <c r="L2184">
        <v>1</v>
      </c>
      <c r="M2184">
        <v>1</v>
      </c>
      <c r="N2184">
        <v>1.0115700000000001</v>
      </c>
    </row>
    <row r="2185" spans="1:14" x14ac:dyDescent="0.35">
      <c r="A2185" s="156" t="s">
        <v>542</v>
      </c>
      <c r="B2185" s="52">
        <v>45806</v>
      </c>
      <c r="C2185" s="156" t="s">
        <v>531</v>
      </c>
      <c r="D2185" s="156" t="s">
        <v>531</v>
      </c>
      <c r="E2185">
        <v>5414868</v>
      </c>
      <c r="F2185">
        <v>408194.83970000001</v>
      </c>
      <c r="G2185">
        <v>75.353899999999996</v>
      </c>
      <c r="H2185">
        <v>0.97322600000000004</v>
      </c>
      <c r="I2185">
        <v>1</v>
      </c>
      <c r="J2185" s="156">
        <v>1</v>
      </c>
      <c r="K2185">
        <v>1</v>
      </c>
      <c r="L2185">
        <v>1</v>
      </c>
      <c r="M2185">
        <v>1</v>
      </c>
      <c r="N2185">
        <v>0.97322600000000004</v>
      </c>
    </row>
    <row r="2186" spans="1:14" x14ac:dyDescent="0.35">
      <c r="A2186" s="156" t="s">
        <v>542</v>
      </c>
      <c r="B2186" s="52">
        <v>45807</v>
      </c>
      <c r="C2186" s="156" t="s">
        <v>531</v>
      </c>
      <c r="D2186" s="156" t="s">
        <v>531</v>
      </c>
      <c r="E2186">
        <v>6880604</v>
      </c>
      <c r="F2186">
        <v>514776.63</v>
      </c>
      <c r="G2186">
        <v>74.872299999999996</v>
      </c>
      <c r="H2186">
        <v>1.0045409999999999</v>
      </c>
      <c r="I2186">
        <v>1</v>
      </c>
      <c r="J2186" s="156">
        <v>1</v>
      </c>
      <c r="K2186">
        <v>1</v>
      </c>
      <c r="L2186">
        <v>1</v>
      </c>
      <c r="M2186">
        <v>1</v>
      </c>
      <c r="N2186">
        <v>1.0045409999999999</v>
      </c>
    </row>
    <row r="2187" spans="1:14" x14ac:dyDescent="0.35">
      <c r="A2187" s="156" t="s">
        <v>542</v>
      </c>
      <c r="B2187" s="52">
        <v>45810</v>
      </c>
      <c r="C2187" s="156" t="s">
        <v>531</v>
      </c>
      <c r="D2187" s="156" t="s">
        <v>531</v>
      </c>
      <c r="E2187">
        <v>3911061</v>
      </c>
      <c r="F2187">
        <v>291216.5428</v>
      </c>
      <c r="G2187">
        <v>74.461600000000004</v>
      </c>
      <c r="H2187">
        <v>0.99401799999999996</v>
      </c>
      <c r="I2187">
        <v>1</v>
      </c>
      <c r="J2187" s="156">
        <v>1</v>
      </c>
      <c r="K2187">
        <v>1</v>
      </c>
      <c r="L2187">
        <v>1</v>
      </c>
      <c r="M2187">
        <v>1</v>
      </c>
      <c r="N2187">
        <v>0.99401799999999996</v>
      </c>
    </row>
    <row r="2188" spans="1:14" x14ac:dyDescent="0.35">
      <c r="A2188" s="156" t="s">
        <v>542</v>
      </c>
      <c r="B2188" s="52">
        <v>45811</v>
      </c>
      <c r="C2188" s="156" t="s">
        <v>531</v>
      </c>
      <c r="D2188" s="156" t="s">
        <v>531</v>
      </c>
      <c r="E2188">
        <v>4236252</v>
      </c>
      <c r="F2188">
        <v>315904.45250000001</v>
      </c>
      <c r="G2188">
        <v>74.543999999999997</v>
      </c>
      <c r="H2188">
        <v>0.99505100000000002</v>
      </c>
      <c r="I2188">
        <v>1</v>
      </c>
      <c r="J2188" s="156">
        <v>1</v>
      </c>
      <c r="K2188">
        <v>1</v>
      </c>
      <c r="L2188">
        <v>1</v>
      </c>
      <c r="M2188">
        <v>1</v>
      </c>
      <c r="N2188">
        <v>0.99505100000000002</v>
      </c>
    </row>
    <row r="2189" spans="1:14" x14ac:dyDescent="0.35">
      <c r="A2189" s="156" t="s">
        <v>542</v>
      </c>
      <c r="B2189" s="52">
        <v>45812</v>
      </c>
      <c r="C2189" s="156" t="s">
        <v>531</v>
      </c>
      <c r="D2189" s="156" t="s">
        <v>531</v>
      </c>
      <c r="E2189">
        <v>4942952</v>
      </c>
      <c r="F2189">
        <v>375725.45370000001</v>
      </c>
      <c r="G2189">
        <v>75.987799999999993</v>
      </c>
      <c r="H2189">
        <v>1.0221769999999999</v>
      </c>
      <c r="I2189">
        <v>1</v>
      </c>
      <c r="J2189" s="156">
        <v>1</v>
      </c>
      <c r="K2189">
        <v>1</v>
      </c>
      <c r="L2189">
        <v>1</v>
      </c>
      <c r="M2189">
        <v>1</v>
      </c>
      <c r="N2189">
        <v>1.0221769999999999</v>
      </c>
    </row>
    <row r="2190" spans="1:14" x14ac:dyDescent="0.35">
      <c r="A2190" s="156" t="s">
        <v>542</v>
      </c>
      <c r="B2190" s="52">
        <v>45813</v>
      </c>
      <c r="C2190" s="156" t="s">
        <v>531</v>
      </c>
      <c r="D2190" s="156" t="s">
        <v>531</v>
      </c>
      <c r="E2190">
        <v>12297256</v>
      </c>
      <c r="F2190">
        <v>899899.95880000002</v>
      </c>
      <c r="G2190">
        <v>73.127099999999999</v>
      </c>
      <c r="H2190">
        <v>0.93504299999999996</v>
      </c>
      <c r="I2190">
        <v>1</v>
      </c>
      <c r="J2190" s="156">
        <v>1</v>
      </c>
      <c r="K2190">
        <v>1</v>
      </c>
      <c r="L2190">
        <v>1</v>
      </c>
      <c r="M2190">
        <v>1</v>
      </c>
      <c r="N2190">
        <v>0.93504299999999996</v>
      </c>
    </row>
    <row r="2191" spans="1:14" x14ac:dyDescent="0.35">
      <c r="A2191" s="156" t="s">
        <v>542</v>
      </c>
      <c r="B2191" s="52">
        <v>45814</v>
      </c>
      <c r="C2191" s="156" t="s">
        <v>531</v>
      </c>
      <c r="D2191" s="156" t="s">
        <v>531</v>
      </c>
      <c r="E2191">
        <v>9061395</v>
      </c>
      <c r="F2191">
        <v>645269.94700000004</v>
      </c>
      <c r="G2191">
        <v>71.226699999999994</v>
      </c>
      <c r="H2191">
        <v>1.0049220000000001</v>
      </c>
      <c r="I2191">
        <v>1</v>
      </c>
      <c r="J2191" s="156">
        <v>1</v>
      </c>
      <c r="K2191">
        <v>1</v>
      </c>
      <c r="L2191">
        <v>1</v>
      </c>
      <c r="M2191">
        <v>1</v>
      </c>
      <c r="N2191">
        <v>1.0049220000000001</v>
      </c>
    </row>
    <row r="2192" spans="1:14" x14ac:dyDescent="0.35">
      <c r="A2192" s="156" t="s">
        <v>542</v>
      </c>
      <c r="B2192" s="52">
        <v>45817</v>
      </c>
      <c r="C2192" s="156" t="s">
        <v>531</v>
      </c>
      <c r="D2192" s="156" t="s">
        <v>531</v>
      </c>
      <c r="E2192">
        <v>5838285</v>
      </c>
      <c r="F2192">
        <v>416971.77380000002</v>
      </c>
      <c r="G2192">
        <v>71.423599999999993</v>
      </c>
      <c r="H2192">
        <v>1.0004200000000001</v>
      </c>
      <c r="I2192">
        <v>1</v>
      </c>
      <c r="J2192" s="156">
        <v>1</v>
      </c>
      <c r="K2192">
        <v>1</v>
      </c>
      <c r="L2192">
        <v>1</v>
      </c>
      <c r="M2192">
        <v>1</v>
      </c>
      <c r="N2192">
        <v>1.0004200000000001</v>
      </c>
    </row>
    <row r="2193" spans="1:14" x14ac:dyDescent="0.35">
      <c r="A2193" s="156" t="s">
        <v>542</v>
      </c>
      <c r="B2193" s="52">
        <v>45818</v>
      </c>
      <c r="C2193" s="156" t="s">
        <v>531</v>
      </c>
      <c r="D2193" s="156" t="s">
        <v>531</v>
      </c>
      <c r="E2193">
        <v>4055620</v>
      </c>
      <c r="F2193">
        <v>292794.40250000003</v>
      </c>
      <c r="G2193">
        <v>72.202600000000004</v>
      </c>
      <c r="H2193">
        <v>1.0123089999999999</v>
      </c>
      <c r="I2193">
        <v>1</v>
      </c>
      <c r="J2193" s="156">
        <v>1</v>
      </c>
      <c r="K2193">
        <v>1</v>
      </c>
      <c r="L2193">
        <v>1</v>
      </c>
      <c r="M2193">
        <v>1</v>
      </c>
      <c r="N2193">
        <v>1.0123089999999999</v>
      </c>
    </row>
    <row r="2194" spans="1:14" x14ac:dyDescent="0.35">
      <c r="A2194" s="156" t="s">
        <v>542</v>
      </c>
      <c r="B2194" s="52">
        <v>45819</v>
      </c>
      <c r="C2194" s="156" t="s">
        <v>531</v>
      </c>
      <c r="D2194" s="156" t="s">
        <v>531</v>
      </c>
      <c r="E2194">
        <v>5057731</v>
      </c>
      <c r="F2194">
        <v>369527.46029999998</v>
      </c>
      <c r="G2194">
        <v>73.0471</v>
      </c>
      <c r="H2194">
        <v>1</v>
      </c>
      <c r="I2194">
        <v>1</v>
      </c>
      <c r="J2194" s="156">
        <v>1</v>
      </c>
      <c r="K2194">
        <v>1</v>
      </c>
      <c r="L2194">
        <v>1</v>
      </c>
      <c r="M2194">
        <v>1</v>
      </c>
      <c r="N2194">
        <v>1</v>
      </c>
    </row>
    <row r="2195" spans="1:14" x14ac:dyDescent="0.35">
      <c r="A2195" s="156" t="s">
        <v>542</v>
      </c>
      <c r="B2195" s="52">
        <v>45820</v>
      </c>
      <c r="C2195" s="156" t="s">
        <v>531</v>
      </c>
      <c r="D2195" s="156" t="s">
        <v>531</v>
      </c>
      <c r="E2195">
        <v>7536634</v>
      </c>
      <c r="F2195">
        <v>534703.34219999996</v>
      </c>
      <c r="G2195">
        <v>70.8964</v>
      </c>
      <c r="H2195">
        <v>0.97512799999999999</v>
      </c>
      <c r="I2195">
        <v>1</v>
      </c>
      <c r="J2195" s="156">
        <v>1</v>
      </c>
      <c r="K2195">
        <v>1</v>
      </c>
      <c r="L2195">
        <v>1</v>
      </c>
      <c r="M2195">
        <v>1</v>
      </c>
      <c r="N2195">
        <v>0.97512799999999999</v>
      </c>
    </row>
    <row r="2196" spans="1:14" x14ac:dyDescent="0.35">
      <c r="A2196" s="156" t="s">
        <v>542</v>
      </c>
      <c r="B2196" s="52">
        <v>45821</v>
      </c>
      <c r="C2196" s="156" t="s">
        <v>531</v>
      </c>
      <c r="D2196" s="156" t="s">
        <v>531</v>
      </c>
      <c r="E2196">
        <v>6705012</v>
      </c>
      <c r="F2196">
        <v>461621.75540000002</v>
      </c>
      <c r="G2196">
        <v>68.804400000000001</v>
      </c>
      <c r="H2196">
        <v>0.96301499999999995</v>
      </c>
      <c r="I2196">
        <v>1</v>
      </c>
      <c r="J2196" s="156">
        <v>1</v>
      </c>
      <c r="K2196">
        <v>1</v>
      </c>
      <c r="L2196">
        <v>1</v>
      </c>
      <c r="M2196">
        <v>1</v>
      </c>
      <c r="N2196">
        <v>0.96301499999999995</v>
      </c>
    </row>
  </sheetData>
  <phoneticPr fontId="7"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51DCC-5508-4DCB-AFB1-816807B34159}">
  <sheetPr codeName="Sheet7">
    <tabColor theme="0" tint="-0.249977111117893"/>
  </sheetPr>
  <dimension ref="A1:BD12"/>
  <sheetViews>
    <sheetView workbookViewId="0">
      <selection sqref="A1:BD2"/>
    </sheetView>
  </sheetViews>
  <sheetFormatPr defaultRowHeight="14.5" x14ac:dyDescent="0.35"/>
  <cols>
    <col min="1" max="1" width="9.6328125" bestFit="1" customWidth="1"/>
    <col min="2" max="2" width="15.08984375" style="51" bestFit="1" customWidth="1"/>
    <col min="3" max="3" width="10.453125" bestFit="1" customWidth="1"/>
    <col min="4" max="4" width="9.54296875" bestFit="1" customWidth="1"/>
    <col min="5" max="5" width="13" bestFit="1" customWidth="1"/>
    <col min="6" max="6" width="11.26953125" bestFit="1" customWidth="1"/>
    <col min="7" max="7" width="11.1796875" bestFit="1" customWidth="1"/>
    <col min="8" max="8" width="15.453125" bestFit="1" customWidth="1"/>
    <col min="9" max="9" width="13.81640625" bestFit="1" customWidth="1"/>
    <col min="10" max="10" width="11.36328125" bestFit="1" customWidth="1"/>
    <col min="11" max="11" width="11.54296875" bestFit="1" customWidth="1"/>
    <col min="12" max="12" width="9.81640625" bestFit="1" customWidth="1"/>
    <col min="13" max="13" width="14.7265625" bestFit="1" customWidth="1"/>
    <col min="14" max="14" width="10.453125" bestFit="1" customWidth="1"/>
    <col min="15" max="15" width="10.54296875" bestFit="1" customWidth="1"/>
    <col min="16" max="16" width="13.453125" bestFit="1" customWidth="1"/>
    <col min="17" max="17" width="12.6328125" bestFit="1" customWidth="1"/>
    <col min="18" max="18" width="11.36328125" bestFit="1" customWidth="1"/>
    <col min="19" max="19" width="11.7265625" bestFit="1" customWidth="1"/>
    <col min="20" max="20" width="13.81640625" bestFit="1" customWidth="1"/>
    <col min="21" max="21" width="19.90625" bestFit="1" customWidth="1"/>
    <col min="22" max="22" width="14.453125" bestFit="1" customWidth="1"/>
    <col min="23" max="23" width="23.08984375" bestFit="1" customWidth="1"/>
    <col min="24" max="24" width="18.1796875" bestFit="1" customWidth="1"/>
    <col min="25" max="25" width="11.90625" bestFit="1" customWidth="1"/>
    <col min="26" max="26" width="12.6328125" bestFit="1" customWidth="1"/>
    <col min="27" max="27" width="11.453125" bestFit="1" customWidth="1"/>
    <col min="28" max="28" width="13" bestFit="1" customWidth="1"/>
    <col min="29" max="29" width="9.90625" bestFit="1" customWidth="1"/>
    <col min="30" max="30" width="14.81640625" bestFit="1" customWidth="1"/>
    <col min="31" max="31" width="12.7265625" bestFit="1" customWidth="1"/>
    <col min="32" max="32" width="9.26953125" bestFit="1" customWidth="1"/>
    <col min="33" max="33" width="16.81640625" bestFit="1" customWidth="1"/>
    <col min="34" max="34" width="13.08984375" bestFit="1" customWidth="1"/>
    <col min="35" max="35" width="13.7265625" bestFit="1" customWidth="1"/>
    <col min="36" max="36" width="13.90625" bestFit="1" customWidth="1"/>
    <col min="37" max="37" width="12.90625" bestFit="1" customWidth="1"/>
    <col min="38" max="38" width="14.08984375" bestFit="1" customWidth="1"/>
    <col min="39" max="39" width="14.453125" bestFit="1" customWidth="1"/>
    <col min="40" max="40" width="18" bestFit="1" customWidth="1"/>
    <col min="41" max="41" width="12.1796875" bestFit="1" customWidth="1"/>
    <col min="42" max="42" width="14.6328125" bestFit="1" customWidth="1"/>
    <col min="43" max="43" width="13.54296875" bestFit="1" customWidth="1"/>
    <col min="44" max="44" width="12.81640625" bestFit="1" customWidth="1"/>
    <col min="45" max="45" width="19.6328125" bestFit="1" customWidth="1"/>
    <col min="46" max="46" width="14.453125" bestFit="1" customWidth="1"/>
    <col min="47" max="47" width="13.6328125" bestFit="1" customWidth="1"/>
    <col min="48" max="48" width="16.453125" bestFit="1" customWidth="1"/>
    <col min="49" max="49" width="15.1796875" bestFit="1" customWidth="1"/>
    <col min="50" max="50" width="16" bestFit="1" customWidth="1"/>
    <col min="51" max="51" width="14.453125" bestFit="1" customWidth="1"/>
    <col min="52" max="52" width="12.26953125" bestFit="1" customWidth="1"/>
    <col min="53" max="53" width="11.90625" bestFit="1" customWidth="1"/>
    <col min="54" max="54" width="21.90625" bestFit="1" customWidth="1"/>
    <col min="55" max="55" width="19.54296875" bestFit="1" customWidth="1"/>
    <col min="56" max="56" width="16.08984375" bestFit="1" customWidth="1"/>
    <col min="57" max="57" width="14.81640625" bestFit="1" customWidth="1"/>
    <col min="58" max="58" width="16.81640625" bestFit="1" customWidth="1"/>
    <col min="59" max="59" width="9.26953125" bestFit="1" customWidth="1"/>
    <col min="60" max="60" width="12.7265625" bestFit="1" customWidth="1"/>
    <col min="61" max="61" width="11.453125" bestFit="1" customWidth="1"/>
    <col min="62" max="62" width="9.90625" bestFit="1" customWidth="1"/>
    <col min="63" max="63" width="13" bestFit="1" customWidth="1"/>
    <col min="64" max="64" width="12.90625" bestFit="1" customWidth="1"/>
    <col min="65" max="65" width="12.1796875" bestFit="1" customWidth="1"/>
    <col min="66" max="66" width="13.453125" bestFit="1" customWidth="1"/>
    <col min="67" max="67" width="12.81640625" bestFit="1" customWidth="1"/>
    <col min="68" max="68" width="14.453125" bestFit="1" customWidth="1"/>
    <col min="69" max="69" width="13.6328125" bestFit="1" customWidth="1"/>
    <col min="70" max="70" width="13.90625" bestFit="1" customWidth="1"/>
    <col min="71" max="71" width="16.453125" bestFit="1" customWidth="1"/>
    <col min="72" max="72" width="19.6328125" bestFit="1" customWidth="1"/>
    <col min="73" max="73" width="14.6328125" bestFit="1" customWidth="1"/>
    <col min="74" max="74" width="16" bestFit="1" customWidth="1"/>
    <col min="75" max="75" width="14.453125" bestFit="1" customWidth="1"/>
    <col min="76" max="76" width="13.08984375" bestFit="1" customWidth="1"/>
    <col min="77" max="77" width="13.7265625" bestFit="1" customWidth="1"/>
    <col min="78" max="78" width="18" bestFit="1" customWidth="1"/>
    <col min="79" max="79" width="14.08984375" bestFit="1" customWidth="1"/>
    <col min="80" max="80" width="14.453125" bestFit="1" customWidth="1"/>
    <col min="81" max="81" width="15.1796875" bestFit="1" customWidth="1"/>
    <col min="82" max="82" width="12.26953125" bestFit="1" customWidth="1"/>
  </cols>
  <sheetData>
    <row r="1" spans="1:56" x14ac:dyDescent="0.35">
      <c r="A1" t="s">
        <v>0</v>
      </c>
      <c r="B1" s="5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30</v>
      </c>
      <c r="AB1" t="s">
        <v>32</v>
      </c>
      <c r="AC1" t="s">
        <v>31</v>
      </c>
      <c r="AD1" t="s">
        <v>26</v>
      </c>
      <c r="AE1" t="s">
        <v>29</v>
      </c>
      <c r="AF1" t="s">
        <v>28</v>
      </c>
      <c r="AG1" t="s">
        <v>27</v>
      </c>
      <c r="AH1" t="s">
        <v>44</v>
      </c>
      <c r="AI1" t="s">
        <v>45</v>
      </c>
      <c r="AJ1" t="s">
        <v>39</v>
      </c>
      <c r="AK1" t="s">
        <v>33</v>
      </c>
      <c r="AL1" t="s">
        <v>47</v>
      </c>
      <c r="AM1" t="s">
        <v>48</v>
      </c>
      <c r="AN1" t="s">
        <v>46</v>
      </c>
      <c r="AO1" t="s">
        <v>34</v>
      </c>
      <c r="AP1" t="s">
        <v>41</v>
      </c>
      <c r="AQ1" t="s">
        <v>35</v>
      </c>
      <c r="AR1" t="s">
        <v>36</v>
      </c>
      <c r="AS1" t="s">
        <v>207</v>
      </c>
      <c r="AT1" t="s">
        <v>37</v>
      </c>
      <c r="AU1" t="s">
        <v>38</v>
      </c>
      <c r="AV1" t="s">
        <v>40</v>
      </c>
      <c r="AW1" t="s">
        <v>49</v>
      </c>
      <c r="AX1" t="s">
        <v>42</v>
      </c>
      <c r="AY1" t="s">
        <v>43</v>
      </c>
      <c r="AZ1" t="s">
        <v>84</v>
      </c>
      <c r="BA1" t="s">
        <v>228</v>
      </c>
      <c r="BB1" t="s">
        <v>225</v>
      </c>
      <c r="BC1" t="s">
        <v>226</v>
      </c>
      <c r="BD1" t="s">
        <v>227</v>
      </c>
    </row>
    <row r="2" spans="1:56" x14ac:dyDescent="0.35">
      <c r="A2" t="s">
        <v>542</v>
      </c>
      <c r="B2" s="61">
        <v>42004</v>
      </c>
      <c r="C2" t="s">
        <v>531</v>
      </c>
      <c r="D2" s="3">
        <v>44.548000000000002</v>
      </c>
      <c r="E2" s="3">
        <v>31.989000000000001</v>
      </c>
      <c r="F2" s="3">
        <v>-0.94299999999999995</v>
      </c>
      <c r="G2" s="3">
        <v>-0.94799999999999995</v>
      </c>
      <c r="H2" s="3">
        <v>0</v>
      </c>
      <c r="I2" s="3">
        <v>0</v>
      </c>
      <c r="J2" s="3">
        <v>5.0000000000000001E-3</v>
      </c>
      <c r="K2" s="3">
        <v>17.315000000000001</v>
      </c>
      <c r="L2" s="3">
        <v>0</v>
      </c>
      <c r="M2" s="3">
        <v>97.090999999999994</v>
      </c>
      <c r="N2" s="3">
        <v>0</v>
      </c>
      <c r="O2" s="3">
        <v>102.238</v>
      </c>
      <c r="P2" s="3">
        <v>62.831000000000003</v>
      </c>
      <c r="Q2" s="3">
        <v>58.292999999999999</v>
      </c>
      <c r="R2" s="3">
        <v>27.997</v>
      </c>
      <c r="S2" s="3">
        <v>-6.1310000000000002</v>
      </c>
      <c r="T2" s="3">
        <v>0</v>
      </c>
      <c r="U2" s="3">
        <v>0.13</v>
      </c>
      <c r="V2" s="3">
        <v>-14.975</v>
      </c>
      <c r="W2" s="3">
        <v>397.87992000000003</v>
      </c>
      <c r="X2" s="3">
        <v>0</v>
      </c>
      <c r="Y2" s="3">
        <v>2.379</v>
      </c>
      <c r="Z2" s="3">
        <v>78.364000000000004</v>
      </c>
      <c r="AA2">
        <v>8.2129999999999992</v>
      </c>
      <c r="AB2">
        <v>0.76400000000000001</v>
      </c>
      <c r="AC2">
        <v>28.003</v>
      </c>
      <c r="AD2">
        <v>0.84299999999999997</v>
      </c>
      <c r="AE2">
        <v>-2.2080000000000002</v>
      </c>
      <c r="AF2">
        <v>80.372</v>
      </c>
      <c r="AG2">
        <v>0</v>
      </c>
      <c r="AH2">
        <v>0.83199999999999996</v>
      </c>
      <c r="AI2">
        <v>0.82499999999999996</v>
      </c>
      <c r="AK2" t="s">
        <v>531</v>
      </c>
      <c r="AL2">
        <v>14.929</v>
      </c>
      <c r="AN2">
        <v>0.68</v>
      </c>
      <c r="AO2">
        <v>0.28000000000000003</v>
      </c>
      <c r="AP2">
        <v>0</v>
      </c>
      <c r="AR2">
        <v>0</v>
      </c>
      <c r="AS2">
        <v>0</v>
      </c>
      <c r="AT2">
        <v>0</v>
      </c>
      <c r="AU2">
        <v>0</v>
      </c>
      <c r="AX2">
        <v>0.56100000000000005</v>
      </c>
      <c r="AY2">
        <v>20.350999999999999</v>
      </c>
      <c r="AZ2">
        <v>0</v>
      </c>
      <c r="BA2" t="s">
        <v>538</v>
      </c>
      <c r="BB2">
        <v>0.64154517749773499</v>
      </c>
      <c r="BC2">
        <v>0.64154517749773499</v>
      </c>
      <c r="BD2">
        <v>1</v>
      </c>
    </row>
    <row r="3" spans="1:56" x14ac:dyDescent="0.35">
      <c r="A3" t="s">
        <v>542</v>
      </c>
      <c r="B3" s="61">
        <v>42369</v>
      </c>
      <c r="C3" t="s">
        <v>531</v>
      </c>
      <c r="D3" s="3">
        <v>114.31399999999999</v>
      </c>
      <c r="E3" s="3">
        <v>91.346999999999994</v>
      </c>
      <c r="F3" s="3">
        <v>30.332999999999998</v>
      </c>
      <c r="G3" s="3">
        <v>14.116</v>
      </c>
      <c r="H3" s="3">
        <v>0</v>
      </c>
      <c r="I3" s="3">
        <v>0</v>
      </c>
      <c r="J3" s="3">
        <v>7.3529999999999998</v>
      </c>
      <c r="K3" s="3">
        <v>4.0469999999999997</v>
      </c>
      <c r="L3" s="3">
        <v>0</v>
      </c>
      <c r="M3" s="3">
        <v>199.80199999999999</v>
      </c>
      <c r="N3" s="3">
        <v>0</v>
      </c>
      <c r="O3" s="3">
        <v>210.22800000000001</v>
      </c>
      <c r="P3" s="3">
        <v>118.60899999999999</v>
      </c>
      <c r="Q3" s="3">
        <v>107.983</v>
      </c>
      <c r="R3" s="3">
        <v>24.204000000000001</v>
      </c>
      <c r="S3" s="3">
        <v>14.43</v>
      </c>
      <c r="T3" s="3">
        <v>16.216999999999999</v>
      </c>
      <c r="U3" s="3">
        <v>25.44</v>
      </c>
      <c r="V3" s="3">
        <v>-62</v>
      </c>
      <c r="W3" s="3">
        <v>397.87992000000003</v>
      </c>
      <c r="X3" s="3">
        <v>0</v>
      </c>
      <c r="Y3" s="3">
        <v>6.625</v>
      </c>
      <c r="Z3" s="3">
        <v>191.94300000000001</v>
      </c>
      <c r="AA3">
        <v>29.701000000000001</v>
      </c>
      <c r="AB3">
        <v>38.457999999999998</v>
      </c>
      <c r="AC3">
        <v>29.667999999999999</v>
      </c>
      <c r="AD3">
        <v>1.141</v>
      </c>
      <c r="AE3">
        <v>-6.3760000000000003</v>
      </c>
      <c r="AF3">
        <v>171.59399999999999</v>
      </c>
      <c r="AG3">
        <v>8.8640000000000008</v>
      </c>
      <c r="AH3">
        <v>5.1280000000000001</v>
      </c>
      <c r="AI3">
        <v>1.7989999999999999</v>
      </c>
      <c r="AK3" t="s">
        <v>531</v>
      </c>
      <c r="AL3">
        <v>44.887999999999998</v>
      </c>
      <c r="AN3">
        <v>1.8280000000000001</v>
      </c>
      <c r="AO3">
        <v>0.92800000000000005</v>
      </c>
      <c r="AP3">
        <v>0</v>
      </c>
      <c r="AQ3">
        <v>298</v>
      </c>
      <c r="AR3">
        <v>1.6799999999999999E-2</v>
      </c>
      <c r="AS3">
        <v>0</v>
      </c>
      <c r="AT3">
        <v>0</v>
      </c>
      <c r="AU3">
        <v>0</v>
      </c>
      <c r="AX3">
        <v>0</v>
      </c>
      <c r="AY3">
        <v>6.0000000000000001E-3</v>
      </c>
      <c r="AZ3">
        <v>0</v>
      </c>
      <c r="BA3" t="s">
        <v>538</v>
      </c>
      <c r="BB3">
        <v>0.67415265913474798</v>
      </c>
      <c r="BC3">
        <v>0.67415265913474798</v>
      </c>
      <c r="BD3">
        <v>1</v>
      </c>
    </row>
    <row r="4" spans="1:56" x14ac:dyDescent="0.35">
      <c r="A4" t="s">
        <v>542</v>
      </c>
      <c r="B4" s="61">
        <v>42735</v>
      </c>
      <c r="C4" t="s">
        <v>531</v>
      </c>
      <c r="D4" s="3">
        <v>202.92599999999999</v>
      </c>
      <c r="E4" s="3">
        <v>163.05000000000001</v>
      </c>
      <c r="F4" s="3">
        <v>43.834000000000003</v>
      </c>
      <c r="G4" s="3">
        <v>23.352</v>
      </c>
      <c r="H4" s="3">
        <v>0</v>
      </c>
      <c r="I4" s="3">
        <v>0</v>
      </c>
      <c r="J4" s="3">
        <v>47.209000000000003</v>
      </c>
      <c r="K4" s="3">
        <v>133.4</v>
      </c>
      <c r="L4" s="3">
        <v>0</v>
      </c>
      <c r="M4" s="3">
        <v>516.40300000000002</v>
      </c>
      <c r="N4" s="3">
        <v>2.76</v>
      </c>
      <c r="O4" s="3">
        <v>537.596</v>
      </c>
      <c r="P4" s="3">
        <v>344.13600000000002</v>
      </c>
      <c r="Q4" s="3">
        <v>321.16300000000001</v>
      </c>
      <c r="R4" s="3">
        <v>0</v>
      </c>
      <c r="S4" s="3">
        <v>164.38</v>
      </c>
      <c r="T4" s="3">
        <v>20.481999999999999</v>
      </c>
      <c r="U4" s="3">
        <v>41.237000000000002</v>
      </c>
      <c r="V4" s="3">
        <v>33.793999999999997</v>
      </c>
      <c r="W4" s="3">
        <v>182.8</v>
      </c>
      <c r="X4" s="3">
        <v>0</v>
      </c>
      <c r="Y4" s="3">
        <v>14.779</v>
      </c>
      <c r="Z4" s="3">
        <v>377.24</v>
      </c>
      <c r="AA4">
        <v>-20.678999999999998</v>
      </c>
      <c r="AB4">
        <v>57.518000000000001</v>
      </c>
      <c r="AC4">
        <v>63.542999999999999</v>
      </c>
      <c r="AD4">
        <v>3.0750000000000002</v>
      </c>
      <c r="AE4">
        <v>-9.2210000000000001</v>
      </c>
      <c r="AF4">
        <v>373.21600000000001</v>
      </c>
      <c r="AG4">
        <v>-26.727</v>
      </c>
      <c r="AH4">
        <v>6.8840000000000003</v>
      </c>
      <c r="AI4">
        <v>2.3370000000000002</v>
      </c>
      <c r="AJ4">
        <v>2.76</v>
      </c>
      <c r="AK4" t="s">
        <v>531</v>
      </c>
      <c r="AL4">
        <v>25.847000000000001</v>
      </c>
      <c r="AN4">
        <v>3.798</v>
      </c>
      <c r="AO4">
        <v>2.3980000000000001</v>
      </c>
      <c r="AP4">
        <v>0</v>
      </c>
      <c r="AQ4">
        <v>467</v>
      </c>
      <c r="AR4">
        <v>-0.14599999999999999</v>
      </c>
      <c r="AS4">
        <v>0</v>
      </c>
      <c r="AT4">
        <v>0</v>
      </c>
      <c r="AU4">
        <v>0</v>
      </c>
      <c r="AV4">
        <v>278.66457000000003</v>
      </c>
      <c r="AX4">
        <v>54</v>
      </c>
      <c r="AY4">
        <v>138.37700000000001</v>
      </c>
      <c r="AZ4">
        <v>0</v>
      </c>
      <c r="BA4" t="s">
        <v>538</v>
      </c>
      <c r="BB4">
        <v>0.81223792809031403</v>
      </c>
      <c r="BC4">
        <v>0.81223792809031403</v>
      </c>
      <c r="BD4">
        <v>1</v>
      </c>
    </row>
    <row r="5" spans="1:56" x14ac:dyDescent="0.35">
      <c r="A5" t="s">
        <v>542</v>
      </c>
      <c r="B5" s="61">
        <v>43100</v>
      </c>
      <c r="C5" t="s">
        <v>531</v>
      </c>
      <c r="D5" s="3">
        <v>308.21699999999998</v>
      </c>
      <c r="E5" s="3">
        <v>241.98699999999999</v>
      </c>
      <c r="F5" s="3">
        <v>63.625</v>
      </c>
      <c r="G5" s="3">
        <v>12.827</v>
      </c>
      <c r="H5" s="3">
        <v>0</v>
      </c>
      <c r="I5" s="3">
        <v>0</v>
      </c>
      <c r="J5" s="3">
        <v>0</v>
      </c>
      <c r="K5" s="3">
        <v>155.94999999999999</v>
      </c>
      <c r="L5" s="3">
        <v>0</v>
      </c>
      <c r="M5" s="3">
        <v>765.81299999999999</v>
      </c>
      <c r="N5" s="3">
        <v>4.399</v>
      </c>
      <c r="O5" s="3">
        <v>797.16399999999999</v>
      </c>
      <c r="P5" s="3">
        <v>518.53200000000004</v>
      </c>
      <c r="Q5" s="3">
        <v>490.37700000000001</v>
      </c>
      <c r="R5" s="3">
        <v>0</v>
      </c>
      <c r="S5" s="3">
        <v>245.583</v>
      </c>
      <c r="T5" s="3">
        <v>50.798000000000002</v>
      </c>
      <c r="U5" s="3">
        <v>80.575000000000003</v>
      </c>
      <c r="V5" s="3">
        <v>-49.505000000000003</v>
      </c>
      <c r="W5" s="3">
        <v>440.56</v>
      </c>
      <c r="X5" s="3">
        <v>0</v>
      </c>
      <c r="Y5" s="3">
        <v>17.405000000000001</v>
      </c>
      <c r="Z5" s="3">
        <v>599.56500000000005</v>
      </c>
      <c r="AA5">
        <v>-1.0009999999999999</v>
      </c>
      <c r="AB5">
        <v>70.855999999999995</v>
      </c>
      <c r="AC5">
        <v>7.5439999999999996</v>
      </c>
      <c r="AD5">
        <v>1.7909999999999999</v>
      </c>
      <c r="AE5">
        <v>-16.064</v>
      </c>
      <c r="AF5">
        <v>551.58100000000002</v>
      </c>
      <c r="AG5">
        <v>50.798000000000002</v>
      </c>
      <c r="AH5">
        <v>10.11</v>
      </c>
      <c r="AI5">
        <v>2.9540000000000002</v>
      </c>
      <c r="AJ5">
        <v>4.399</v>
      </c>
      <c r="AK5" t="s">
        <v>531</v>
      </c>
      <c r="AL5">
        <v>27</v>
      </c>
      <c r="AN5">
        <v>7.2089999999999996</v>
      </c>
      <c r="AO5">
        <v>5.3090000000000002</v>
      </c>
      <c r="AP5">
        <v>0</v>
      </c>
      <c r="AQ5">
        <v>713</v>
      </c>
      <c r="AR5">
        <v>0.115</v>
      </c>
      <c r="AS5">
        <v>0</v>
      </c>
      <c r="AT5">
        <v>0</v>
      </c>
      <c r="AU5">
        <v>0</v>
      </c>
      <c r="AV5">
        <v>1485.5847799999999</v>
      </c>
      <c r="AX5">
        <v>0</v>
      </c>
      <c r="AY5">
        <v>9.5619999999999994</v>
      </c>
      <c r="AZ5">
        <v>0</v>
      </c>
      <c r="BA5" t="s">
        <v>538</v>
      </c>
      <c r="BB5">
        <v>0.7397898774285</v>
      </c>
      <c r="BC5">
        <v>0.7397898774285</v>
      </c>
      <c r="BD5">
        <v>1</v>
      </c>
    </row>
    <row r="6" spans="1:56" x14ac:dyDescent="0.35">
      <c r="A6" t="s">
        <v>542</v>
      </c>
      <c r="B6" s="61">
        <v>43465</v>
      </c>
      <c r="C6" t="s">
        <v>531</v>
      </c>
      <c r="D6" s="3">
        <v>477.29399999999998</v>
      </c>
      <c r="E6" s="3">
        <v>363.19600000000003</v>
      </c>
      <c r="F6" s="3">
        <v>105.73699999999999</v>
      </c>
      <c r="G6" s="3">
        <v>17.597000000000001</v>
      </c>
      <c r="H6" s="3">
        <v>0</v>
      </c>
      <c r="I6" s="3">
        <v>0</v>
      </c>
      <c r="J6" s="3">
        <v>0</v>
      </c>
      <c r="K6" s="3">
        <v>207.232</v>
      </c>
      <c r="L6" s="3">
        <v>0</v>
      </c>
      <c r="M6" s="3">
        <v>1056.5229999999999</v>
      </c>
      <c r="N6" s="3">
        <v>8.1010000000000009</v>
      </c>
      <c r="O6" s="3">
        <v>1117.8720000000001</v>
      </c>
      <c r="P6" s="3">
        <v>713.99099999999999</v>
      </c>
      <c r="Q6" s="3">
        <v>669.14700000000005</v>
      </c>
      <c r="R6" s="3">
        <v>0</v>
      </c>
      <c r="S6" s="3">
        <v>394.56700000000001</v>
      </c>
      <c r="T6" s="3">
        <v>88.14</v>
      </c>
      <c r="U6" s="3">
        <v>141.81200000000001</v>
      </c>
      <c r="V6" s="3">
        <v>-55.488</v>
      </c>
      <c r="W6" s="3">
        <v>457.93</v>
      </c>
      <c r="X6" s="3">
        <v>0</v>
      </c>
      <c r="Y6" s="3">
        <v>33.045999999999999</v>
      </c>
      <c r="Z6" s="3">
        <v>834.76400000000001</v>
      </c>
      <c r="AA6">
        <v>-27</v>
      </c>
      <c r="AB6">
        <v>107.32299999999999</v>
      </c>
      <c r="AC6">
        <v>-9.8510000000000009</v>
      </c>
      <c r="AD6">
        <v>1.55</v>
      </c>
      <c r="AE6">
        <v>-25.190999999999999</v>
      </c>
      <c r="AF6">
        <v>723.30499999999995</v>
      </c>
      <c r="AG6">
        <v>88.14</v>
      </c>
      <c r="AH6">
        <v>19.795000000000002</v>
      </c>
      <c r="AI6">
        <v>5.3959999999999999</v>
      </c>
      <c r="AJ6">
        <v>8.1010000000000009</v>
      </c>
      <c r="AK6" t="s">
        <v>531</v>
      </c>
      <c r="AL6">
        <v>0</v>
      </c>
      <c r="AN6">
        <v>11.3</v>
      </c>
      <c r="AO6">
        <v>8.1</v>
      </c>
      <c r="AP6">
        <v>0</v>
      </c>
      <c r="AQ6">
        <v>944</v>
      </c>
      <c r="AR6">
        <v>0.1925</v>
      </c>
      <c r="AS6">
        <v>1.883</v>
      </c>
      <c r="AT6">
        <v>0</v>
      </c>
      <c r="AU6">
        <v>0</v>
      </c>
      <c r="AV6">
        <v>4273.5613199999998</v>
      </c>
      <c r="AX6">
        <v>0</v>
      </c>
      <c r="AY6">
        <v>17.149000000000001</v>
      </c>
      <c r="AZ6">
        <v>0</v>
      </c>
      <c r="BA6" t="s">
        <v>538</v>
      </c>
      <c r="BB6">
        <v>0.78124890829694305</v>
      </c>
      <c r="BC6">
        <v>0.78124890829694305</v>
      </c>
      <c r="BD6">
        <v>1</v>
      </c>
    </row>
    <row r="7" spans="1:56" x14ac:dyDescent="0.35">
      <c r="A7" t="s">
        <v>542</v>
      </c>
      <c r="B7" s="61">
        <v>43830</v>
      </c>
      <c r="C7" t="s">
        <v>531</v>
      </c>
      <c r="D7" s="3">
        <v>661.05799999999999</v>
      </c>
      <c r="E7" s="3">
        <v>504.87799999999999</v>
      </c>
      <c r="F7" s="3">
        <v>116.22</v>
      </c>
      <c r="G7" s="3">
        <v>7.9020000000000001</v>
      </c>
      <c r="H7" s="3">
        <v>0</v>
      </c>
      <c r="I7" s="3">
        <v>0</v>
      </c>
      <c r="J7" s="3">
        <v>0</v>
      </c>
      <c r="K7" s="3">
        <v>254.988</v>
      </c>
      <c r="L7" s="3">
        <v>0</v>
      </c>
      <c r="M7" s="3">
        <v>1449.221</v>
      </c>
      <c r="N7" s="3">
        <v>9.0820000000000007</v>
      </c>
      <c r="O7" s="3">
        <v>1728.761</v>
      </c>
      <c r="P7" s="3">
        <v>930.37300000000005</v>
      </c>
      <c r="Q7" s="3">
        <v>868.61800000000005</v>
      </c>
      <c r="R7" s="3">
        <v>0</v>
      </c>
      <c r="S7" s="3">
        <v>612.51700000000005</v>
      </c>
      <c r="T7" s="3">
        <v>108.318</v>
      </c>
      <c r="U7" s="3">
        <v>222.899</v>
      </c>
      <c r="V7" s="3">
        <v>-162.69999999999999</v>
      </c>
      <c r="W7" s="3">
        <v>478.06</v>
      </c>
      <c r="X7" s="3">
        <v>0</v>
      </c>
      <c r="Y7" s="3">
        <v>237.46100000000001</v>
      </c>
      <c r="Z7" s="3">
        <v>1166.376</v>
      </c>
      <c r="AA7">
        <v>0</v>
      </c>
      <c r="AB7">
        <v>112.196</v>
      </c>
      <c r="AC7">
        <v>27.286000000000001</v>
      </c>
      <c r="AD7">
        <v>0</v>
      </c>
      <c r="AE7">
        <v>-163.84100000000001</v>
      </c>
      <c r="AF7">
        <v>1116.2439999999999</v>
      </c>
      <c r="AG7">
        <v>108.318</v>
      </c>
      <c r="AH7">
        <v>35.692999999999998</v>
      </c>
      <c r="AI7">
        <v>4.9109999999999996</v>
      </c>
      <c r="AJ7">
        <v>9.0820000000000007</v>
      </c>
      <c r="AK7" t="s">
        <v>531</v>
      </c>
      <c r="AL7">
        <v>0</v>
      </c>
      <c r="AN7">
        <v>42.293999999999997</v>
      </c>
      <c r="AO7">
        <v>36.793999999999997</v>
      </c>
      <c r="AP7">
        <v>0</v>
      </c>
      <c r="AQ7">
        <v>1310</v>
      </c>
      <c r="AR7">
        <v>0.2266</v>
      </c>
      <c r="AS7">
        <v>4.7190000000000003</v>
      </c>
      <c r="AT7">
        <v>0</v>
      </c>
      <c r="AU7">
        <v>0</v>
      </c>
      <c r="AV7">
        <v>10470.4329</v>
      </c>
      <c r="AX7">
        <v>0</v>
      </c>
      <c r="AY7">
        <v>46.62</v>
      </c>
      <c r="AZ7">
        <v>0</v>
      </c>
      <c r="BA7" t="s">
        <v>538</v>
      </c>
      <c r="BB7">
        <v>0.75734377781733997</v>
      </c>
      <c r="BC7">
        <v>0.75734377781733997</v>
      </c>
      <c r="BD7">
        <v>1</v>
      </c>
    </row>
    <row r="8" spans="1:56" x14ac:dyDescent="0.35">
      <c r="A8" t="s">
        <v>542</v>
      </c>
      <c r="B8" s="61">
        <v>44196</v>
      </c>
      <c r="C8" t="s">
        <v>531</v>
      </c>
      <c r="D8" s="3">
        <v>836.03300000000002</v>
      </c>
      <c r="E8" s="3">
        <v>657.221</v>
      </c>
      <c r="F8" s="3">
        <v>143.90299999999999</v>
      </c>
      <c r="G8" s="3">
        <v>-98.414000000000001</v>
      </c>
      <c r="H8" s="3">
        <v>0</v>
      </c>
      <c r="I8" s="3">
        <v>0</v>
      </c>
      <c r="J8" s="3">
        <v>0</v>
      </c>
      <c r="K8" s="3">
        <v>624.03800000000001</v>
      </c>
      <c r="L8" s="3">
        <v>0</v>
      </c>
      <c r="M8" s="3">
        <v>2310.317</v>
      </c>
      <c r="N8" s="3">
        <v>11.505000000000001</v>
      </c>
      <c r="O8" s="3">
        <v>2753.645</v>
      </c>
      <c r="P8" s="3">
        <v>1474.683</v>
      </c>
      <c r="Q8" s="3">
        <v>1348.48</v>
      </c>
      <c r="R8" s="3">
        <v>0</v>
      </c>
      <c r="S8" s="3">
        <v>1013.145</v>
      </c>
      <c r="T8" s="3">
        <v>242.31700000000001</v>
      </c>
      <c r="U8" s="3">
        <v>390.11399999999998</v>
      </c>
      <c r="V8" s="3">
        <v>14.955</v>
      </c>
      <c r="W8" s="3">
        <v>489.88</v>
      </c>
      <c r="X8" s="3">
        <v>0</v>
      </c>
      <c r="Y8" s="3">
        <v>364.00599999999997</v>
      </c>
      <c r="Z8" s="3">
        <v>1584.1089999999999</v>
      </c>
      <c r="AA8">
        <v>0</v>
      </c>
      <c r="AB8">
        <v>144.208</v>
      </c>
      <c r="AC8">
        <v>44.679000000000002</v>
      </c>
      <c r="AE8">
        <v>-143.27099999999999</v>
      </c>
      <c r="AF8">
        <v>1740.5</v>
      </c>
      <c r="AG8">
        <v>242.31700000000001</v>
      </c>
      <c r="AH8">
        <v>74.061000000000007</v>
      </c>
      <c r="AI8">
        <v>6.0529999999999999</v>
      </c>
      <c r="AJ8">
        <v>11.505000000000001</v>
      </c>
      <c r="AK8" t="s">
        <v>531</v>
      </c>
      <c r="AL8">
        <v>0</v>
      </c>
      <c r="AN8">
        <v>61.901000000000003</v>
      </c>
      <c r="AO8">
        <v>56.100999999999999</v>
      </c>
      <c r="AP8">
        <v>0</v>
      </c>
      <c r="AQ8">
        <v>1545</v>
      </c>
      <c r="AR8">
        <v>0.49459999999999998</v>
      </c>
      <c r="AS8">
        <v>0.65600000000000003</v>
      </c>
      <c r="AT8">
        <v>0</v>
      </c>
      <c r="AU8">
        <v>0</v>
      </c>
      <c r="AV8">
        <v>33912.737999999998</v>
      </c>
      <c r="AX8">
        <v>0</v>
      </c>
      <c r="AY8">
        <v>97.816999999999993</v>
      </c>
      <c r="AZ8">
        <v>0</v>
      </c>
      <c r="BA8" t="s">
        <v>538</v>
      </c>
      <c r="BB8">
        <v>0.73264607611441601</v>
      </c>
      <c r="BC8">
        <v>0.73264607611441601</v>
      </c>
      <c r="BD8">
        <v>1</v>
      </c>
    </row>
    <row r="9" spans="1:56" x14ac:dyDescent="0.35">
      <c r="A9" t="s">
        <v>542</v>
      </c>
      <c r="B9" s="61">
        <v>44561</v>
      </c>
      <c r="C9" t="s">
        <v>531</v>
      </c>
      <c r="D9" s="3">
        <v>1196.4670000000001</v>
      </c>
      <c r="E9" s="3">
        <v>974.91300000000001</v>
      </c>
      <c r="F9" s="3">
        <v>122.036</v>
      </c>
      <c r="G9" s="3">
        <v>-15.726000000000001</v>
      </c>
      <c r="H9" s="3">
        <v>0</v>
      </c>
      <c r="I9" s="3">
        <v>0</v>
      </c>
      <c r="J9" s="3">
        <v>0</v>
      </c>
      <c r="K9" s="3">
        <v>958.779</v>
      </c>
      <c r="L9" s="3">
        <v>0</v>
      </c>
      <c r="M9" s="3">
        <v>3091.6489999999999</v>
      </c>
      <c r="N9" s="3">
        <v>14.334</v>
      </c>
      <c r="O9" s="3">
        <v>3577.34</v>
      </c>
      <c r="P9" s="3">
        <v>1803.3050000000001</v>
      </c>
      <c r="Q9" s="3">
        <v>1655.684</v>
      </c>
      <c r="R9" s="3">
        <v>0</v>
      </c>
      <c r="S9" s="3">
        <v>1527.306</v>
      </c>
      <c r="T9" s="3">
        <v>137.762</v>
      </c>
      <c r="U9" s="3">
        <v>546.26700000000005</v>
      </c>
      <c r="V9" s="3">
        <v>-169.678</v>
      </c>
      <c r="W9" s="3">
        <v>498.54</v>
      </c>
      <c r="X9" s="3">
        <v>0</v>
      </c>
      <c r="Y9" s="3">
        <v>369.947</v>
      </c>
      <c r="Z9" s="3">
        <v>2020.72</v>
      </c>
      <c r="AA9">
        <v>0</v>
      </c>
      <c r="AB9">
        <v>124.81699999999999</v>
      </c>
      <c r="AC9">
        <v>33.85</v>
      </c>
      <c r="AD9">
        <v>1.03</v>
      </c>
      <c r="AE9">
        <v>-93.638000000000005</v>
      </c>
      <c r="AF9">
        <v>2050.0340000000001</v>
      </c>
      <c r="AG9">
        <v>137.762</v>
      </c>
      <c r="AH9">
        <v>54.804000000000002</v>
      </c>
      <c r="AI9">
        <v>5.1689999999999996</v>
      </c>
      <c r="AJ9">
        <v>14.334</v>
      </c>
      <c r="AK9" t="s">
        <v>531</v>
      </c>
      <c r="AL9">
        <v>0</v>
      </c>
      <c r="AN9">
        <v>82.534000000000006</v>
      </c>
      <c r="AO9">
        <v>77.834000000000003</v>
      </c>
      <c r="AP9">
        <v>0</v>
      </c>
      <c r="AQ9">
        <v>1967</v>
      </c>
      <c r="AR9">
        <v>0.27629999999999999</v>
      </c>
      <c r="AS9">
        <v>0</v>
      </c>
      <c r="AT9">
        <v>0</v>
      </c>
      <c r="AU9">
        <v>0</v>
      </c>
      <c r="AV9">
        <v>40248.83784</v>
      </c>
      <c r="AX9">
        <v>0</v>
      </c>
      <c r="AY9">
        <v>90.704999999999998</v>
      </c>
      <c r="AZ9">
        <v>0</v>
      </c>
      <c r="BA9" t="s">
        <v>538</v>
      </c>
      <c r="BB9">
        <v>0.741903584672435</v>
      </c>
      <c r="BC9">
        <v>0.741903584672435</v>
      </c>
      <c r="BD9">
        <v>1</v>
      </c>
    </row>
    <row r="10" spans="1:56" x14ac:dyDescent="0.35">
      <c r="A10" t="s">
        <v>542</v>
      </c>
      <c r="B10" s="61">
        <v>44926</v>
      </c>
      <c r="C10" t="s">
        <v>531</v>
      </c>
      <c r="D10" s="3">
        <v>1577.7950000000001</v>
      </c>
      <c r="E10" s="3">
        <v>1296.672</v>
      </c>
      <c r="F10" s="3">
        <v>127.37</v>
      </c>
      <c r="G10" s="3">
        <v>73.984999999999999</v>
      </c>
      <c r="H10" s="3">
        <v>0</v>
      </c>
      <c r="I10" s="3">
        <v>0</v>
      </c>
      <c r="J10" s="3">
        <v>0</v>
      </c>
      <c r="K10" s="3">
        <v>1446.586</v>
      </c>
      <c r="L10" s="3">
        <v>0</v>
      </c>
      <c r="M10" s="3">
        <v>3845.6170000000002</v>
      </c>
      <c r="N10" s="3">
        <v>18.544</v>
      </c>
      <c r="O10" s="3">
        <v>4380.6790000000001</v>
      </c>
      <c r="P10" s="3">
        <v>2029.3230000000001</v>
      </c>
      <c r="Q10" s="3">
        <v>1871.4190000000001</v>
      </c>
      <c r="R10" s="3">
        <v>0</v>
      </c>
      <c r="S10" s="3">
        <v>2115.3389999999999</v>
      </c>
      <c r="T10" s="3">
        <v>53.384999999999998</v>
      </c>
      <c r="U10" s="3">
        <v>642.88499999999999</v>
      </c>
      <c r="V10" s="3">
        <v>-94.150999999999996</v>
      </c>
      <c r="W10" s="3">
        <v>499.92500000000001</v>
      </c>
      <c r="X10" s="3">
        <v>0</v>
      </c>
      <c r="Y10" s="3">
        <v>394.15499999999997</v>
      </c>
      <c r="Z10" s="3">
        <v>2347.1950000000002</v>
      </c>
      <c r="AA10">
        <v>0</v>
      </c>
      <c r="AB10">
        <v>113.654</v>
      </c>
      <c r="AC10">
        <v>31.992000000000001</v>
      </c>
      <c r="AE10">
        <v>-304.37400000000002</v>
      </c>
      <c r="AF10">
        <v>2265.34</v>
      </c>
      <c r="AG10">
        <v>53.384999999999998</v>
      </c>
      <c r="AH10">
        <v>84.16</v>
      </c>
      <c r="AI10">
        <v>7.7249999999999996</v>
      </c>
      <c r="AJ10">
        <v>18.544</v>
      </c>
      <c r="AK10" t="s">
        <v>531</v>
      </c>
      <c r="AL10">
        <v>0</v>
      </c>
      <c r="AN10">
        <v>54.424999999999997</v>
      </c>
      <c r="AO10">
        <v>47.424999999999997</v>
      </c>
      <c r="AP10">
        <v>0</v>
      </c>
      <c r="AQ10">
        <v>2770</v>
      </c>
      <c r="AR10">
        <v>0.10680000000000001</v>
      </c>
      <c r="AS10">
        <v>12.755000000000001</v>
      </c>
      <c r="AT10">
        <v>0</v>
      </c>
      <c r="AU10">
        <v>0</v>
      </c>
      <c r="AV10">
        <v>20014.622480000002</v>
      </c>
      <c r="AX10">
        <v>0</v>
      </c>
      <c r="AY10">
        <v>80.587000000000003</v>
      </c>
      <c r="AZ10">
        <v>0</v>
      </c>
      <c r="BA10" t="s">
        <v>538</v>
      </c>
      <c r="BB10">
        <v>0.83154884680292496</v>
      </c>
      <c r="BC10">
        <v>0.83154884680292496</v>
      </c>
      <c r="BD10">
        <v>1</v>
      </c>
    </row>
    <row r="11" spans="1:56" x14ac:dyDescent="0.35">
      <c r="A11" t="s">
        <v>542</v>
      </c>
      <c r="B11" s="61">
        <v>45291</v>
      </c>
      <c r="C11" t="s">
        <v>531</v>
      </c>
      <c r="D11" s="3">
        <v>1946.12</v>
      </c>
      <c r="E11" s="3">
        <v>1580.5219999999999</v>
      </c>
      <c r="F11" s="3">
        <v>267.995</v>
      </c>
      <c r="G11" s="3">
        <v>89.055000000000007</v>
      </c>
      <c r="H11" s="3">
        <v>0</v>
      </c>
      <c r="I11" s="3">
        <v>0</v>
      </c>
      <c r="J11" s="3">
        <v>0</v>
      </c>
      <c r="K11" s="3">
        <v>1380.288</v>
      </c>
      <c r="L11" s="3">
        <v>0</v>
      </c>
      <c r="M11" s="3">
        <v>4313.9539999999997</v>
      </c>
      <c r="N11" s="3">
        <v>16.901</v>
      </c>
      <c r="O11" s="3">
        <v>4888.6869999999999</v>
      </c>
      <c r="P11" s="3">
        <v>2510.8380000000002</v>
      </c>
      <c r="Q11" s="3">
        <v>2317.3180000000002</v>
      </c>
      <c r="R11" s="3">
        <v>0</v>
      </c>
      <c r="S11" s="3">
        <v>2164.2190000000001</v>
      </c>
      <c r="T11" s="3">
        <v>178.94</v>
      </c>
      <c r="U11" s="3">
        <v>720.91800000000001</v>
      </c>
      <c r="V11" s="3">
        <v>-122.596</v>
      </c>
      <c r="W11" s="3">
        <v>500.18200000000002</v>
      </c>
      <c r="X11" s="3">
        <v>0</v>
      </c>
      <c r="Y11" s="3">
        <v>359.154</v>
      </c>
      <c r="Z11" s="3">
        <v>2870.3130000000001</v>
      </c>
      <c r="AA11">
        <v>0</v>
      </c>
      <c r="AB11">
        <v>200.48</v>
      </c>
      <c r="AC11">
        <v>-626.10599999999999</v>
      </c>
      <c r="AE11">
        <v>-107.593</v>
      </c>
      <c r="AF11">
        <v>2724.4679999999998</v>
      </c>
      <c r="AG11">
        <v>178.94</v>
      </c>
      <c r="AH11">
        <v>46.79</v>
      </c>
      <c r="AI11">
        <v>8.23</v>
      </c>
      <c r="AJ11">
        <v>16.901</v>
      </c>
      <c r="AK11" t="s">
        <v>531</v>
      </c>
      <c r="AL11">
        <v>0</v>
      </c>
      <c r="AN11">
        <v>80.418000000000006</v>
      </c>
      <c r="AO11">
        <v>66.418000000000006</v>
      </c>
      <c r="AP11">
        <v>0</v>
      </c>
      <c r="AQ11">
        <v>3115</v>
      </c>
      <c r="AR11">
        <v>0.35780000000000001</v>
      </c>
      <c r="AS11">
        <v>68.507999999999996</v>
      </c>
      <c r="AT11">
        <v>0</v>
      </c>
      <c r="AU11">
        <v>0</v>
      </c>
      <c r="AV11">
        <v>32021.984120000001</v>
      </c>
      <c r="AX11">
        <v>646.59699999999998</v>
      </c>
      <c r="AY11">
        <v>99.007000000000005</v>
      </c>
      <c r="AZ11">
        <v>0</v>
      </c>
      <c r="BA11" t="s">
        <v>538</v>
      </c>
      <c r="BB11">
        <v>0.78647058823529403</v>
      </c>
      <c r="BC11">
        <v>0.78647058823529403</v>
      </c>
      <c r="BD11">
        <v>1</v>
      </c>
    </row>
    <row r="12" spans="1:56" x14ac:dyDescent="0.35">
      <c r="A12" t="s">
        <v>542</v>
      </c>
      <c r="B12" s="61">
        <v>45657</v>
      </c>
      <c r="C12" t="s">
        <v>531</v>
      </c>
      <c r="D12" s="3">
        <v>2444.8310000000001</v>
      </c>
      <c r="E12" s="3">
        <v>1972.819</v>
      </c>
      <c r="F12" s="3">
        <v>507.30200000000002</v>
      </c>
      <c r="G12" s="3">
        <v>114.226</v>
      </c>
      <c r="H12" s="3">
        <v>0</v>
      </c>
      <c r="I12" s="3">
        <v>0</v>
      </c>
      <c r="J12" s="3">
        <v>0</v>
      </c>
      <c r="K12" s="3">
        <v>1921.489</v>
      </c>
      <c r="L12" s="3">
        <v>0</v>
      </c>
      <c r="M12" s="3">
        <v>5336.4579999999996</v>
      </c>
      <c r="N12" s="3">
        <v>14.621</v>
      </c>
      <c r="O12" s="3">
        <v>6111.951</v>
      </c>
      <c r="P12" s="3">
        <v>2873.4650000000001</v>
      </c>
      <c r="Q12" s="3">
        <v>2631.2130000000002</v>
      </c>
      <c r="R12" s="3">
        <v>0</v>
      </c>
      <c r="S12" s="3">
        <v>2949.145</v>
      </c>
      <c r="T12" s="3">
        <v>393.07600000000002</v>
      </c>
      <c r="U12" s="3">
        <v>948.73699999999997</v>
      </c>
      <c r="V12" s="3">
        <v>-209.28100000000001</v>
      </c>
      <c r="W12" s="3">
        <v>501.92399999999998</v>
      </c>
      <c r="X12" s="3">
        <v>0</v>
      </c>
      <c r="Y12" s="3">
        <v>473.09300000000002</v>
      </c>
      <c r="Z12" s="3">
        <v>3330.3429999999998</v>
      </c>
      <c r="AA12">
        <v>0</v>
      </c>
      <c r="AB12">
        <v>427.16699999999997</v>
      </c>
      <c r="AC12">
        <v>-107.60899999999999</v>
      </c>
      <c r="AE12">
        <v>-157.51300000000001</v>
      </c>
      <c r="AF12">
        <v>3162.806</v>
      </c>
      <c r="AG12">
        <v>393.07600000000002</v>
      </c>
      <c r="AH12">
        <v>98.238</v>
      </c>
      <c r="AI12">
        <v>8.8239999999999998</v>
      </c>
      <c r="AJ12">
        <v>14.621</v>
      </c>
      <c r="AK12" t="s">
        <v>531</v>
      </c>
      <c r="AL12">
        <v>0</v>
      </c>
      <c r="AN12">
        <v>87.49</v>
      </c>
      <c r="AO12">
        <v>71.489999999999995</v>
      </c>
      <c r="AP12">
        <v>0</v>
      </c>
      <c r="AQ12">
        <v>3522</v>
      </c>
      <c r="AR12">
        <v>0.78310000000000002</v>
      </c>
      <c r="AS12">
        <v>78.841999999999999</v>
      </c>
      <c r="AT12">
        <v>0</v>
      </c>
      <c r="AU12">
        <v>0</v>
      </c>
      <c r="AV12">
        <v>53144.95046</v>
      </c>
      <c r="AX12">
        <v>234.78399999999999</v>
      </c>
      <c r="AY12">
        <v>266.27</v>
      </c>
      <c r="AZ12">
        <v>0</v>
      </c>
      <c r="BA12" t="s">
        <v>538</v>
      </c>
      <c r="BB12">
        <v>0.79813264029261699</v>
      </c>
      <c r="BC12">
        <v>0.79813264029261699</v>
      </c>
      <c r="BD12">
        <v>1</v>
      </c>
    </row>
  </sheetData>
  <phoneticPr fontId="7"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BD5E9-7906-44C9-9563-940DA7727738}">
  <sheetPr codeName="Sheet8">
    <tabColor theme="0" tint="-0.249977111117893"/>
  </sheetPr>
  <dimension ref="A1:P73"/>
  <sheetViews>
    <sheetView workbookViewId="0">
      <selection activeCell="E30" sqref="E30"/>
    </sheetView>
  </sheetViews>
  <sheetFormatPr defaultRowHeight="14.5" x14ac:dyDescent="0.35"/>
  <cols>
    <col min="1" max="1" width="35.1796875" bestFit="1" customWidth="1"/>
    <col min="2" max="3" width="8.08984375" customWidth="1"/>
    <col min="4" max="4" width="10.90625" bestFit="1" customWidth="1"/>
    <col min="5" max="5" width="10.08984375" bestFit="1" customWidth="1"/>
    <col min="7" max="7" width="12.453125" bestFit="1" customWidth="1"/>
    <col min="8" max="8" width="10.08984375" bestFit="1" customWidth="1"/>
    <col min="11" max="11" width="10.90625" bestFit="1" customWidth="1"/>
    <col min="12" max="12" width="10.08984375" bestFit="1" customWidth="1"/>
    <col min="13" max="13" width="9.1796875" customWidth="1"/>
    <col min="14" max="14" width="12.453125" bestFit="1" customWidth="1"/>
    <col min="15" max="15" width="10.08984375" bestFit="1" customWidth="1"/>
    <col min="16" max="16" width="15" bestFit="1" customWidth="1"/>
    <col min="18" max="18" width="13.7265625" bestFit="1" customWidth="1"/>
    <col min="19" max="19" width="11.6328125" bestFit="1" customWidth="1"/>
    <col min="20" max="20" width="15.1796875" bestFit="1" customWidth="1"/>
    <col min="21" max="21" width="18.7265625" bestFit="1" customWidth="1"/>
  </cols>
  <sheetData>
    <row r="1" spans="1:16" ht="23.5" x14ac:dyDescent="0.55000000000000004">
      <c r="A1" s="5" t="str">
        <f>'Start Here'!$H$5</f>
        <v>Trade Desk, Inc. Class A</v>
      </c>
    </row>
    <row r="2" spans="1:16" ht="20" thickBot="1" x14ac:dyDescent="0.5">
      <c r="A2" s="12" t="str" cm="1">
        <f t="array" aca="1" ref="A2" ca="1">_xlfn.TEXTAFTER(CELL("filename"), "]")</f>
        <v>Raw daily returns</v>
      </c>
    </row>
    <row r="3" spans="1:16" ht="15" thickTop="1" x14ac:dyDescent="0.35"/>
    <row r="4" spans="1:16" ht="17.5" thickBot="1" x14ac:dyDescent="0.45">
      <c r="A4" s="14" t="s">
        <v>363</v>
      </c>
    </row>
    <row r="5" spans="1:16" ht="15.5" thickTop="1" thickBot="1" x14ac:dyDescent="0.4">
      <c r="A5" s="73" t="s">
        <v>364</v>
      </c>
      <c r="B5" s="73" t="s">
        <v>289</v>
      </c>
      <c r="C5" s="73" t="s">
        <v>290</v>
      </c>
      <c r="P5" s="51"/>
    </row>
    <row r="6" spans="1:16" x14ac:dyDescent="0.35">
      <c r="A6" t="s">
        <v>399</v>
      </c>
      <c r="B6" s="113">
        <v>-0.05</v>
      </c>
      <c r="C6" s="113">
        <v>0.25</v>
      </c>
      <c r="P6" s="51"/>
    </row>
    <row r="7" spans="1:16" x14ac:dyDescent="0.35">
      <c r="A7" t="s">
        <v>400</v>
      </c>
      <c r="B7" s="113">
        <v>-0.05</v>
      </c>
      <c r="C7" s="113">
        <v>0.12</v>
      </c>
      <c r="P7" s="51"/>
    </row>
    <row r="8" spans="1:16" x14ac:dyDescent="0.35">
      <c r="A8" t="s">
        <v>337</v>
      </c>
      <c r="B8" s="98">
        <v>8</v>
      </c>
      <c r="C8" s="98">
        <v>20</v>
      </c>
      <c r="P8" s="51"/>
    </row>
    <row r="9" spans="1:16" x14ac:dyDescent="0.35">
      <c r="A9" t="s">
        <v>365</v>
      </c>
      <c r="B9" s="113">
        <v>0.01</v>
      </c>
      <c r="C9" s="113">
        <v>0.4</v>
      </c>
      <c r="P9" s="51"/>
    </row>
    <row r="10" spans="1:16" x14ac:dyDescent="0.35">
      <c r="A10" t="s">
        <v>366</v>
      </c>
      <c r="B10" s="113">
        <v>0</v>
      </c>
      <c r="C10" s="113">
        <v>0.8</v>
      </c>
      <c r="P10" s="51"/>
    </row>
    <row r="11" spans="1:16" x14ac:dyDescent="0.35">
      <c r="A11" t="s">
        <v>116</v>
      </c>
      <c r="B11" s="113">
        <v>0.15</v>
      </c>
      <c r="C11" s="113">
        <v>0.7</v>
      </c>
      <c r="P11" s="51"/>
    </row>
    <row r="12" spans="1:16" x14ac:dyDescent="0.35">
      <c r="P12" s="51"/>
    </row>
    <row r="13" spans="1:16" x14ac:dyDescent="0.35">
      <c r="P13" s="51"/>
    </row>
    <row r="14" spans="1:16" ht="17.5" thickBot="1" x14ac:dyDescent="0.45">
      <c r="A14" s="14" t="s">
        <v>381</v>
      </c>
    </row>
    <row r="15" spans="1:16" ht="15.5" thickTop="1" thickBot="1" x14ac:dyDescent="0.4">
      <c r="A15" s="73"/>
      <c r="B15" s="73"/>
      <c r="C15" s="73"/>
      <c r="P15" s="51"/>
    </row>
    <row r="16" spans="1:16" x14ac:dyDescent="0.35">
      <c r="A16" t="s">
        <v>303</v>
      </c>
      <c r="B16" s="113">
        <v>-0.04</v>
      </c>
      <c r="C16" s="113">
        <v>0.2</v>
      </c>
      <c r="P16" s="51"/>
    </row>
    <row r="17" spans="1:16" x14ac:dyDescent="0.35">
      <c r="A17" t="s">
        <v>337</v>
      </c>
      <c r="B17" s="98">
        <v>8</v>
      </c>
      <c r="C17" s="98">
        <v>20</v>
      </c>
      <c r="P17" s="51"/>
    </row>
    <row r="18" spans="1:16" x14ac:dyDescent="0.35">
      <c r="P18" s="51"/>
    </row>
    <row r="19" spans="1:16" x14ac:dyDescent="0.35">
      <c r="P19" s="51"/>
    </row>
    <row r="20" spans="1:16" ht="17.5" thickBot="1" x14ac:dyDescent="0.45">
      <c r="A20" s="14" t="s">
        <v>369</v>
      </c>
      <c r="P20" s="51"/>
    </row>
    <row r="21" spans="1:16" ht="15" thickTop="1" x14ac:dyDescent="0.35">
      <c r="A21" t="s">
        <v>367</v>
      </c>
      <c r="B21" s="16">
        <v>0.02</v>
      </c>
      <c r="P21" s="51"/>
    </row>
    <row r="22" spans="1:16" x14ac:dyDescent="0.35">
      <c r="A22" t="s">
        <v>371</v>
      </c>
      <c r="B22" s="115">
        <f>1000000000000000</f>
        <v>1000000000000000</v>
      </c>
      <c r="P22" s="51"/>
    </row>
    <row r="23" spans="1:16" x14ac:dyDescent="0.35">
      <c r="A23" t="s">
        <v>397</v>
      </c>
      <c r="B23" s="115">
        <v>4</v>
      </c>
      <c r="C23" t="s">
        <v>398</v>
      </c>
      <c r="P23" s="51"/>
    </row>
    <row r="24" spans="1:16" x14ac:dyDescent="0.35">
      <c r="A24" t="s">
        <v>404</v>
      </c>
      <c r="B24" s="115">
        <v>0.05</v>
      </c>
      <c r="P24" s="51"/>
    </row>
    <row r="25" spans="1:16" x14ac:dyDescent="0.35">
      <c r="A25" t="s">
        <v>406</v>
      </c>
      <c r="B25" s="113">
        <f>1/4</f>
        <v>0.25</v>
      </c>
      <c r="P25" s="51"/>
    </row>
    <row r="26" spans="1:16" x14ac:dyDescent="0.35">
      <c r="A26" t="s">
        <v>412</v>
      </c>
      <c r="B26" s="115">
        <v>3</v>
      </c>
      <c r="P26" s="51"/>
    </row>
    <row r="27" spans="1:16" x14ac:dyDescent="0.35">
      <c r="P27" s="51"/>
    </row>
    <row r="28" spans="1:16" x14ac:dyDescent="0.35">
      <c r="P28" s="51"/>
    </row>
    <row r="29" spans="1:16" ht="17.5" thickBot="1" x14ac:dyDescent="0.45">
      <c r="A29" s="14" t="s">
        <v>370</v>
      </c>
      <c r="P29" s="51"/>
    </row>
    <row r="30" spans="1:16" ht="15" thickTop="1" x14ac:dyDescent="0.35">
      <c r="A30" t="s">
        <v>51</v>
      </c>
      <c r="B30" t="s">
        <v>208</v>
      </c>
      <c r="D30" t="s">
        <v>209</v>
      </c>
      <c r="E30">
        <f>ROWS(Raw_financials[#Data])</f>
        <v>11</v>
      </c>
      <c r="G30" t="s">
        <v>264</v>
      </c>
      <c r="P30" s="51"/>
    </row>
    <row r="31" spans="1:16" x14ac:dyDescent="0.35">
      <c r="A31" s="51" cm="1">
        <f t="array" ref="A31:A41">_xlfn.SORTBY(Raw_financials[date], Raw_financials[date])</f>
        <v>42004</v>
      </c>
      <c r="B31">
        <f>_xlfn.RANK.AVG($A31,Raw_financials[date])</f>
        <v>11</v>
      </c>
      <c r="D31" t="s">
        <v>210</v>
      </c>
      <c r="E31">
        <f>COLUMNS('Income statement'!$C$6:$V$6)</f>
        <v>20</v>
      </c>
      <c r="G31" t="s">
        <v>265</v>
      </c>
      <c r="H31" s="51">
        <f ca="1">TODAY()</f>
        <v>45824</v>
      </c>
      <c r="P31" s="51"/>
    </row>
    <row r="32" spans="1:16" x14ac:dyDescent="0.35">
      <c r="A32" s="51">
        <v>42369</v>
      </c>
      <c r="B32">
        <f>_xlfn.RANK.AVG($A32,Raw_financials[date])</f>
        <v>10</v>
      </c>
      <c r="D32" t="s">
        <v>214</v>
      </c>
      <c r="E32">
        <f>MAX(0,n_years-$E$30)</f>
        <v>9</v>
      </c>
      <c r="G32" t="s">
        <v>266</v>
      </c>
      <c r="H32" s="51">
        <f ca="1">EDATE($H$31,-120)</f>
        <v>42171</v>
      </c>
      <c r="P32" s="51"/>
    </row>
    <row r="33" spans="1:16" x14ac:dyDescent="0.35">
      <c r="A33" s="51">
        <v>42735</v>
      </c>
      <c r="B33">
        <f>_xlfn.RANK.AVG($A33,Raw_financials[date])</f>
        <v>9</v>
      </c>
      <c r="D33" t="s">
        <v>211</v>
      </c>
      <c r="E33" s="51">
        <f>MAX(Raw_financials[date])</f>
        <v>45657</v>
      </c>
      <c r="G33" t="s">
        <v>267</v>
      </c>
      <c r="H33" s="51">
        <f ca="1">EDATE($H$31,-60)</f>
        <v>43998</v>
      </c>
      <c r="P33" s="51"/>
    </row>
    <row r="34" spans="1:16" x14ac:dyDescent="0.35">
      <c r="A34" s="51">
        <v>43100</v>
      </c>
      <c r="B34">
        <f>_xlfn.RANK.AVG($A34,Raw_financials[date])</f>
        <v>8</v>
      </c>
      <c r="D34" t="s">
        <v>262</v>
      </c>
      <c r="E34" t="b" cm="1">
        <f t="array" ref="E34">OR(ISNA(buffer))</f>
        <v>0</v>
      </c>
      <c r="G34" t="s">
        <v>268</v>
      </c>
      <c r="H34" s="51">
        <f ca="1">EDATE($H$31,48)</f>
        <v>47285</v>
      </c>
      <c r="P34" s="51"/>
    </row>
    <row r="35" spans="1:16" x14ac:dyDescent="0.35">
      <c r="A35" s="51">
        <v>43465</v>
      </c>
      <c r="B35">
        <f>_xlfn.RANK.AVG($A35,Raw_financials[date])</f>
        <v>7</v>
      </c>
      <c r="D35" t="s">
        <v>213</v>
      </c>
      <c r="E35" t="e" cm="1">
        <f t="array" ref="E35:E43">IF($E$32=0,NA(),INDEX({#VALUE!},_xlfn.SEQUENCE($E$32)*0))</f>
        <v>#VALUE!</v>
      </c>
      <c r="P35" s="51"/>
    </row>
    <row r="36" spans="1:16" x14ac:dyDescent="0.35">
      <c r="A36" s="51">
        <v>43830</v>
      </c>
      <c r="B36">
        <f>_xlfn.RANK.AVG($A36,Raw_financials[date])</f>
        <v>6</v>
      </c>
      <c r="E36" t="e">
        <v>#VALUE!</v>
      </c>
      <c r="P36" s="51"/>
    </row>
    <row r="37" spans="1:16" x14ac:dyDescent="0.35">
      <c r="A37" s="51">
        <v>44196</v>
      </c>
      <c r="B37">
        <f>_xlfn.RANK.AVG($A37,Raw_financials[date])</f>
        <v>5</v>
      </c>
      <c r="E37" t="e">
        <v>#VALUE!</v>
      </c>
      <c r="P37" s="51"/>
    </row>
    <row r="38" spans="1:16" x14ac:dyDescent="0.35">
      <c r="A38" s="51">
        <v>44561</v>
      </c>
      <c r="B38">
        <f>_xlfn.RANK.AVG($A38,Raw_financials[date])</f>
        <v>4</v>
      </c>
      <c r="E38" t="e">
        <v>#VALUE!</v>
      </c>
      <c r="P38" s="51"/>
    </row>
    <row r="39" spans="1:16" x14ac:dyDescent="0.35">
      <c r="A39" s="51">
        <v>44926</v>
      </c>
      <c r="B39">
        <f>_xlfn.RANK.AVG($A39,Raw_financials[date])</f>
        <v>3</v>
      </c>
      <c r="E39" t="e">
        <v>#VALUE!</v>
      </c>
      <c r="P39" s="51"/>
    </row>
    <row r="40" spans="1:16" x14ac:dyDescent="0.35">
      <c r="A40" s="51">
        <v>45291</v>
      </c>
      <c r="B40">
        <f>_xlfn.RANK.AVG($A40,Raw_financials[date])</f>
        <v>2</v>
      </c>
      <c r="E40" t="e">
        <v>#VALUE!</v>
      </c>
      <c r="P40" s="51"/>
    </row>
    <row r="41" spans="1:16" x14ac:dyDescent="0.35">
      <c r="A41" s="51">
        <v>45657</v>
      </c>
      <c r="B41">
        <f>_xlfn.RANK.AVG($A41,Raw_financials[date])</f>
        <v>1</v>
      </c>
      <c r="E41" t="e">
        <v>#VALUE!</v>
      </c>
      <c r="P41" s="51"/>
    </row>
    <row r="42" spans="1:16" x14ac:dyDescent="0.35">
      <c r="A42" s="51"/>
      <c r="B42" t="e">
        <f>_xlfn.RANK.AVG($A42,Raw_financials[date])</f>
        <v>#N/A</v>
      </c>
      <c r="E42" t="e">
        <v>#VALUE!</v>
      </c>
      <c r="P42" s="51"/>
    </row>
    <row r="43" spans="1:16" x14ac:dyDescent="0.35">
      <c r="A43" s="51"/>
      <c r="B43" t="e">
        <f>_xlfn.RANK.AVG($A43,Raw_financials[date])</f>
        <v>#N/A</v>
      </c>
      <c r="E43" t="e">
        <v>#VALUE!</v>
      </c>
      <c r="P43" s="51"/>
    </row>
    <row r="44" spans="1:16" x14ac:dyDescent="0.35">
      <c r="A44" s="51"/>
      <c r="B44" t="e">
        <f>_xlfn.RANK.AVG($A44,Raw_financials[date])</f>
        <v>#N/A</v>
      </c>
      <c r="P44" s="51"/>
    </row>
    <row r="45" spans="1:16" x14ac:dyDescent="0.35">
      <c r="A45" s="51"/>
      <c r="B45" t="e">
        <f>_xlfn.RANK.AVG($A45,Raw_financials[date])</f>
        <v>#N/A</v>
      </c>
      <c r="P45" s="51"/>
    </row>
    <row r="46" spans="1:16" x14ac:dyDescent="0.35">
      <c r="A46" s="51"/>
      <c r="B46" t="e">
        <f>_xlfn.RANK.AVG($A46,Raw_financials[date])</f>
        <v>#N/A</v>
      </c>
      <c r="P46" s="51"/>
    </row>
    <row r="47" spans="1:16" x14ac:dyDescent="0.35">
      <c r="A47" s="51"/>
      <c r="B47" t="e">
        <f>_xlfn.RANK.AVG($A47,Raw_financials[date])</f>
        <v>#N/A</v>
      </c>
      <c r="P47" s="51"/>
    </row>
    <row r="48" spans="1:16" x14ac:dyDescent="0.35">
      <c r="A48" s="51"/>
      <c r="B48" t="e">
        <f>_xlfn.RANK.AVG($A48,Raw_financials[date])</f>
        <v>#N/A</v>
      </c>
      <c r="P48" s="51"/>
    </row>
    <row r="49" spans="1:16" x14ac:dyDescent="0.35">
      <c r="A49" s="51"/>
      <c r="B49" t="e">
        <f>_xlfn.RANK.AVG($A49,Raw_financials[date])</f>
        <v>#N/A</v>
      </c>
      <c r="P49" s="51"/>
    </row>
    <row r="50" spans="1:16" x14ac:dyDescent="0.35">
      <c r="A50" s="51"/>
      <c r="B50" t="e">
        <f>_xlfn.RANK.AVG($A50,Raw_financials[date])</f>
        <v>#N/A</v>
      </c>
      <c r="P50" s="51"/>
    </row>
    <row r="51" spans="1:16" x14ac:dyDescent="0.35">
      <c r="A51" s="51"/>
      <c r="B51" t="e">
        <f>_xlfn.RANK.AVG($A51,Raw_financials[date])</f>
        <v>#N/A</v>
      </c>
      <c r="P51" s="51"/>
    </row>
    <row r="52" spans="1:16" x14ac:dyDescent="0.35">
      <c r="A52" s="51"/>
      <c r="B52" t="e">
        <f>_xlfn.RANK.AVG($A52,Raw_financials[date])</f>
        <v>#N/A</v>
      </c>
      <c r="P52" s="51"/>
    </row>
    <row r="53" spans="1:16" x14ac:dyDescent="0.35">
      <c r="A53" s="51"/>
      <c r="B53" t="e">
        <f>_xlfn.RANK.AVG($A53,Raw_financials[date])</f>
        <v>#N/A</v>
      </c>
      <c r="P53" s="51"/>
    </row>
    <row r="54" spans="1:16" x14ac:dyDescent="0.35">
      <c r="A54" s="51"/>
      <c r="B54" t="e">
        <f>_xlfn.RANK.AVG($A54,Raw_financials[date])</f>
        <v>#N/A</v>
      </c>
      <c r="P54" s="51"/>
    </row>
    <row r="55" spans="1:16" x14ac:dyDescent="0.35">
      <c r="A55" s="51"/>
      <c r="B55" t="e">
        <f>_xlfn.RANK.AVG($A55,Raw_financials[date])</f>
        <v>#N/A</v>
      </c>
      <c r="P55" s="51"/>
    </row>
    <row r="56" spans="1:16" x14ac:dyDescent="0.35">
      <c r="A56" s="51"/>
      <c r="B56" t="e">
        <f>_xlfn.RANK.AVG($A56,Raw_financials[date])</f>
        <v>#N/A</v>
      </c>
      <c r="P56" s="51"/>
    </row>
    <row r="57" spans="1:16" x14ac:dyDescent="0.35">
      <c r="A57" s="51"/>
      <c r="B57" t="e">
        <f>_xlfn.RANK.AVG($A57,Raw_financials[date])</f>
        <v>#N/A</v>
      </c>
      <c r="P57" s="51"/>
    </row>
    <row r="58" spans="1:16" x14ac:dyDescent="0.35">
      <c r="A58" s="51"/>
      <c r="B58" t="e">
        <f>_xlfn.RANK.AVG($A58,Raw_financials[date])</f>
        <v>#N/A</v>
      </c>
      <c r="P58" s="51"/>
    </row>
    <row r="59" spans="1:16" x14ac:dyDescent="0.35">
      <c r="A59" s="51"/>
      <c r="B59" t="e">
        <f>_xlfn.RANK.AVG($A59,Raw_financials[date])</f>
        <v>#N/A</v>
      </c>
    </row>
    <row r="60" spans="1:16" x14ac:dyDescent="0.35">
      <c r="A60" s="51"/>
      <c r="B60" t="e">
        <f>_xlfn.RANK.AVG($A60,Raw_financials[date])</f>
        <v>#N/A</v>
      </c>
    </row>
    <row r="61" spans="1:16" x14ac:dyDescent="0.35">
      <c r="A61" s="51"/>
      <c r="B61" t="e">
        <f>_xlfn.RANK.AVG($A61,Raw_financials[date])</f>
        <v>#N/A</v>
      </c>
    </row>
    <row r="62" spans="1:16" x14ac:dyDescent="0.35">
      <c r="A62" s="51"/>
      <c r="B62" t="e">
        <f>_xlfn.RANK.AVG($A62,Raw_financials[date])</f>
        <v>#N/A</v>
      </c>
    </row>
    <row r="63" spans="1:16" x14ac:dyDescent="0.35">
      <c r="A63" s="51"/>
      <c r="B63" t="e">
        <f>_xlfn.RANK.AVG($A63,Raw_financials[date])</f>
        <v>#N/A</v>
      </c>
    </row>
    <row r="64" spans="1:16" x14ac:dyDescent="0.35">
      <c r="A64" s="51"/>
      <c r="B64" t="e">
        <f>_xlfn.RANK.AVG($A64,Raw_financials[date])</f>
        <v>#N/A</v>
      </c>
    </row>
    <row r="65" spans="1:2" x14ac:dyDescent="0.35">
      <c r="A65" s="51"/>
      <c r="B65" t="e">
        <f>_xlfn.RANK.AVG($A65,Raw_financials[date])</f>
        <v>#N/A</v>
      </c>
    </row>
    <row r="66" spans="1:2" x14ac:dyDescent="0.35">
      <c r="A66" s="51"/>
      <c r="B66" t="e">
        <f>_xlfn.RANK.AVG($A66,Raw_financials[date])</f>
        <v>#N/A</v>
      </c>
    </row>
    <row r="67" spans="1:2" x14ac:dyDescent="0.35">
      <c r="A67" s="51"/>
      <c r="B67" t="e">
        <f>_xlfn.RANK.AVG($A67,Raw_financials[date])</f>
        <v>#N/A</v>
      </c>
    </row>
    <row r="68" spans="1:2" x14ac:dyDescent="0.35">
      <c r="A68" s="51"/>
      <c r="B68" t="e">
        <f>_xlfn.RANK.AVG($A68,Raw_financials[date])</f>
        <v>#N/A</v>
      </c>
    </row>
    <row r="69" spans="1:2" x14ac:dyDescent="0.35">
      <c r="A69" s="51"/>
      <c r="B69" t="e">
        <f>_xlfn.RANK.AVG($A69,Raw_financials[date])</f>
        <v>#N/A</v>
      </c>
    </row>
    <row r="70" spans="1:2" x14ac:dyDescent="0.35">
      <c r="A70" s="51"/>
      <c r="B70" t="e">
        <f>_xlfn.RANK.AVG($A70,Raw_financials[date])</f>
        <v>#N/A</v>
      </c>
    </row>
    <row r="71" spans="1:2" x14ac:dyDescent="0.35">
      <c r="A71" s="51"/>
      <c r="B71" t="e">
        <f>_xlfn.RANK.AVG($A71,Raw_financials[date])</f>
        <v>#N/A</v>
      </c>
    </row>
    <row r="72" spans="1:2" x14ac:dyDescent="0.35">
      <c r="A72" s="51"/>
      <c r="B72" t="e">
        <f>_xlfn.RANK.AVG($A72,Raw_financials[date])</f>
        <v>#N/A</v>
      </c>
    </row>
    <row r="73" spans="1:2" x14ac:dyDescent="0.35">
      <c r="A73" s="51"/>
      <c r="B73" t="e">
        <f>_xlfn.RANK.AVG($A73,Raw_financials[date])</f>
        <v>#N/A</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D326C-8B72-4BB0-AD4C-AD22FE259375}">
  <sheetPr codeName="Sheet9">
    <tabColor theme="0" tint="-0.249977111117893"/>
  </sheetPr>
  <dimension ref="A1:F68"/>
  <sheetViews>
    <sheetView workbookViewId="0">
      <selection activeCell="A3" sqref="A3"/>
    </sheetView>
  </sheetViews>
  <sheetFormatPr defaultRowHeight="14.5" x14ac:dyDescent="0.35"/>
  <cols>
    <col min="1" max="1" width="20" bestFit="1" customWidth="1"/>
    <col min="2" max="2" width="41.36328125" bestFit="1" customWidth="1"/>
    <col min="3" max="3" width="16.26953125" bestFit="1" customWidth="1"/>
  </cols>
  <sheetData>
    <row r="1" spans="1:6" ht="23.5" x14ac:dyDescent="0.55000000000000004">
      <c r="A1" s="5" t="str">
        <f>'Start Here'!$H$5</f>
        <v>Trade Desk, Inc. Class A</v>
      </c>
    </row>
    <row r="2" spans="1:6" ht="20" thickBot="1" x14ac:dyDescent="0.5">
      <c r="A2" s="12" t="str" cm="1">
        <f t="array" aca="1" ref="A2" ca="1">_xlfn.TEXTAFTER(CELL("filename"), "]")</f>
        <v>Raw daily returns</v>
      </c>
    </row>
    <row r="3" spans="1:6" ht="15" thickTop="1" x14ac:dyDescent="0.35"/>
    <row r="5" spans="1:6" s="1" customFormat="1" x14ac:dyDescent="0.35">
      <c r="A5" s="1" t="s">
        <v>86</v>
      </c>
      <c r="B5" s="1" t="s">
        <v>87</v>
      </c>
      <c r="C5" s="1" t="s">
        <v>88</v>
      </c>
    </row>
    <row r="6" spans="1:6" x14ac:dyDescent="0.35">
      <c r="A6" t="s">
        <v>0</v>
      </c>
      <c r="B6" t="s">
        <v>50</v>
      </c>
      <c r="C6">
        <f>_xlfn.XMATCH($A6,Raw_financials[#Headers],0)</f>
        <v>1</v>
      </c>
    </row>
    <row r="7" spans="1:6" x14ac:dyDescent="0.35">
      <c r="A7" t="s">
        <v>1</v>
      </c>
      <c r="B7" t="s">
        <v>51</v>
      </c>
      <c r="C7">
        <f>_xlfn.XMATCH($A7,Raw_financials[#Headers],0)</f>
        <v>2</v>
      </c>
      <c r="D7" t="s">
        <v>120</v>
      </c>
    </row>
    <row r="8" spans="1:6" x14ac:dyDescent="0.35">
      <c r="A8" t="s">
        <v>2</v>
      </c>
      <c r="B8" t="s">
        <v>52</v>
      </c>
      <c r="C8">
        <f>_xlfn.XMATCH($A8,Raw_financials[#Headers],0)</f>
        <v>3</v>
      </c>
      <c r="F8" t="s">
        <v>154</v>
      </c>
    </row>
    <row r="9" spans="1:6" x14ac:dyDescent="0.35">
      <c r="A9" t="s">
        <v>3</v>
      </c>
      <c r="B9" t="s">
        <v>53</v>
      </c>
      <c r="C9">
        <f>_xlfn.XMATCH($A9,Raw_financials[#Headers],0)</f>
        <v>4</v>
      </c>
      <c r="D9" t="s">
        <v>120</v>
      </c>
      <c r="E9" t="s">
        <v>132</v>
      </c>
    </row>
    <row r="10" spans="1:6" x14ac:dyDescent="0.35">
      <c r="A10" t="s">
        <v>207</v>
      </c>
      <c r="B10" t="s">
        <v>54</v>
      </c>
      <c r="C10">
        <f>_xlfn.XMATCH($A10,Raw_financials[#Headers],0)</f>
        <v>45</v>
      </c>
      <c r="D10" t="s">
        <v>120</v>
      </c>
      <c r="E10" t="s">
        <v>132</v>
      </c>
    </row>
    <row r="11" spans="1:6" x14ac:dyDescent="0.35">
      <c r="A11" t="s">
        <v>4</v>
      </c>
      <c r="B11" t="s">
        <v>90</v>
      </c>
      <c r="C11">
        <f>_xlfn.XMATCH($A11,Raw_financials[#Headers],0)</f>
        <v>5</v>
      </c>
      <c r="D11" t="s">
        <v>120</v>
      </c>
      <c r="E11" t="s">
        <v>132</v>
      </c>
    </row>
    <row r="12" spans="1:6" x14ac:dyDescent="0.35">
      <c r="A12" t="s">
        <v>5</v>
      </c>
      <c r="B12" t="s">
        <v>55</v>
      </c>
      <c r="C12">
        <f>_xlfn.XMATCH($A12,Raw_financials[#Headers],0)</f>
        <v>6</v>
      </c>
      <c r="D12" t="s">
        <v>120</v>
      </c>
      <c r="E12" t="s">
        <v>132</v>
      </c>
    </row>
    <row r="13" spans="1:6" x14ac:dyDescent="0.35">
      <c r="A13" t="s">
        <v>6</v>
      </c>
      <c r="B13" t="s">
        <v>56</v>
      </c>
      <c r="C13">
        <f>_xlfn.XMATCH($A13,Raw_financials[#Headers],0)</f>
        <v>7</v>
      </c>
      <c r="D13" t="s">
        <v>120</v>
      </c>
      <c r="E13" t="s">
        <v>132</v>
      </c>
    </row>
    <row r="14" spans="1:6" x14ac:dyDescent="0.35">
      <c r="A14" t="s">
        <v>7</v>
      </c>
      <c r="B14" t="s">
        <v>57</v>
      </c>
      <c r="C14">
        <f>_xlfn.XMATCH($A14,Raw_financials[#Headers],0)</f>
        <v>8</v>
      </c>
      <c r="D14" t="s">
        <v>120</v>
      </c>
      <c r="E14" t="s">
        <v>132</v>
      </c>
    </row>
    <row r="15" spans="1:6" x14ac:dyDescent="0.35">
      <c r="A15" t="s">
        <v>8</v>
      </c>
      <c r="B15" t="s">
        <v>58</v>
      </c>
      <c r="C15">
        <f>_xlfn.XMATCH($A15,Raw_financials[#Headers],0)</f>
        <v>9</v>
      </c>
      <c r="D15" t="s">
        <v>120</v>
      </c>
      <c r="E15" t="s">
        <v>132</v>
      </c>
    </row>
    <row r="16" spans="1:6" x14ac:dyDescent="0.35">
      <c r="A16" t="s">
        <v>9</v>
      </c>
      <c r="B16" t="s">
        <v>59</v>
      </c>
      <c r="C16">
        <f>_xlfn.XMATCH($A16,Raw_financials[#Headers],0)</f>
        <v>10</v>
      </c>
      <c r="D16" t="s">
        <v>120</v>
      </c>
      <c r="E16" t="s">
        <v>132</v>
      </c>
    </row>
    <row r="17" spans="1:6" x14ac:dyDescent="0.35">
      <c r="A17" t="s">
        <v>10</v>
      </c>
      <c r="B17" t="s">
        <v>60</v>
      </c>
      <c r="C17">
        <f>_xlfn.XMATCH($A17,Raw_financials[#Headers],0)</f>
        <v>11</v>
      </c>
      <c r="D17" t="s">
        <v>120</v>
      </c>
      <c r="E17" t="s">
        <v>133</v>
      </c>
    </row>
    <row r="18" spans="1:6" x14ac:dyDescent="0.35">
      <c r="A18" t="s">
        <v>11</v>
      </c>
      <c r="B18" t="s">
        <v>145</v>
      </c>
      <c r="C18">
        <f>_xlfn.XMATCH($A18,Raw_financials[#Headers],0)</f>
        <v>12</v>
      </c>
      <c r="D18" t="s">
        <v>120</v>
      </c>
      <c r="E18" t="s">
        <v>133</v>
      </c>
    </row>
    <row r="19" spans="1:6" x14ac:dyDescent="0.35">
      <c r="A19" t="s">
        <v>12</v>
      </c>
      <c r="B19" t="s">
        <v>61</v>
      </c>
      <c r="C19">
        <f>_xlfn.XMATCH($A19,Raw_financials[#Headers],0)</f>
        <v>13</v>
      </c>
      <c r="D19" t="s">
        <v>120</v>
      </c>
      <c r="E19" t="s">
        <v>133</v>
      </c>
    </row>
    <row r="20" spans="1:6" x14ac:dyDescent="0.35">
      <c r="A20" t="s">
        <v>13</v>
      </c>
      <c r="B20" t="s">
        <v>121</v>
      </c>
      <c r="C20">
        <f>_xlfn.XMATCH($A20,Raw_financials[#Headers],0)</f>
        <v>14</v>
      </c>
      <c r="D20" t="s">
        <v>120</v>
      </c>
      <c r="E20" t="s">
        <v>133</v>
      </c>
    </row>
    <row r="21" spans="1:6" x14ac:dyDescent="0.35">
      <c r="A21" t="s">
        <v>14</v>
      </c>
      <c r="B21" t="s">
        <v>118</v>
      </c>
      <c r="C21">
        <f>_xlfn.XMATCH($A21,Raw_financials[#Headers],0)</f>
        <v>15</v>
      </c>
      <c r="D21" t="s">
        <v>120</v>
      </c>
      <c r="E21" t="s">
        <v>133</v>
      </c>
    </row>
    <row r="22" spans="1:6" x14ac:dyDescent="0.35">
      <c r="A22" t="s">
        <v>15</v>
      </c>
      <c r="B22" t="s">
        <v>129</v>
      </c>
      <c r="C22">
        <f>_xlfn.XMATCH($A22,Raw_financials[#Headers],0)</f>
        <v>16</v>
      </c>
      <c r="D22" t="s">
        <v>120</v>
      </c>
      <c r="E22" t="s">
        <v>133</v>
      </c>
    </row>
    <row r="23" spans="1:6" x14ac:dyDescent="0.35">
      <c r="A23" t="s">
        <v>16</v>
      </c>
      <c r="B23" t="s">
        <v>62</v>
      </c>
      <c r="C23">
        <f>_xlfn.XMATCH($A23,Raw_financials[#Headers],0)</f>
        <v>17</v>
      </c>
      <c r="D23" t="s">
        <v>120</v>
      </c>
      <c r="E23" t="s">
        <v>133</v>
      </c>
    </row>
    <row r="24" spans="1:6" x14ac:dyDescent="0.35">
      <c r="A24" t="s">
        <v>17</v>
      </c>
      <c r="B24" t="s">
        <v>139</v>
      </c>
      <c r="C24">
        <f>_xlfn.XMATCH($A24,Raw_financials[#Headers],0)</f>
        <v>18</v>
      </c>
      <c r="D24" t="s">
        <v>120</v>
      </c>
      <c r="E24" t="s">
        <v>133</v>
      </c>
    </row>
    <row r="25" spans="1:6" x14ac:dyDescent="0.35">
      <c r="A25" t="s">
        <v>18</v>
      </c>
      <c r="B25" t="s">
        <v>63</v>
      </c>
      <c r="C25">
        <f>_xlfn.XMATCH($A25,Raw_financials[#Headers],0)</f>
        <v>19</v>
      </c>
      <c r="D25" t="s">
        <v>120</v>
      </c>
      <c r="E25" t="s">
        <v>133</v>
      </c>
    </row>
    <row r="26" spans="1:6" x14ac:dyDescent="0.35">
      <c r="A26" t="s">
        <v>19</v>
      </c>
      <c r="B26" t="s">
        <v>64</v>
      </c>
      <c r="C26">
        <f>_xlfn.XMATCH($A26,Raw_financials[#Headers],0)</f>
        <v>20</v>
      </c>
      <c r="D26" t="s">
        <v>120</v>
      </c>
      <c r="E26" t="s">
        <v>134</v>
      </c>
      <c r="F26" t="s">
        <v>154</v>
      </c>
    </row>
    <row r="27" spans="1:6" x14ac:dyDescent="0.35">
      <c r="A27" t="s">
        <v>20</v>
      </c>
      <c r="B27" t="s">
        <v>150</v>
      </c>
      <c r="C27">
        <f>_xlfn.XMATCH($A27,Raw_financials[#Headers],0)</f>
        <v>21</v>
      </c>
      <c r="D27" t="s">
        <v>120</v>
      </c>
      <c r="E27" t="s">
        <v>134</v>
      </c>
    </row>
    <row r="28" spans="1:6" x14ac:dyDescent="0.35">
      <c r="A28" t="s">
        <v>21</v>
      </c>
      <c r="B28" t="s">
        <v>65</v>
      </c>
      <c r="C28">
        <f>_xlfn.XMATCH($A28,Raw_financials[#Headers],0)</f>
        <v>22</v>
      </c>
      <c r="D28" t="s">
        <v>120</v>
      </c>
      <c r="E28" t="s">
        <v>134</v>
      </c>
      <c r="F28" t="s">
        <v>154</v>
      </c>
    </row>
    <row r="29" spans="1:6" x14ac:dyDescent="0.35">
      <c r="A29" t="s">
        <v>22</v>
      </c>
      <c r="B29" t="s">
        <v>97</v>
      </c>
      <c r="C29">
        <f>_xlfn.XMATCH($A29,Raw_financials[#Headers],0)</f>
        <v>23</v>
      </c>
      <c r="D29" t="s">
        <v>120</v>
      </c>
      <c r="E29" t="s">
        <v>132</v>
      </c>
    </row>
    <row r="30" spans="1:6" x14ac:dyDescent="0.35">
      <c r="A30" t="s">
        <v>23</v>
      </c>
      <c r="B30" t="s">
        <v>66</v>
      </c>
      <c r="C30">
        <f>_xlfn.XMATCH($A30,Raw_financials[#Headers],0)</f>
        <v>24</v>
      </c>
      <c r="D30" t="s">
        <v>120</v>
      </c>
      <c r="E30" t="s">
        <v>133</v>
      </c>
    </row>
    <row r="31" spans="1:6" x14ac:dyDescent="0.35">
      <c r="A31" t="s">
        <v>24</v>
      </c>
      <c r="B31" t="s">
        <v>77</v>
      </c>
      <c r="C31">
        <f>_xlfn.XMATCH($A31,Raw_financials[#Headers],0)</f>
        <v>25</v>
      </c>
      <c r="D31" t="s">
        <v>120</v>
      </c>
      <c r="E31" t="s">
        <v>133</v>
      </c>
    </row>
    <row r="32" spans="1:6" x14ac:dyDescent="0.35">
      <c r="A32" t="s">
        <v>25</v>
      </c>
      <c r="B32" t="s">
        <v>67</v>
      </c>
      <c r="C32">
        <f>_xlfn.XMATCH($A32,Raw_financials[#Headers],0)</f>
        <v>26</v>
      </c>
      <c r="D32" t="s">
        <v>120</v>
      </c>
      <c r="E32" t="s">
        <v>133</v>
      </c>
    </row>
    <row r="33" spans="1:6" x14ac:dyDescent="0.35">
      <c r="A33" t="s">
        <v>26</v>
      </c>
      <c r="B33" t="s">
        <v>93</v>
      </c>
      <c r="C33">
        <f>_xlfn.XMATCH($A33,Raw_financials[#Headers],0)</f>
        <v>30</v>
      </c>
      <c r="D33" t="s">
        <v>120</v>
      </c>
      <c r="E33" t="s">
        <v>132</v>
      </c>
    </row>
    <row r="34" spans="1:6" x14ac:dyDescent="0.35">
      <c r="A34" t="s">
        <v>27</v>
      </c>
      <c r="B34" t="s">
        <v>68</v>
      </c>
      <c r="C34">
        <f>_xlfn.XMATCH($A34,Raw_financials[#Headers],0)</f>
        <v>33</v>
      </c>
      <c r="D34" t="s">
        <v>120</v>
      </c>
      <c r="E34" t="s">
        <v>132</v>
      </c>
    </row>
    <row r="35" spans="1:6" x14ac:dyDescent="0.35">
      <c r="A35" t="s">
        <v>28</v>
      </c>
      <c r="B35" t="s">
        <v>130</v>
      </c>
      <c r="C35">
        <f>_xlfn.XMATCH($A35,Raw_financials[#Headers],0)</f>
        <v>32</v>
      </c>
      <c r="D35" t="s">
        <v>120</v>
      </c>
      <c r="E35" t="s">
        <v>133</v>
      </c>
    </row>
    <row r="36" spans="1:6" x14ac:dyDescent="0.35">
      <c r="A36" t="s">
        <v>29</v>
      </c>
      <c r="B36" t="s">
        <v>70</v>
      </c>
      <c r="C36">
        <f>_xlfn.XMATCH($A36,Raw_financials[#Headers],0)</f>
        <v>31</v>
      </c>
      <c r="D36" t="s">
        <v>120</v>
      </c>
      <c r="E36" t="s">
        <v>134</v>
      </c>
    </row>
    <row r="37" spans="1:6" x14ac:dyDescent="0.35">
      <c r="A37" t="s">
        <v>30</v>
      </c>
      <c r="B37" t="s">
        <v>71</v>
      </c>
      <c r="C37">
        <f>_xlfn.XMATCH($A37,Raw_financials[#Headers],0)</f>
        <v>27</v>
      </c>
      <c r="D37" t="s">
        <v>120</v>
      </c>
      <c r="E37" t="s">
        <v>134</v>
      </c>
    </row>
    <row r="38" spans="1:6" x14ac:dyDescent="0.35">
      <c r="A38" t="s">
        <v>31</v>
      </c>
      <c r="B38" t="s">
        <v>72</v>
      </c>
      <c r="C38">
        <f>_xlfn.XMATCH($A38,Raw_financials[#Headers],0)</f>
        <v>29</v>
      </c>
      <c r="D38" t="s">
        <v>120</v>
      </c>
      <c r="E38" t="s">
        <v>134</v>
      </c>
    </row>
    <row r="39" spans="1:6" x14ac:dyDescent="0.35">
      <c r="A39" t="s">
        <v>32</v>
      </c>
      <c r="B39" t="s">
        <v>92</v>
      </c>
      <c r="C39">
        <f>_xlfn.XMATCH($A39,Raw_financials[#Headers],0)</f>
        <v>28</v>
      </c>
      <c r="D39" t="s">
        <v>120</v>
      </c>
      <c r="E39" t="s">
        <v>132</v>
      </c>
    </row>
    <row r="40" spans="1:6" x14ac:dyDescent="0.35">
      <c r="A40" t="s">
        <v>33</v>
      </c>
      <c r="B40" t="s">
        <v>135</v>
      </c>
      <c r="C40">
        <f>_xlfn.XMATCH($A40,Raw_financials[#Headers],0)</f>
        <v>37</v>
      </c>
    </row>
    <row r="41" spans="1:6" x14ac:dyDescent="0.35">
      <c r="A41" t="s">
        <v>34</v>
      </c>
      <c r="B41" t="s">
        <v>73</v>
      </c>
      <c r="C41">
        <f>_xlfn.XMATCH($A41,Raw_financials[#Headers],0)</f>
        <v>41</v>
      </c>
      <c r="D41" t="s">
        <v>120</v>
      </c>
      <c r="E41" t="s">
        <v>132</v>
      </c>
    </row>
    <row r="42" spans="1:6" x14ac:dyDescent="0.35">
      <c r="A42" t="s">
        <v>35</v>
      </c>
      <c r="B42" t="s">
        <v>74</v>
      </c>
      <c r="C42">
        <f>_xlfn.XMATCH($A42,Raw_financials[#Headers],0)</f>
        <v>43</v>
      </c>
      <c r="F42" t="s">
        <v>154</v>
      </c>
    </row>
    <row r="43" spans="1:6" x14ac:dyDescent="0.35">
      <c r="A43" t="s">
        <v>36</v>
      </c>
      <c r="B43" t="s">
        <v>98</v>
      </c>
      <c r="C43">
        <f>_xlfn.XMATCH($A43,Raw_financials[#Headers],0)</f>
        <v>44</v>
      </c>
      <c r="D43" t="s">
        <v>120</v>
      </c>
      <c r="E43" t="s">
        <v>132</v>
      </c>
    </row>
    <row r="44" spans="1:6" x14ac:dyDescent="0.35">
      <c r="A44" t="s">
        <v>37</v>
      </c>
      <c r="B44" t="s">
        <v>136</v>
      </c>
      <c r="C44">
        <f>_xlfn.XMATCH($A44,Raw_financials[#Headers],0)</f>
        <v>46</v>
      </c>
      <c r="D44" t="s">
        <v>120</v>
      </c>
      <c r="E44" t="s">
        <v>133</v>
      </c>
      <c r="F44" t="s">
        <v>154</v>
      </c>
    </row>
    <row r="45" spans="1:6" x14ac:dyDescent="0.35">
      <c r="A45" t="s">
        <v>38</v>
      </c>
      <c r="B45" t="s">
        <v>143</v>
      </c>
      <c r="C45">
        <f>_xlfn.XMATCH($A45,Raw_financials[#Headers],0)</f>
        <v>47</v>
      </c>
      <c r="D45" t="s">
        <v>120</v>
      </c>
      <c r="E45" t="s">
        <v>133</v>
      </c>
      <c r="F45" t="s">
        <v>154</v>
      </c>
    </row>
    <row r="46" spans="1:6" x14ac:dyDescent="0.35">
      <c r="A46" t="s">
        <v>39</v>
      </c>
      <c r="B46" t="s">
        <v>137</v>
      </c>
      <c r="C46">
        <f>_xlfn.XMATCH($A46,Raw_financials[#Headers],0)</f>
        <v>36</v>
      </c>
      <c r="D46" t="s">
        <v>120</v>
      </c>
      <c r="E46" t="s">
        <v>133</v>
      </c>
      <c r="F46" t="s">
        <v>154</v>
      </c>
    </row>
    <row r="47" spans="1:6" x14ac:dyDescent="0.35">
      <c r="A47" t="s">
        <v>40</v>
      </c>
      <c r="B47" t="s">
        <v>138</v>
      </c>
      <c r="C47">
        <f>_xlfn.XMATCH($A47,Raw_financials[#Headers],0)</f>
        <v>48</v>
      </c>
      <c r="F47" t="s">
        <v>154</v>
      </c>
    </row>
    <row r="48" spans="1:6" x14ac:dyDescent="0.35">
      <c r="A48" t="s">
        <v>41</v>
      </c>
      <c r="B48" t="s">
        <v>101</v>
      </c>
      <c r="C48">
        <f>_xlfn.XMATCH($A48,Raw_financials[#Headers],0)</f>
        <v>42</v>
      </c>
      <c r="D48" t="s">
        <v>120</v>
      </c>
      <c r="E48" t="s">
        <v>134</v>
      </c>
    </row>
    <row r="49" spans="1:5" x14ac:dyDescent="0.35">
      <c r="A49" t="s">
        <v>42</v>
      </c>
      <c r="B49" t="s">
        <v>75</v>
      </c>
      <c r="C49">
        <f>_xlfn.XMATCH($A49,Raw_financials[#Headers],0)</f>
        <v>50</v>
      </c>
      <c r="D49" t="s">
        <v>120</v>
      </c>
      <c r="E49" t="s">
        <v>134</v>
      </c>
    </row>
    <row r="50" spans="1:5" x14ac:dyDescent="0.35">
      <c r="A50" t="s">
        <v>43</v>
      </c>
      <c r="B50" t="s">
        <v>76</v>
      </c>
      <c r="C50">
        <f>_xlfn.XMATCH($A50,Raw_financials[#Headers],0)</f>
        <v>51</v>
      </c>
      <c r="D50" t="s">
        <v>120</v>
      </c>
      <c r="E50" t="s">
        <v>134</v>
      </c>
    </row>
    <row r="51" spans="1:5" x14ac:dyDescent="0.35">
      <c r="A51" t="s">
        <v>44</v>
      </c>
      <c r="B51" t="s">
        <v>78</v>
      </c>
      <c r="C51">
        <f>_xlfn.XMATCH($A51,Raw_financials[#Headers],0)</f>
        <v>34</v>
      </c>
      <c r="D51" t="s">
        <v>120</v>
      </c>
      <c r="E51" t="s">
        <v>134</v>
      </c>
    </row>
    <row r="52" spans="1:5" x14ac:dyDescent="0.35">
      <c r="A52" t="s">
        <v>45</v>
      </c>
      <c r="B52" t="s">
        <v>79</v>
      </c>
      <c r="C52">
        <f>_xlfn.XMATCH($A52,Raw_financials[#Headers],0)</f>
        <v>35</v>
      </c>
      <c r="D52" t="s">
        <v>120</v>
      </c>
      <c r="E52" t="s">
        <v>134</v>
      </c>
    </row>
    <row r="53" spans="1:5" x14ac:dyDescent="0.35">
      <c r="A53" t="s">
        <v>46</v>
      </c>
      <c r="B53" t="s">
        <v>80</v>
      </c>
      <c r="C53">
        <f>_xlfn.XMATCH($A53,Raw_financials[#Headers],0)</f>
        <v>40</v>
      </c>
      <c r="D53" t="s">
        <v>120</v>
      </c>
      <c r="E53" t="s">
        <v>132</v>
      </c>
    </row>
    <row r="54" spans="1:5" x14ac:dyDescent="0.35">
      <c r="A54" t="s">
        <v>47</v>
      </c>
      <c r="B54" t="s">
        <v>81</v>
      </c>
      <c r="C54">
        <f>_xlfn.XMATCH($A54,Raw_financials[#Headers],0)</f>
        <v>38</v>
      </c>
      <c r="D54" t="s">
        <v>120</v>
      </c>
      <c r="E54" t="s">
        <v>133</v>
      </c>
    </row>
    <row r="55" spans="1:5" x14ac:dyDescent="0.35">
      <c r="A55" t="s">
        <v>48</v>
      </c>
      <c r="B55" t="s">
        <v>82</v>
      </c>
      <c r="C55">
        <f>_xlfn.XMATCH($A55,Raw_financials[#Headers],0)</f>
        <v>39</v>
      </c>
      <c r="D55" t="s">
        <v>120</v>
      </c>
      <c r="E55" t="s">
        <v>133</v>
      </c>
    </row>
    <row r="56" spans="1:5" x14ac:dyDescent="0.35">
      <c r="A56" t="s">
        <v>49</v>
      </c>
      <c r="B56" t="s">
        <v>83</v>
      </c>
      <c r="C56">
        <f>_xlfn.XMATCH($A56,Raw_financials[#Headers],0)</f>
        <v>49</v>
      </c>
      <c r="D56" t="s">
        <v>120</v>
      </c>
      <c r="E56" t="s">
        <v>134</v>
      </c>
    </row>
    <row r="57" spans="1:5" x14ac:dyDescent="0.35">
      <c r="A57" t="s">
        <v>84</v>
      </c>
      <c r="B57" t="s">
        <v>85</v>
      </c>
      <c r="C57">
        <f>_xlfn.XMATCH($A57,Raw_financials[#Headers],0)</f>
        <v>52</v>
      </c>
      <c r="D57" t="s">
        <v>120</v>
      </c>
      <c r="E57" t="s">
        <v>133</v>
      </c>
    </row>
    <row r="60" spans="1:5" x14ac:dyDescent="0.35">
      <c r="A60" t="s">
        <v>155</v>
      </c>
    </row>
    <row r="61" spans="1:5" x14ac:dyDescent="0.35">
      <c r="A61" t="s">
        <v>156</v>
      </c>
    </row>
    <row r="62" spans="1:5" x14ac:dyDescent="0.35">
      <c r="A62" t="s">
        <v>157</v>
      </c>
    </row>
    <row r="63" spans="1:5" x14ac:dyDescent="0.35">
      <c r="A63" t="s">
        <v>158</v>
      </c>
    </row>
    <row r="64" spans="1:5" x14ac:dyDescent="0.35">
      <c r="A64" t="s">
        <v>159</v>
      </c>
    </row>
    <row r="65" spans="1:1" x14ac:dyDescent="0.35">
      <c r="A65" t="s">
        <v>160</v>
      </c>
    </row>
    <row r="66" spans="1:1" x14ac:dyDescent="0.35">
      <c r="A66" t="s">
        <v>161</v>
      </c>
    </row>
    <row r="67" spans="1:1" x14ac:dyDescent="0.35">
      <c r="A67" t="s">
        <v>162</v>
      </c>
    </row>
    <row r="68" spans="1:1" x14ac:dyDescent="0.35">
      <c r="A68" t="s">
        <v>164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14F51EF-37BB-43FF-8217-6E1D1E1A96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Charts</vt:lpstr>
      </vt:variant>
      <vt:variant>
        <vt:i4>1</vt:i4>
      </vt:variant>
      <vt:variant>
        <vt:lpstr>Named Ranges</vt:lpstr>
      </vt:variant>
      <vt:variant>
        <vt:i4>39</vt:i4>
      </vt:variant>
    </vt:vector>
  </HeadingPairs>
  <TitlesOfParts>
    <vt:vector size="56" baseType="lpstr">
      <vt:lpstr>Start Here</vt:lpstr>
      <vt:lpstr>Candidate shares</vt:lpstr>
      <vt:lpstr>Chosen share</vt:lpstr>
      <vt:lpstr>Summary</vt:lpstr>
      <vt:lpstr>For export</vt:lpstr>
      <vt:lpstr>Forecast mechanics</vt:lpstr>
      <vt:lpstr>Income statement</vt:lpstr>
      <vt:lpstr>Balance sheet</vt:lpstr>
      <vt:lpstr>Cash flow statement</vt:lpstr>
      <vt:lpstr>Valuation</vt:lpstr>
      <vt:lpstr>For chart</vt:lpstr>
      <vt:lpstr>Share price history</vt:lpstr>
      <vt:lpstr>Raw daily returns</vt:lpstr>
      <vt:lpstr>Raw financials</vt:lpstr>
      <vt:lpstr>Config</vt:lpstr>
      <vt:lpstr>Line item mapping</vt:lpstr>
      <vt:lpstr>Chart</vt:lpstr>
      <vt:lpstr>as_of_date</vt:lpstr>
      <vt:lpstr>available_years</vt:lpstr>
      <vt:lpstr>daily_returns_id</vt:lpstr>
      <vt:lpstr>empty_buffer</vt:lpstr>
      <vt:lpstr>exit_price</vt:lpstr>
      <vt:lpstr>ff_id_override</vt:lpstr>
      <vt:lpstr>fin_axis_max</vt:lpstr>
      <vt:lpstr>fin_axis_min</vt:lpstr>
      <vt:lpstr>financials_currency</vt:lpstr>
      <vt:lpstr>id_for_financials</vt:lpstr>
      <vt:lpstr>infinity</vt:lpstr>
      <vt:lpstr>investment_horizon</vt:lpstr>
      <vt:lpstr>'Chosen share'!matching_names</vt:lpstr>
      <vt:lpstr>'For export'!matching_names</vt:lpstr>
      <vt:lpstr>'Forecast mechanics'!matching_names</vt:lpstr>
      <vt:lpstr>matching_names</vt:lpstr>
      <vt:lpstr>max_ebit</vt:lpstr>
      <vt:lpstr>max_growth</vt:lpstr>
      <vt:lpstr>max_multiple</vt:lpstr>
      <vt:lpstr>max_payout</vt:lpstr>
      <vt:lpstr>max_tax</vt:lpstr>
      <vt:lpstr>max_terminal_growth</vt:lpstr>
      <vt:lpstr>min_ebit</vt:lpstr>
      <vt:lpstr>min_growth</vt:lpstr>
      <vt:lpstr>min_multiple</vt:lpstr>
      <vt:lpstr>min_payout</vt:lpstr>
      <vt:lpstr>min_tax</vt:lpstr>
      <vt:lpstr>min_terminal_growth</vt:lpstr>
      <vt:lpstr>n_years</vt:lpstr>
      <vt:lpstr>name</vt:lpstr>
      <vt:lpstr>name_override</vt:lpstr>
      <vt:lpstr>name_part</vt:lpstr>
      <vt:lpstr>p</vt:lpstr>
      <vt:lpstr>price_axis_max</vt:lpstr>
      <vt:lpstr>price_axis_min</vt:lpstr>
      <vt:lpstr>price_financials_currency</vt:lpstr>
      <vt:lpstr>rate_spread</vt:lpstr>
      <vt:lpstr>reported_shares_in_effective_share</vt:lpstr>
      <vt:lpstr>share_currency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Posen</dc:creator>
  <cp:lastModifiedBy>Kevin Posen</cp:lastModifiedBy>
  <dcterms:created xsi:type="dcterms:W3CDTF">2024-09-20T20:07:16Z</dcterms:created>
  <dcterms:modified xsi:type="dcterms:W3CDTF">2025-06-17T15:18:53Z</dcterms:modified>
</cp:coreProperties>
</file>